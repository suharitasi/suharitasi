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aylans\Desktop\RİP\RİP 2021\2021 Rip 14.12.2021 15.30 Yayımlanacak İstatistikler_YENİ\"/>
    </mc:Choice>
  </mc:AlternateContent>
  <bookViews>
    <workbookView xWindow="0" yWindow="0" windowWidth="28800" windowHeight="12450"/>
  </bookViews>
  <sheets>
    <sheet name="5.1.Tablo"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84" i="1" l="1"/>
  <c r="R83" i="1"/>
  <c r="R82" i="1"/>
  <c r="R81" i="1"/>
  <c r="R80" i="1"/>
  <c r="R79" i="1"/>
  <c r="R78" i="1"/>
  <c r="R75" i="1"/>
  <c r="R74" i="1"/>
  <c r="R72" i="1"/>
  <c r="R71" i="1"/>
  <c r="R70" i="1"/>
  <c r="R69" i="1"/>
  <c r="R68" i="1"/>
  <c r="R67" i="1"/>
  <c r="R66" i="1"/>
  <c r="R65" i="1"/>
  <c r="R64" i="1"/>
  <c r="R63" i="1"/>
  <c r="R56" i="1"/>
  <c r="R55" i="1"/>
  <c r="R54" i="1"/>
  <c r="R53" i="1"/>
  <c r="R52" i="1"/>
  <c r="R51" i="1"/>
  <c r="R50" i="1"/>
  <c r="R46" i="1"/>
  <c r="R45" i="1"/>
  <c r="R44" i="1"/>
  <c r="R43" i="1"/>
  <c r="R42" i="1"/>
  <c r="R41" i="1"/>
  <c r="R40" i="1"/>
  <c r="R39" i="1"/>
  <c r="R38" i="1"/>
  <c r="R37" i="1"/>
  <c r="R35" i="1"/>
  <c r="R34" i="1"/>
  <c r="R33" i="1"/>
  <c r="R32" i="1"/>
  <c r="R31" i="1"/>
  <c r="R30" i="1"/>
  <c r="R29" i="1"/>
  <c r="R28" i="1"/>
  <c r="R27" i="1"/>
  <c r="R26" i="1"/>
  <c r="R24" i="1"/>
  <c r="R23" i="1"/>
  <c r="R21" i="1"/>
  <c r="R20" i="1"/>
  <c r="R19" i="1"/>
  <c r="R18" i="1"/>
  <c r="R17" i="1"/>
  <c r="R16" i="1"/>
  <c r="R14" i="1"/>
  <c r="R13" i="1"/>
  <c r="R12" i="1"/>
  <c r="R11" i="1"/>
  <c r="R10" i="1"/>
  <c r="R9" i="1"/>
  <c r="R8" i="1"/>
  <c r="R7" i="1"/>
  <c r="Q5" i="1"/>
  <c r="D5" i="1" l="1"/>
  <c r="R5" i="1"/>
  <c r="E5" i="1" l="1"/>
  <c r="F5" i="1"/>
  <c r="G5" i="1"/>
  <c r="H5" i="1"/>
  <c r="I5" i="1"/>
  <c r="J5" i="1"/>
  <c r="K5" i="1"/>
  <c r="L5" i="1"/>
  <c r="M5" i="1"/>
  <c r="N5" i="1"/>
  <c r="O5" i="1"/>
  <c r="P5" i="1"/>
</calcChain>
</file>

<file path=xl/sharedStrings.xml><?xml version="1.0" encoding="utf-8"?>
<sst xmlns="http://schemas.openxmlformats.org/spreadsheetml/2006/main" count="172" uniqueCount="172">
  <si>
    <t>Adana</t>
  </si>
  <si>
    <t>Adıyaman</t>
  </si>
  <si>
    <t>Afyonkarahisar</t>
  </si>
  <si>
    <t>Ağrı</t>
  </si>
  <si>
    <t>Amasya</t>
  </si>
  <si>
    <t>Ankara</t>
  </si>
  <si>
    <t>Antalya</t>
  </si>
  <si>
    <t>Artvin</t>
  </si>
  <si>
    <t>Aydın</t>
  </si>
  <si>
    <t>Balıkesir</t>
  </si>
  <si>
    <t>Bilecik</t>
  </si>
  <si>
    <t>Bingöl</t>
  </si>
  <si>
    <t>Bitlis</t>
  </si>
  <si>
    <t>Bolu</t>
  </si>
  <si>
    <t>Burdur</t>
  </si>
  <si>
    <t>Bursa</t>
  </si>
  <si>
    <t>Çanakkale</t>
  </si>
  <si>
    <t>Çankırı</t>
  </si>
  <si>
    <t>Çorum</t>
  </si>
  <si>
    <t>Denizli</t>
  </si>
  <si>
    <t>Diyarbakır</t>
  </si>
  <si>
    <t>Edirne</t>
  </si>
  <si>
    <t>Elazığ</t>
  </si>
  <si>
    <t>Erzincan</t>
  </si>
  <si>
    <t>Erzurum</t>
  </si>
  <si>
    <t>Eskişehir</t>
  </si>
  <si>
    <t>Gaziantep</t>
  </si>
  <si>
    <t>Giresun</t>
  </si>
  <si>
    <t>Gümüşhane</t>
  </si>
  <si>
    <t>Hatay</t>
  </si>
  <si>
    <t>Isparta</t>
  </si>
  <si>
    <t>Mersin</t>
  </si>
  <si>
    <t>İstanbul</t>
  </si>
  <si>
    <t>İzmir</t>
  </si>
  <si>
    <t>Kars</t>
  </si>
  <si>
    <t>Kastamonu</t>
  </si>
  <si>
    <t>Kayseri</t>
  </si>
  <si>
    <t>Kırklareli</t>
  </si>
  <si>
    <t>Kırşehir</t>
  </si>
  <si>
    <t>Kocaeli</t>
  </si>
  <si>
    <t>Konya</t>
  </si>
  <si>
    <t>Kütahya</t>
  </si>
  <si>
    <t>Malatya</t>
  </si>
  <si>
    <t>Manisa</t>
  </si>
  <si>
    <t>Kahramanmaraş</t>
  </si>
  <si>
    <t>Mardin</t>
  </si>
  <si>
    <t>Muğla</t>
  </si>
  <si>
    <t>Muş</t>
  </si>
  <si>
    <t>Nevşehir</t>
  </si>
  <si>
    <t>Niğde</t>
  </si>
  <si>
    <t>Ordu</t>
  </si>
  <si>
    <t>Rize</t>
  </si>
  <si>
    <t>Sakarya</t>
  </si>
  <si>
    <t>Samsun</t>
  </si>
  <si>
    <t>Siirt</t>
  </si>
  <si>
    <t>Sinop</t>
  </si>
  <si>
    <t>Sivas</t>
  </si>
  <si>
    <t>Tekirdağ</t>
  </si>
  <si>
    <t>Tokat</t>
  </si>
  <si>
    <t>Trabzon</t>
  </si>
  <si>
    <t>Tunceli</t>
  </si>
  <si>
    <t>Şanlıurfa</t>
  </si>
  <si>
    <t>Uşak</t>
  </si>
  <si>
    <t>Van</t>
  </si>
  <si>
    <t>Yozgat</t>
  </si>
  <si>
    <t>Zonguldak</t>
  </si>
  <si>
    <t>Aksaray</t>
  </si>
  <si>
    <t>Bayburt</t>
  </si>
  <si>
    <t>Karaman</t>
  </si>
  <si>
    <t>Kırıkkale</t>
  </si>
  <si>
    <t>Batman</t>
  </si>
  <si>
    <t>Şırnak</t>
  </si>
  <si>
    <t>Bartın</t>
  </si>
  <si>
    <t>Ardahan</t>
  </si>
  <si>
    <t>Iğdır</t>
  </si>
  <si>
    <t>Yalova</t>
  </si>
  <si>
    <t>Karabük</t>
  </si>
  <si>
    <t>Kilis</t>
  </si>
  <si>
    <t>Osmaniye</t>
  </si>
  <si>
    <t>Düzce</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</si>
  <si>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</si>
  <si>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</si>
  <si>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</si>
  <si>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</si>
  <si>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</si>
  <si>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</si>
  <si>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</si>
  <si>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</si>
  <si>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</si>
  <si>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</si>
  <si>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</si>
  <si>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</si>
  <si>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</si>
  <si>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</si>
  <si>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</si>
  <si>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</si>
  <si>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</si>
  <si>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</si>
  <si>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</si>
  <si>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</si>
  <si>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</si>
  <si>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</si>
  <si>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</si>
  <si>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</si>
  <si>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</si>
  <si>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</si>
  <si>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</si>
  <si>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</si>
  <si>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</si>
  <si>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</si>
  <si>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</si>
  <si>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</si>
  <si>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</si>
  <si>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</si>
  <si>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</si>
  <si>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</si>
  <si>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</si>
  <si>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</si>
  <si>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</si>
  <si>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</si>
  <si>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</si>
  <si>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</si>
  <si>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</si>
  <si>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</si>
  <si>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</si>
  <si>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</si>
  <si>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</si>
  <si>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</si>
  <si>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</si>
  <si>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</si>
  <si>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</si>
  <si>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</si>
  <si>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</si>
  <si>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</si>
  <si>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</si>
  <si>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</si>
  <si>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</si>
  <si>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</si>
  <si>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</si>
  <si>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</si>
  <si>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</si>
  <si>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</si>
  <si>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</si>
  <si>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</si>
  <si>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</si>
  <si>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</si>
  <si>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</si>
  <si>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</si>
  <si>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</si>
  <si>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</si>
  <si>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</si>
  <si>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</si>
  <si>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Hakkari</t>
  </si>
  <si>
    <t>TRC11</t>
  </si>
  <si>
    <t>TRC12</t>
  </si>
  <si>
    <t>TRC13</t>
  </si>
  <si>
    <t>TRC21</t>
  </si>
  <si>
    <t>TRC22</t>
  </si>
  <si>
    <t>TRC31</t>
  </si>
  <si>
    <t>TRC32</t>
  </si>
  <si>
    <t>TRC33</t>
  </si>
  <si>
    <t>TRC34</t>
  </si>
  <si>
    <t>IBBS(1) - 3. Düzey</t>
  </si>
  <si>
    <t>İli</t>
  </si>
  <si>
    <t>TR</t>
  </si>
  <si>
    <t>(1) İstatistiki Bölge Birimleri Sınıflaması.</t>
  </si>
  <si>
    <t xml:space="preserve">İBBS(1) - 3. Düzey         </t>
  </si>
  <si>
    <t>Toplam Alan (Ha)</t>
  </si>
  <si>
    <t>Toplulaştırılan Alan (Ha)</t>
  </si>
  <si>
    <t>1961-2007</t>
  </si>
  <si>
    <t>5.1. İllere Göre Arazi Toplulaştırma Hizmetleri, 1961-2020</t>
  </si>
  <si>
    <t>NOT * Devlet Su İşleri Genel Müdürlünce tamamlanan toplulaştırma işlemleri sonrasında toplulaştırılan alanlar ile ilgili olarak Tapu ve Kadastro Genel Müdürlüğü ile yapılan mutabakatlar sonucunda tescil edilen alan miktarında değişim oluşabilmektedir. İlgili düzenlemeler sonraki dönemlerde tabloya yansıtılmaktadır.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</si>
</sst>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_₺_-;\-* #,##0.00\ _₺_-;_-* &quot;-&quot;??\ _₺_-;_-@_-"/>
  </numFmts>
  <fonts count="9" x14ac:knownFonts="1">
    <font>
      <sz val="11"/>
      <color theme="1"/>
      <name val="Calibri"/>
      <family val="2"/>
      <charset val="162"/>
      <scheme val="minor"/>
    </font>
    <font>
      <sz val="16"/>
      <color rgb="FF000000"/>
      <name val="Calibri"/>
      <family val="2"/>
      <charset val="162"/>
      <scheme val="minor"/>
    </font>
    <font>
      <b/>
      <sz val="11"/>
      <color theme="1"/>
      <name val="Calibri"/>
      <family val="2"/>
      <charset val="162"/>
      <scheme val="minor"/>
    </font>
    <font>
      <b/>
      <sz val="10"/>
      <color theme="1"/>
      <name val="Calibri"/>
      <family val="2"/>
      <charset val="162"/>
      <scheme val="minor"/>
    </font>
    <font>
      <b/>
      <sz val="12"/>
      <color theme="1"/>
      <name val="Times New Roman"/>
      <family val="1"/>
      <charset val="162"/>
    </font>
    <font>
      <sz val="12"/>
      <color theme="1"/>
      <name val="Times New Roman"/>
      <family val="1"/>
      <charset val="162"/>
    </font>
    <font>
      <sz val="10"/>
      <name val="Arial Tur"/>
      <charset val="162"/>
    </font>
    <font>
      <b/>
      <sz val="12"/>
      <name val="Times New Roman"/>
      <family val="1"/>
      <charset val="162"/>
    </font>
    <font>
      <sz val="11"/>
      <color theme="1"/>
      <name val="Calibri"/>
      <family val="2"/>
      <charset val="162"/>
      <scheme val="minor"/>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6" fillId="0" borderId="0"/>
    <xf numFmtId="164" fontId="8" fillId="0" borderId="0" applyFont="0" applyFill="0" applyBorder="0" applyAlignment="0" applyProtection="0"/>
  </cellStyleXfs>
  <cellXfs count="54">
    <xf numFmtId="0" fontId="0" fillId="0" borderId="0" xfId="0"/>
    <xf numFmtId="0" fontId="0" fillId="0" borderId="0" xfId="0" applyAlignment="1">
      <alignment horizontal="center"/>
    </xf>
    <xf numFmtId="3" fontId="1" fillId="0" borderId="0" xfId="0" applyNumberFormat="1" applyFont="1"/>
    <xf numFmtId="0" fontId="0" fillId="0" borderId="0" xfId="0" applyAlignment="1">
      <alignment horizontal="left"/>
    </xf>
    <xf numFmtId="0" fontId="0" fillId="0" borderId="0" xfId="0" applyBorder="1" applyAlignment="1">
      <alignment horizontal="center"/>
    </xf>
    <xf numFmtId="0" fontId="0" fillId="0" borderId="0" xfId="0" applyBorder="1"/>
    <xf numFmtId="0" fontId="2" fillId="0" borderId="0" xfId="0" applyFont="1"/>
    <xf numFmtId="0" fontId="5" fillId="0" borderId="0" xfId="0" applyFont="1"/>
    <xf numFmtId="0" fontId="4" fillId="0" borderId="4" xfId="0" applyFont="1" applyBorder="1" applyAlignment="1">
      <alignment horizontal="center" vertical="center"/>
    </xf>
    <xf numFmtId="0" fontId="0" fillId="0" borderId="12" xfId="0" applyBorder="1"/>
    <xf numFmtId="0" fontId="0" fillId="0" borderId="13" xfId="0" applyBorder="1"/>
    <xf numFmtId="0" fontId="0" fillId="0" borderId="3" xfId="0" applyBorder="1"/>
    <xf numFmtId="0" fontId="5" fillId="0" borderId="0" xfId="0" applyFont="1" applyAlignment="1">
      <alignment horizontal="left" vertical="center"/>
    </xf>
    <xf numFmtId="0" fontId="0" fillId="0" borderId="0" xfId="0" applyAlignment="1">
      <alignment horizontal="left" vertical="center"/>
    </xf>
    <xf numFmtId="0" fontId="4" fillId="0" borderId="10" xfId="0" applyFont="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7" fillId="2" borderId="14" xfId="1" applyFont="1" applyFill="1" applyBorder="1" applyAlignment="1">
      <alignment horizontal="left" vertical="center" wrapText="1" shrinkToFit="1"/>
    </xf>
    <xf numFmtId="0" fontId="0" fillId="2" borderId="13" xfId="0" applyFill="1" applyBorder="1"/>
    <xf numFmtId="0" fontId="0" fillId="2" borderId="0" xfId="0" applyFill="1"/>
    <xf numFmtId="0" fontId="0" fillId="2" borderId="0" xfId="0" applyFill="1" applyAlignment="1">
      <alignment horizontal="center"/>
    </xf>
    <xf numFmtId="0" fontId="0" fillId="2" borderId="0" xfId="0" applyFill="1" applyBorder="1" applyAlignment="1">
      <alignment horizontal="center"/>
    </xf>
    <xf numFmtId="0" fontId="0" fillId="2" borderId="0" xfId="0" applyFill="1" applyBorder="1"/>
    <xf numFmtId="0" fontId="4" fillId="0" borderId="4" xfId="0" applyFont="1" applyBorder="1" applyAlignment="1">
      <alignment horizontal="center"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2" borderId="13" xfId="0" applyFill="1" applyBorder="1" applyAlignment="1">
      <alignment horizontal="left" vertical="center"/>
    </xf>
    <xf numFmtId="0" fontId="0" fillId="0" borderId="3" xfId="0" applyBorder="1" applyAlignment="1">
      <alignment horizontal="left" vertical="center"/>
    </xf>
    <xf numFmtId="3" fontId="4" fillId="0" borderId="16" xfId="0" applyNumberFormat="1" applyFont="1" applyBorder="1" applyAlignment="1">
      <alignment horizontal="right" vertical="center"/>
    </xf>
    <xf numFmtId="3" fontId="5" fillId="0" borderId="17" xfId="0" applyNumberFormat="1" applyFont="1" applyBorder="1" applyAlignment="1">
      <alignment horizontal="right" vertical="center"/>
    </xf>
    <xf numFmtId="3" fontId="5" fillId="2" borderId="2" xfId="0" applyNumberFormat="1" applyFont="1" applyFill="1" applyBorder="1" applyAlignment="1">
      <alignment horizontal="right"/>
    </xf>
    <xf numFmtId="3" fontId="5" fillId="0" borderId="18" xfId="0" applyNumberFormat="1" applyFont="1" applyBorder="1" applyAlignment="1">
      <alignment horizontal="right" vertical="center"/>
    </xf>
    <xf numFmtId="3" fontId="5" fillId="2" borderId="1" xfId="0" applyNumberFormat="1" applyFont="1" applyFill="1" applyBorder="1" applyAlignment="1">
      <alignment horizontal="right"/>
    </xf>
    <xf numFmtId="3" fontId="0" fillId="2" borderId="1" xfId="2" applyNumberFormat="1" applyFont="1" applyFill="1" applyBorder="1" applyAlignment="1">
      <alignment horizontal="right" vertical="center"/>
    </xf>
    <xf numFmtId="3" fontId="5" fillId="0" borderId="19" xfId="0" applyNumberFormat="1" applyFont="1" applyBorder="1" applyAlignment="1">
      <alignment horizontal="right" vertical="center"/>
    </xf>
    <xf numFmtId="3" fontId="5" fillId="2" borderId="11" xfId="0" applyNumberFormat="1" applyFont="1" applyFill="1" applyBorder="1" applyAlignment="1">
      <alignment horizontal="right"/>
    </xf>
    <xf numFmtId="0" fontId="3" fillId="0" borderId="0" xfId="0" applyFont="1" applyAlignment="1">
      <alignment horizontal="center"/>
    </xf>
    <xf numFmtId="3" fontId="4" fillId="0" borderId="20" xfId="0" applyNumberFormat="1" applyFont="1" applyBorder="1" applyAlignment="1">
      <alignment horizontal="right" vertical="center"/>
    </xf>
    <xf numFmtId="3" fontId="5" fillId="0" borderId="21" xfId="0" applyNumberFormat="1" applyFont="1" applyBorder="1" applyAlignment="1">
      <alignment horizontal="right"/>
    </xf>
    <xf numFmtId="3" fontId="5" fillId="0" borderId="22" xfId="0" applyNumberFormat="1" applyFont="1" applyBorder="1" applyAlignment="1">
      <alignment horizontal="right"/>
    </xf>
    <xf numFmtId="3" fontId="5" fillId="0" borderId="23" xfId="0" applyNumberFormat="1" applyFont="1" applyBorder="1" applyAlignment="1">
      <alignment horizontal="right"/>
    </xf>
    <xf numFmtId="0" fontId="0" fillId="0" borderId="0" xfId="0" applyFont="1" applyAlignment="1">
      <alignment horizontal="left"/>
    </xf>
    <xf numFmtId="0" fontId="2" fillId="0" borderId="0" xfId="0" applyFont="1" applyAlignment="1">
      <alignment horizontal="left" wrapText="1"/>
    </xf>
    <xf numFmtId="0" fontId="3" fillId="0" borderId="0" xfId="0" applyFont="1" applyAlignment="1">
      <alignment horizontal="center"/>
    </xf>
    <xf numFmtId="0" fontId="4" fillId="0" borderId="1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cellXfs>
  <cellStyles count="3">
    <cellStyle name="Normal" xfId="0" builtinId="0"/>
    <cellStyle name="Normal 2" xfId="1"/>
    <cellStyle name="Virgül"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sz="2000" b="1" i="0" u="none" strike="noStrike" baseline="0">
                <a:solidFill>
                  <a:srgbClr val="000000"/>
                </a:solidFill>
                <a:latin typeface="Calibri"/>
                <a:ea typeface="Calibri"/>
                <a:cs typeface="Calibri"/>
              </a:defRPr>
            </a:pPr>
            <a:r>
              <a:rPr lang="tr-TR" sz="2000"/>
              <a:t>5.1. İllere Göre Arazi Toplulaştırma Hizmetleri</a:t>
            </a:r>
            <a:r>
              <a:rPr lang="tr-TR" sz="2000" baseline="0"/>
              <a:t> </a:t>
            </a:r>
            <a:r>
              <a:rPr lang="tr-TR" sz="2000"/>
              <a:t>(Ha), 1961 - 2020</a:t>
            </a:r>
          </a:p>
        </c:rich>
      </c:tx>
      <c:layout>
        <c:manualLayout>
          <c:xMode val="edge"/>
          <c:yMode val="edge"/>
          <c:x val="0.29165470116361364"/>
          <c:y val="1.247833690297831E-2"/>
        </c:manualLayout>
      </c:layout>
      <c:overlay val="0"/>
    </c:title>
    <c:autoTitleDeleted val="0"/>
    <c:plotArea>
      <c:layout>
        <c:manualLayout>
          <c:layoutTarget val="inner"/>
          <c:xMode val="edge"/>
          <c:yMode val="edge"/>
          <c:x val="4.5922038785966159E-2"/>
          <c:y val="0.12805557346136695"/>
          <c:w val="0.94733192913676512"/>
          <c:h val="0.64563746938405797"/>
        </c:manualLayout>
      </c:layout>
      <c:barChart>
        <c:barDir val="col"/>
        <c:grouping val="clustered"/>
        <c:varyColors val="0"/>
        <c:ser>
          <c:idx val="0"/>
          <c:order val="0"/>
          <c:tx>
            <c:strRef>
              <c:f>'5.1.Tablo'!$R$4</c:f>
              <c:strCache>
                <c:ptCount val="1"/>
                <c:pt idx="0">
                  <c:v>Toplam Alan (Ha)</c:v>
                </c:pt>
              </c:strCache>
            </c:strRef>
          </c:tx>
          <c:invertIfNegative val="0"/>
          <c:dLbls>
            <c:spPr>
              <a:noFill/>
              <a:ln>
                <a:noFill/>
              </a:ln>
              <a:effectLst/>
            </c:spPr>
            <c:txPr>
              <a:bodyPr rot="-5400000" vert="horz" wrap="square" lIns="38100" tIns="19050" rIns="38100" bIns="19050" anchor="ctr">
                <a:spAutoFit/>
              </a:bodyPr>
              <a:lstStyle/>
              <a:p>
                <a:pPr>
                  <a:defRPr sz="1200"/>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'5.1.Tablo'!$C$6:$C$86</c:f>
              <c:strCache>
                <c:ptCount val="81"/>
                <c:pt idx="0">
                  <c:v>İstanbul</c:v>
                </c:pt>
                <c:pt idx="1">
                  <c:v>Tekirdağ</c:v>
                </c:pt>
                <c:pt idx="2">
                  <c:v>Edirne</c:v>
                </c:pt>
                <c:pt idx="3">
                  <c:v>Kırklareli</c:v>
                </c:pt>
                <c:pt idx="4">
                  <c:v>Balıkesir</c:v>
                </c:pt>
                <c:pt idx="5">
                  <c:v>Çanakkale</c:v>
                </c:pt>
                <c:pt idx="6">
                  <c:v>İzmir</c:v>
                </c:pt>
                <c:pt idx="7">
                  <c:v>Aydın</c:v>
                </c:pt>
                <c:pt idx="8">
                  <c:v>Denizli</c:v>
                </c:pt>
                <c:pt idx="9">
                  <c:v>Muğla</c:v>
                </c:pt>
                <c:pt idx="10">
                  <c:v>Manisa</c:v>
                </c:pt>
                <c:pt idx="11">
                  <c:v>Afyonkarahisar</c:v>
                </c:pt>
                <c:pt idx="12">
                  <c:v>Kütahya</c:v>
                </c:pt>
                <c:pt idx="13">
                  <c:v>Uşak</c:v>
                </c:pt>
                <c:pt idx="14">
                  <c:v>Bursa</c:v>
                </c:pt>
                <c:pt idx="15">
                  <c:v>Eskişehir</c:v>
                </c:pt>
                <c:pt idx="16">
                  <c:v>Bilecik</c:v>
                </c:pt>
                <c:pt idx="17">
                  <c:v>Kocaeli</c:v>
                </c:pt>
                <c:pt idx="18">
                  <c:v>Sakarya</c:v>
                </c:pt>
                <c:pt idx="19">
                  <c:v>Düzce</c:v>
                </c:pt>
                <c:pt idx="20">
                  <c:v>Bolu</c:v>
                </c:pt>
                <c:pt idx="21">
                  <c:v>Yalova</c:v>
                </c:pt>
                <c:pt idx="22">
                  <c:v>Ankara</c:v>
                </c:pt>
                <c:pt idx="23">
                  <c:v>Konya</c:v>
                </c:pt>
                <c:pt idx="24">
                  <c:v>Karaman</c:v>
                </c:pt>
                <c:pt idx="25">
                  <c:v>Antalya</c:v>
                </c:pt>
                <c:pt idx="26">
                  <c:v>Isparta</c:v>
                </c:pt>
                <c:pt idx="27">
                  <c:v>Burdur</c:v>
                </c:pt>
                <c:pt idx="28">
                  <c:v>Adana</c:v>
                </c:pt>
                <c:pt idx="29">
                  <c:v>Mersin</c:v>
                </c:pt>
                <c:pt idx="30">
                  <c:v>Hatay</c:v>
                </c:pt>
                <c:pt idx="31">
                  <c:v>Kahramanmaraş</c:v>
                </c:pt>
                <c:pt idx="32">
                  <c:v>Osmaniye</c:v>
                </c:pt>
                <c:pt idx="33">
                  <c:v>Kırıkkale</c:v>
                </c:pt>
                <c:pt idx="34">
                  <c:v>Aksaray</c:v>
                </c:pt>
                <c:pt idx="35">
                  <c:v>Niğde</c:v>
                </c:pt>
                <c:pt idx="36">
                  <c:v>Nevşehir</c:v>
                </c:pt>
                <c:pt idx="37">
                  <c:v>Kırşehir</c:v>
                </c:pt>
                <c:pt idx="38">
                  <c:v>Kayseri</c:v>
                </c:pt>
                <c:pt idx="39">
                  <c:v>Sivas</c:v>
                </c:pt>
                <c:pt idx="40">
                  <c:v>Yozgat</c:v>
                </c:pt>
                <c:pt idx="41">
                  <c:v>Zonguldak</c:v>
                </c:pt>
                <c:pt idx="42">
                  <c:v>Karabük</c:v>
                </c:pt>
                <c:pt idx="43">
                  <c:v>Bartın</c:v>
                </c:pt>
                <c:pt idx="44">
                  <c:v>Kastamonu</c:v>
                </c:pt>
                <c:pt idx="45">
                  <c:v>Çankırı</c:v>
                </c:pt>
                <c:pt idx="46">
                  <c:v>Sinop</c:v>
                </c:pt>
                <c:pt idx="47">
                  <c:v>Samsun</c:v>
                </c:pt>
                <c:pt idx="48">
                  <c:v>Tokat</c:v>
                </c:pt>
                <c:pt idx="49">
                  <c:v>Çorum</c:v>
                </c:pt>
                <c:pt idx="50">
                  <c:v>Amasya</c:v>
                </c:pt>
                <c:pt idx="51">
                  <c:v>Trabzon</c:v>
                </c:pt>
                <c:pt idx="52">
                  <c:v>Ordu</c:v>
                </c:pt>
                <c:pt idx="53">
                  <c:v>Giresun</c:v>
                </c:pt>
                <c:pt idx="54">
                  <c:v>Rize</c:v>
                </c:pt>
                <c:pt idx="55">
                  <c:v>Artvin</c:v>
                </c:pt>
                <c:pt idx="56">
                  <c:v>Gümüşhane</c:v>
                </c:pt>
                <c:pt idx="57">
                  <c:v>Erzurum</c:v>
                </c:pt>
                <c:pt idx="58">
                  <c:v>Erzincan</c:v>
                </c:pt>
                <c:pt idx="59">
                  <c:v>Bayburt</c:v>
                </c:pt>
                <c:pt idx="60">
                  <c:v>Ağrı</c:v>
                </c:pt>
                <c:pt idx="61">
                  <c:v>Kars</c:v>
                </c:pt>
                <c:pt idx="62">
                  <c:v>Iğdır</c:v>
                </c:pt>
                <c:pt idx="63">
                  <c:v>Ardahan</c:v>
                </c:pt>
                <c:pt idx="64">
                  <c:v>Malatya</c:v>
                </c:pt>
                <c:pt idx="65">
                  <c:v>Elazığ</c:v>
                </c:pt>
                <c:pt idx="66">
                  <c:v>Bingöl</c:v>
                </c:pt>
                <c:pt idx="67">
                  <c:v>Tunceli</c:v>
                </c:pt>
                <c:pt idx="68">
                  <c:v>Van</c:v>
                </c:pt>
                <c:pt idx="69">
                  <c:v>Muş</c:v>
                </c:pt>
                <c:pt idx="70">
                  <c:v>Bitlis</c:v>
                </c:pt>
                <c:pt idx="71">
                  <c:v>Hakkari</c:v>
                </c:pt>
                <c:pt idx="72">
                  <c:v>Gaziantep</c:v>
                </c:pt>
                <c:pt idx="73">
                  <c:v>Adıyaman</c:v>
                </c:pt>
                <c:pt idx="74">
                  <c:v>Kilis</c:v>
                </c:pt>
                <c:pt idx="75">
                  <c:v>Şanlıurfa</c:v>
                </c:pt>
                <c:pt idx="76">
                  <c:v>Diyarbakır</c:v>
                </c:pt>
                <c:pt idx="77">
                  <c:v>Mardin</c:v>
                </c:pt>
                <c:pt idx="78">
                  <c:v>Batman</c:v>
                </c:pt>
                <c:pt idx="79">
                  <c:v>Şırnak</c:v>
                </c:pt>
                <c:pt idx="80">
                  <c:v>Siirt</c:v>
                </c:pt>
              </c:strCache>
            </c:strRef>
          </c:cat>
          <c:val>
            <c:numRef>
              <c:f>'5.1.Tablo'!$R$6:$R$86</c:f>
              <c:numCache>
                <c:formatCode>#,##0</c:formatCode>
                <c:ptCount val="81"/>
                <c:pt idx="1">
                  <c:v>6239</c:v>
                </c:pt>
                <c:pt idx="2">
                  <c:v>120531</c:v>
                </c:pt>
                <c:pt idx="3">
                  <c:v>5971</c:v>
                </c:pt>
                <c:pt idx="4">
                  <c:v>51241</c:v>
                </c:pt>
                <c:pt idx="5">
                  <c:v>19674</c:v>
                </c:pt>
                <c:pt idx="6">
                  <c:v>61601</c:v>
                </c:pt>
                <c:pt idx="7">
                  <c:v>58421</c:v>
                </c:pt>
                <c:pt idx="8">
                  <c:v>64545</c:v>
                </c:pt>
                <c:pt idx="10">
                  <c:v>45203</c:v>
                </c:pt>
                <c:pt idx="11">
                  <c:v>27812</c:v>
                </c:pt>
                <c:pt idx="12">
                  <c:v>13548</c:v>
                </c:pt>
                <c:pt idx="13">
                  <c:v>6413</c:v>
                </c:pt>
                <c:pt idx="14">
                  <c:v>42327</c:v>
                </c:pt>
                <c:pt idx="15">
                  <c:v>128044</c:v>
                </c:pt>
                <c:pt idx="17">
                  <c:v>19119</c:v>
                </c:pt>
                <c:pt idx="18">
                  <c:v>1701</c:v>
                </c:pt>
                <c:pt idx="20">
                  <c:v>1755</c:v>
                </c:pt>
                <c:pt idx="21">
                  <c:v>3470</c:v>
                </c:pt>
                <c:pt idx="22">
                  <c:v>210181</c:v>
                </c:pt>
                <c:pt idx="23">
                  <c:v>442280</c:v>
                </c:pt>
                <c:pt idx="24">
                  <c:v>170189</c:v>
                </c:pt>
                <c:pt idx="25">
                  <c:v>5685</c:v>
                </c:pt>
                <c:pt idx="26">
                  <c:v>20635</c:v>
                </c:pt>
                <c:pt idx="27">
                  <c:v>19957</c:v>
                </c:pt>
                <c:pt idx="28">
                  <c:v>121762</c:v>
                </c:pt>
                <c:pt idx="29">
                  <c:v>37831</c:v>
                </c:pt>
                <c:pt idx="31">
                  <c:v>22960</c:v>
                </c:pt>
                <c:pt idx="32">
                  <c:v>12040</c:v>
                </c:pt>
                <c:pt idx="33">
                  <c:v>908</c:v>
                </c:pt>
                <c:pt idx="34">
                  <c:v>194323</c:v>
                </c:pt>
                <c:pt idx="35">
                  <c:v>123131</c:v>
                </c:pt>
                <c:pt idx="36">
                  <c:v>17252</c:v>
                </c:pt>
                <c:pt idx="37">
                  <c:v>17541</c:v>
                </c:pt>
                <c:pt idx="38">
                  <c:v>113024</c:v>
                </c:pt>
                <c:pt idx="39">
                  <c:v>40938</c:v>
                </c:pt>
                <c:pt idx="40">
                  <c:v>44163</c:v>
                </c:pt>
                <c:pt idx="44">
                  <c:v>12003</c:v>
                </c:pt>
                <c:pt idx="45">
                  <c:v>11757</c:v>
                </c:pt>
                <c:pt idx="46">
                  <c:v>10734</c:v>
                </c:pt>
                <c:pt idx="47">
                  <c:v>14220</c:v>
                </c:pt>
                <c:pt idx="48">
                  <c:v>19826</c:v>
                </c:pt>
                <c:pt idx="49">
                  <c:v>2448</c:v>
                </c:pt>
                <c:pt idx="50">
                  <c:v>74203</c:v>
                </c:pt>
                <c:pt idx="57">
                  <c:v>9373</c:v>
                </c:pt>
                <c:pt idx="58">
                  <c:v>780</c:v>
                </c:pt>
                <c:pt idx="59">
                  <c:v>35406</c:v>
                </c:pt>
                <c:pt idx="60">
                  <c:v>15626</c:v>
                </c:pt>
                <c:pt idx="61">
                  <c:v>13944</c:v>
                </c:pt>
                <c:pt idx="62">
                  <c:v>24000</c:v>
                </c:pt>
                <c:pt idx="63">
                  <c:v>30572</c:v>
                </c:pt>
                <c:pt idx="64">
                  <c:v>165618</c:v>
                </c:pt>
                <c:pt idx="65">
                  <c:v>29433</c:v>
                </c:pt>
                <c:pt idx="66">
                  <c:v>17770</c:v>
                </c:pt>
                <c:pt idx="68">
                  <c:v>1021</c:v>
                </c:pt>
                <c:pt idx="69">
                  <c:v>15639</c:v>
                </c:pt>
                <c:pt idx="72">
                  <c:v>158126</c:v>
                </c:pt>
                <c:pt idx="73">
                  <c:v>37075</c:v>
                </c:pt>
                <c:pt idx="74">
                  <c:v>25566</c:v>
                </c:pt>
                <c:pt idx="75">
                  <c:v>787356</c:v>
                </c:pt>
                <c:pt idx="76">
                  <c:v>641980</c:v>
                </c:pt>
                <c:pt idx="77">
                  <c:v>265392</c:v>
                </c:pt>
                <c:pt idx="78">
                  <c:v>51570</c:v>
                </c:pt>
              </c:numCache>
            </c:numRef>
          </c:val>
          <c:extLst>
            <c:ext xmlns:c16="http://schemas.microsoft.com/office/drawing/2014/chart" uri="{C3380CC4-5D6E-409C-BE32-E72D297353CC}">
              <c16:uniqueId val="{00000000-4E23-4668-954A-AB9C4A4EC7E9}"/>
            </c:ext>
          </c:extLst>
        </c:ser>
        <c:dLbls>
          <c:showLegendKey val="0"/>
          <c:showVal val="0"/>
          <c:showCatName val="0"/>
          <c:showSerName val="0"/>
          <c:showPercent val="0"/>
          <c:showBubbleSize val="0"/>
        </c:dLbls>
        <c:gapWidth val="127"/>
        <c:axId val="2047804799"/>
        <c:axId val="1"/>
      </c:barChart>
      <c:catAx>
        <c:axId val="2047804799"/>
        <c:scaling>
          <c:orientation val="minMax"/>
        </c:scaling>
        <c:delete val="0"/>
        <c:axPos val="b"/>
        <c:minorGridlines>
          <c:spPr>
            <a:ln>
              <a:solidFill>
                <a:schemeClr val="tx2">
                  <a:lumMod val="20000"/>
                  <a:lumOff val="80000"/>
                </a:schemeClr>
              </a:solidFill>
            </a:ln>
          </c:spPr>
        </c:minorGridlines>
        <c:numFmt formatCode="General" sourceLinked="1"/>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tr-TR"/>
          </a:p>
        </c:txPr>
        <c:crossAx val="1"/>
        <c:crosses val="autoZero"/>
        <c:auto val="1"/>
        <c:lblAlgn val="ctr"/>
        <c:lblOffset val="100"/>
        <c:noMultiLvlLbl val="0"/>
      </c:catAx>
      <c:valAx>
        <c:axId val="1"/>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tr-TR"/>
          </a:p>
        </c:txPr>
        <c:crossAx val="2047804799"/>
        <c:crosses val="autoZero"/>
        <c:crossBetween val="between"/>
      </c:valAx>
    </c:plotArea>
    <c:plotVisOnly val="1"/>
    <c:dispBlanksAs val="gap"/>
    <c:showDLblsOverMax val="0"/>
  </c:chart>
  <c:spPr>
    <a:ln>
      <a:solidFill>
        <a:srgbClr val="00B050"/>
      </a:solidFill>
    </a:ln>
  </c:spPr>
  <c:txPr>
    <a:bodyPr/>
    <a:lstStyle/>
    <a:p>
      <a:pPr>
        <a:defRPr sz="1000" b="0" i="0" u="none" strike="noStrike" baseline="0">
          <a:solidFill>
            <a:srgbClr val="000000"/>
          </a:solidFill>
          <a:latin typeface="Calibri"/>
          <a:ea typeface="Calibri"/>
          <a:cs typeface="Calibri"/>
        </a:defRPr>
      </a:pPr>
      <a:endParaRPr lang="tr-T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sz="2000" b="1" i="0" u="none" strike="noStrike" baseline="0">
                <a:solidFill>
                  <a:srgbClr val="000000"/>
                </a:solidFill>
                <a:latin typeface="Calibri"/>
                <a:ea typeface="Calibri"/>
                <a:cs typeface="Calibri"/>
              </a:defRPr>
            </a:pPr>
            <a:r>
              <a:rPr lang="tr-TR" sz="2000"/>
              <a:t>5.1. İllere Göre Arazi Toplulaştırma Hizmetleri</a:t>
            </a:r>
            <a:r>
              <a:rPr lang="tr-TR" sz="2000" baseline="0"/>
              <a:t> </a:t>
            </a:r>
            <a:r>
              <a:rPr lang="tr-TR" sz="2000"/>
              <a:t>(Ha), 2020</a:t>
            </a:r>
          </a:p>
        </c:rich>
      </c:tx>
      <c:layout>
        <c:manualLayout>
          <c:xMode val="edge"/>
          <c:yMode val="edge"/>
          <c:x val="0.29165470116361364"/>
          <c:y val="1.247833690297831E-2"/>
        </c:manualLayout>
      </c:layout>
      <c:overlay val="0"/>
    </c:title>
    <c:autoTitleDeleted val="0"/>
    <c:plotArea>
      <c:layout>
        <c:manualLayout>
          <c:layoutTarget val="inner"/>
          <c:xMode val="edge"/>
          <c:yMode val="edge"/>
          <c:x val="4.5922038785966159E-2"/>
          <c:y val="0.12805557346136695"/>
          <c:w val="0.94733192913676512"/>
          <c:h val="0.64563746938405797"/>
        </c:manualLayout>
      </c:layout>
      <c:barChart>
        <c:barDir val="col"/>
        <c:grouping val="clustered"/>
        <c:varyColors val="0"/>
        <c:ser>
          <c:idx val="0"/>
          <c:order val="0"/>
          <c:tx>
            <c:strRef>
              <c:f>'5.1.Tablo'!$Q$4</c:f>
              <c:strCache>
                <c:ptCount val="1"/>
                <c:pt idx="0">
                  <c:v>2020</c:v>
                </c:pt>
              </c:strCache>
            </c:strRef>
          </c:tx>
          <c:invertIfNegative val="0"/>
          <c:dLbls>
            <c:spPr>
              <a:noFill/>
              <a:ln>
                <a:noFill/>
              </a:ln>
              <a:effectLst/>
            </c:spPr>
            <c:txPr>
              <a:bodyPr rot="-5400000" vert="horz" wrap="square" lIns="38100" tIns="19050" rIns="38100" bIns="19050" anchor="ctr">
                <a:spAutoFit/>
              </a:bodyPr>
              <a:lstStyle/>
              <a:p>
                <a:pPr>
                  <a:defRPr sz="1200"/>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'5.1.Tablo'!$C$6:$C$86</c:f>
              <c:strCache>
                <c:ptCount val="81"/>
                <c:pt idx="0">
                  <c:v>İstanbul</c:v>
                </c:pt>
                <c:pt idx="1">
                  <c:v>Tekirdağ</c:v>
                </c:pt>
                <c:pt idx="2">
                  <c:v>Edirne</c:v>
                </c:pt>
                <c:pt idx="3">
                  <c:v>Kırklareli</c:v>
                </c:pt>
                <c:pt idx="4">
                  <c:v>Balıkesir</c:v>
                </c:pt>
                <c:pt idx="5">
                  <c:v>Çanakkale</c:v>
                </c:pt>
                <c:pt idx="6">
                  <c:v>İzmir</c:v>
                </c:pt>
                <c:pt idx="7">
                  <c:v>Aydın</c:v>
                </c:pt>
                <c:pt idx="8">
                  <c:v>Denizli</c:v>
                </c:pt>
                <c:pt idx="9">
                  <c:v>Muğla</c:v>
                </c:pt>
                <c:pt idx="10">
                  <c:v>Manisa</c:v>
                </c:pt>
                <c:pt idx="11">
                  <c:v>Afyonkarahisar</c:v>
                </c:pt>
                <c:pt idx="12">
                  <c:v>Kütahya</c:v>
                </c:pt>
                <c:pt idx="13">
                  <c:v>Uşak</c:v>
                </c:pt>
                <c:pt idx="14">
                  <c:v>Bursa</c:v>
                </c:pt>
                <c:pt idx="15">
                  <c:v>Eskişehir</c:v>
                </c:pt>
                <c:pt idx="16">
                  <c:v>Bilecik</c:v>
                </c:pt>
                <c:pt idx="17">
                  <c:v>Kocaeli</c:v>
                </c:pt>
                <c:pt idx="18">
                  <c:v>Sakarya</c:v>
                </c:pt>
                <c:pt idx="19">
                  <c:v>Düzce</c:v>
                </c:pt>
                <c:pt idx="20">
                  <c:v>Bolu</c:v>
                </c:pt>
                <c:pt idx="21">
                  <c:v>Yalova</c:v>
                </c:pt>
                <c:pt idx="22">
                  <c:v>Ankara</c:v>
                </c:pt>
                <c:pt idx="23">
                  <c:v>Konya</c:v>
                </c:pt>
                <c:pt idx="24">
                  <c:v>Karaman</c:v>
                </c:pt>
                <c:pt idx="25">
                  <c:v>Antalya</c:v>
                </c:pt>
                <c:pt idx="26">
                  <c:v>Isparta</c:v>
                </c:pt>
                <c:pt idx="27">
                  <c:v>Burdur</c:v>
                </c:pt>
                <c:pt idx="28">
                  <c:v>Adana</c:v>
                </c:pt>
                <c:pt idx="29">
                  <c:v>Mersin</c:v>
                </c:pt>
                <c:pt idx="30">
                  <c:v>Hatay</c:v>
                </c:pt>
                <c:pt idx="31">
                  <c:v>Kahramanmaraş</c:v>
                </c:pt>
                <c:pt idx="32">
                  <c:v>Osmaniye</c:v>
                </c:pt>
                <c:pt idx="33">
                  <c:v>Kırıkkale</c:v>
                </c:pt>
                <c:pt idx="34">
                  <c:v>Aksaray</c:v>
                </c:pt>
                <c:pt idx="35">
                  <c:v>Niğde</c:v>
                </c:pt>
                <c:pt idx="36">
                  <c:v>Nevşehir</c:v>
                </c:pt>
                <c:pt idx="37">
                  <c:v>Kırşehir</c:v>
                </c:pt>
                <c:pt idx="38">
                  <c:v>Kayseri</c:v>
                </c:pt>
                <c:pt idx="39">
                  <c:v>Sivas</c:v>
                </c:pt>
                <c:pt idx="40">
                  <c:v>Yozgat</c:v>
                </c:pt>
                <c:pt idx="41">
                  <c:v>Zonguldak</c:v>
                </c:pt>
                <c:pt idx="42">
                  <c:v>Karabük</c:v>
                </c:pt>
                <c:pt idx="43">
                  <c:v>Bartın</c:v>
                </c:pt>
                <c:pt idx="44">
                  <c:v>Kastamonu</c:v>
                </c:pt>
                <c:pt idx="45">
                  <c:v>Çankırı</c:v>
                </c:pt>
                <c:pt idx="46">
                  <c:v>Sinop</c:v>
                </c:pt>
                <c:pt idx="47">
                  <c:v>Samsun</c:v>
                </c:pt>
                <c:pt idx="48">
                  <c:v>Tokat</c:v>
                </c:pt>
                <c:pt idx="49">
                  <c:v>Çorum</c:v>
                </c:pt>
                <c:pt idx="50">
                  <c:v>Amasya</c:v>
                </c:pt>
                <c:pt idx="51">
                  <c:v>Trabzon</c:v>
                </c:pt>
                <c:pt idx="52">
                  <c:v>Ordu</c:v>
                </c:pt>
                <c:pt idx="53">
                  <c:v>Giresun</c:v>
                </c:pt>
                <c:pt idx="54">
                  <c:v>Rize</c:v>
                </c:pt>
                <c:pt idx="55">
                  <c:v>Artvin</c:v>
                </c:pt>
                <c:pt idx="56">
                  <c:v>Gümüşhane</c:v>
                </c:pt>
                <c:pt idx="57">
                  <c:v>Erzurum</c:v>
                </c:pt>
                <c:pt idx="58">
                  <c:v>Erzincan</c:v>
                </c:pt>
                <c:pt idx="59">
                  <c:v>Bayburt</c:v>
                </c:pt>
                <c:pt idx="60">
                  <c:v>Ağrı</c:v>
                </c:pt>
                <c:pt idx="61">
                  <c:v>Kars</c:v>
                </c:pt>
                <c:pt idx="62">
                  <c:v>Iğdır</c:v>
                </c:pt>
                <c:pt idx="63">
                  <c:v>Ardahan</c:v>
                </c:pt>
                <c:pt idx="64">
                  <c:v>Malatya</c:v>
                </c:pt>
                <c:pt idx="65">
                  <c:v>Elazığ</c:v>
                </c:pt>
                <c:pt idx="66">
                  <c:v>Bingöl</c:v>
                </c:pt>
                <c:pt idx="67">
                  <c:v>Tunceli</c:v>
                </c:pt>
                <c:pt idx="68">
                  <c:v>Van</c:v>
                </c:pt>
                <c:pt idx="69">
                  <c:v>Muş</c:v>
                </c:pt>
                <c:pt idx="70">
                  <c:v>Bitlis</c:v>
                </c:pt>
                <c:pt idx="71">
                  <c:v>Hakkari</c:v>
                </c:pt>
                <c:pt idx="72">
                  <c:v>Gaziantep</c:v>
                </c:pt>
                <c:pt idx="73">
                  <c:v>Adıyaman</c:v>
                </c:pt>
                <c:pt idx="74">
                  <c:v>Kilis</c:v>
                </c:pt>
                <c:pt idx="75">
                  <c:v>Şanlıurfa</c:v>
                </c:pt>
                <c:pt idx="76">
                  <c:v>Diyarbakır</c:v>
                </c:pt>
                <c:pt idx="77">
                  <c:v>Mardin</c:v>
                </c:pt>
                <c:pt idx="78">
                  <c:v>Batman</c:v>
                </c:pt>
                <c:pt idx="79">
                  <c:v>Şırnak</c:v>
                </c:pt>
                <c:pt idx="80">
                  <c:v>Siirt</c:v>
                </c:pt>
              </c:strCache>
            </c:strRef>
          </c:cat>
          <c:val>
            <c:numRef>
              <c:f>'5.1.Tablo'!$Q$6:$Q$86</c:f>
              <c:numCache>
                <c:formatCode>#,##0</c:formatCode>
                <c:ptCount val="81"/>
                <c:pt idx="2">
                  <c:v>18259</c:v>
                </c:pt>
                <c:pt idx="4">
                  <c:v>12537</c:v>
                </c:pt>
                <c:pt idx="5">
                  <c:v>7095</c:v>
                </c:pt>
                <c:pt idx="6">
                  <c:v>5083</c:v>
                </c:pt>
                <c:pt idx="7">
                  <c:v>8946</c:v>
                </c:pt>
                <c:pt idx="8">
                  <c:v>6500</c:v>
                </c:pt>
                <c:pt idx="10">
                  <c:v>494</c:v>
                </c:pt>
                <c:pt idx="11">
                  <c:v>9998</c:v>
                </c:pt>
                <c:pt idx="12">
                  <c:v>3000</c:v>
                </c:pt>
                <c:pt idx="14">
                  <c:v>7015</c:v>
                </c:pt>
                <c:pt idx="15">
                  <c:v>19163</c:v>
                </c:pt>
                <c:pt idx="17">
                  <c:v>13361</c:v>
                </c:pt>
                <c:pt idx="20">
                  <c:v>1755</c:v>
                </c:pt>
                <c:pt idx="22">
                  <c:v>31548</c:v>
                </c:pt>
                <c:pt idx="23">
                  <c:v>86639</c:v>
                </c:pt>
                <c:pt idx="24">
                  <c:v>12074</c:v>
                </c:pt>
                <c:pt idx="26">
                  <c:v>7688</c:v>
                </c:pt>
                <c:pt idx="27">
                  <c:v>2405</c:v>
                </c:pt>
                <c:pt idx="28">
                  <c:v>8995</c:v>
                </c:pt>
                <c:pt idx="29">
                  <c:v>9921</c:v>
                </c:pt>
                <c:pt idx="31">
                  <c:v>4761</c:v>
                </c:pt>
                <c:pt idx="34">
                  <c:v>27605</c:v>
                </c:pt>
                <c:pt idx="35">
                  <c:v>27768</c:v>
                </c:pt>
                <c:pt idx="38">
                  <c:v>19957</c:v>
                </c:pt>
                <c:pt idx="39">
                  <c:v>10028</c:v>
                </c:pt>
                <c:pt idx="40">
                  <c:v>727</c:v>
                </c:pt>
                <c:pt idx="46">
                  <c:v>3574</c:v>
                </c:pt>
                <c:pt idx="48">
                  <c:v>7457</c:v>
                </c:pt>
                <c:pt idx="49">
                  <c:v>2448</c:v>
                </c:pt>
                <c:pt idx="50">
                  <c:v>10381</c:v>
                </c:pt>
                <c:pt idx="60">
                  <c:v>4126</c:v>
                </c:pt>
                <c:pt idx="61">
                  <c:v>12135</c:v>
                </c:pt>
                <c:pt idx="63">
                  <c:v>18304</c:v>
                </c:pt>
                <c:pt idx="64">
                  <c:v>67106</c:v>
                </c:pt>
                <c:pt idx="65">
                  <c:v>26974</c:v>
                </c:pt>
                <c:pt idx="69">
                  <c:v>5728</c:v>
                </c:pt>
                <c:pt idx="73">
                  <c:v>5405</c:v>
                </c:pt>
                <c:pt idx="74">
                  <c:v>17872</c:v>
                </c:pt>
              </c:numCache>
            </c:numRef>
          </c:val>
          <c:extLst>
            <c:ext xmlns:c16="http://schemas.microsoft.com/office/drawing/2014/chart" uri="{C3380CC4-5D6E-409C-BE32-E72D297353CC}">
              <c16:uniqueId val="{00000000-A59C-4793-AB2D-C5F71F0DB8B4}"/>
            </c:ext>
          </c:extLst>
        </c:ser>
        <c:dLbls>
          <c:showLegendKey val="0"/>
          <c:showVal val="0"/>
          <c:showCatName val="0"/>
          <c:showSerName val="0"/>
          <c:showPercent val="0"/>
          <c:showBubbleSize val="0"/>
        </c:dLbls>
        <c:gapWidth val="127"/>
        <c:axId val="2047804799"/>
        <c:axId val="1"/>
      </c:barChart>
      <c:catAx>
        <c:axId val="2047804799"/>
        <c:scaling>
          <c:orientation val="minMax"/>
        </c:scaling>
        <c:delete val="0"/>
        <c:axPos val="b"/>
        <c:minorGridlines>
          <c:spPr>
            <a:ln>
              <a:solidFill>
                <a:schemeClr val="tx2">
                  <a:lumMod val="20000"/>
                  <a:lumOff val="80000"/>
                </a:schemeClr>
              </a:solidFill>
            </a:ln>
          </c:spPr>
        </c:minorGridlines>
        <c:numFmt formatCode="General" sourceLinked="1"/>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tr-TR"/>
          </a:p>
        </c:txPr>
        <c:crossAx val="1"/>
        <c:crosses val="autoZero"/>
        <c:auto val="1"/>
        <c:lblAlgn val="ctr"/>
        <c:lblOffset val="100"/>
        <c:noMultiLvlLbl val="0"/>
      </c:catAx>
      <c:valAx>
        <c:axId val="1"/>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tr-TR"/>
          </a:p>
        </c:txPr>
        <c:crossAx val="2047804799"/>
        <c:crosses val="autoZero"/>
        <c:crossBetween val="between"/>
      </c:valAx>
    </c:plotArea>
    <c:plotVisOnly val="1"/>
    <c:dispBlanksAs val="gap"/>
    <c:showDLblsOverMax val="0"/>
  </c:chart>
  <c:spPr>
    <a:ln>
      <a:solidFill>
        <a:srgbClr val="00B050"/>
      </a:solidFill>
    </a:ln>
  </c:spPr>
  <c:txPr>
    <a:bodyPr/>
    <a:lstStyle/>
    <a:p>
      <a:pPr>
        <a:defRPr sz="1000" b="0" i="0" u="none" strike="noStrike" baseline="0">
          <a:solidFill>
            <a:srgbClr val="000000"/>
          </a:solidFill>
          <a:latin typeface="Calibri"/>
          <a:ea typeface="Calibri"/>
          <a:cs typeface="Calibri"/>
        </a:defRPr>
      </a:pPr>
      <a:endParaRPr lang="tr-TR"/>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509059</xdr:colOff>
      <xdr:row>1</xdr:row>
      <xdr:rowOff>50800</xdr:rowOff>
    </xdr:from>
    <xdr:to>
      <xdr:col>17</xdr:col>
      <xdr:colOff>945577</xdr:colOff>
      <xdr:row>1</xdr:row>
      <xdr:rowOff>315383</xdr:rowOff>
    </xdr:to>
    <xdr:pic>
      <xdr:nvPicPr>
        <xdr:cNvPr id="2" name="Resi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77034" y="250825"/>
          <a:ext cx="436518" cy="2645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91</xdr:row>
      <xdr:rowOff>83344</xdr:rowOff>
    </xdr:from>
    <xdr:to>
      <xdr:col>32</xdr:col>
      <xdr:colOff>259291</xdr:colOff>
      <xdr:row>123</xdr:row>
      <xdr:rowOff>93927</xdr:rowOff>
    </xdr:to>
    <xdr:graphicFrame macro="">
      <xdr:nvGraphicFramePr>
        <xdr:cNvPr id="3" name="Grafik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125</xdr:row>
      <xdr:rowOff>0</xdr:rowOff>
    </xdr:from>
    <xdr:to>
      <xdr:col>32</xdr:col>
      <xdr:colOff>211666</xdr:colOff>
      <xdr:row>157</xdr:row>
      <xdr:rowOff>10583</xdr:rowOff>
    </xdr:to>
    <xdr:graphicFrame macro="">
      <xdr:nvGraphicFramePr>
        <xdr:cNvPr id="4" name="Grafik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0.00385</cdr:x>
      <cdr:y>0.01317</cdr:y>
    </cdr:from>
    <cdr:to>
      <cdr:x>0.03912</cdr:x>
      <cdr:y>0.07487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75404" y="80425"/>
          <a:ext cx="690781" cy="37677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3.xml><?xml version="1.0" encoding="utf-8"?>
<c:userShapes xmlns:c="http://schemas.openxmlformats.org/drawingml/2006/chart">
  <cdr:relSizeAnchor xmlns:cdr="http://schemas.openxmlformats.org/drawingml/2006/chartDrawing">
    <cdr:from>
      <cdr:x>0.00385</cdr:x>
      <cdr:y>0.01317</cdr:y>
    </cdr:from>
    <cdr:to>
      <cdr:x>0.03912</cdr:x>
      <cdr:y>0.07487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75404" y="80425"/>
          <a:ext cx="690781" cy="37677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91"/>
  <sheetViews>
    <sheetView tabSelected="1" topLeftCell="A76" zoomScale="80" zoomScaleNormal="80" workbookViewId="0">
      <selection activeCell="B90" sqref="B90:R90"/>
    </sheetView>
  </sheetViews>
  <sheetFormatPr defaultRowHeight="15" x14ac:dyDescent="0.25"/>
  <cols>
    <col min="1" max="1" width="5" customWidth="1"/>
    <col min="2" max="2" width="11" customWidth="1"/>
    <col min="3" max="3" width="16.7109375" style="13" customWidth="1"/>
    <col min="4" max="4" width="10.85546875" style="13" bestFit="1" customWidth="1"/>
    <col min="5" max="9" width="8" style="3" bestFit="1" customWidth="1"/>
    <col min="10" max="16" width="9.28515625" style="3" bestFit="1" customWidth="1"/>
    <col min="17" max="17" width="9.28515625" style="41" bestFit="1" customWidth="1"/>
    <col min="18" max="18" width="15.140625" customWidth="1"/>
    <col min="19" max="19" width="7.42578125" customWidth="1"/>
    <col min="20" max="20" width="15.28515625" style="1" bestFit="1" customWidth="1"/>
    <col min="21" max="21" width="9.140625" style="1"/>
    <col min="22" max="22" width="18.140625" bestFit="1" customWidth="1"/>
  </cols>
  <sheetData>
    <row r="1" spans="2:22" ht="15.75" thickBot="1" x14ac:dyDescent="0.3">
      <c r="B1" s="43"/>
      <c r="C1" s="43"/>
      <c r="D1" s="43"/>
      <c r="E1" s="43"/>
      <c r="F1" s="43"/>
      <c r="G1" s="43"/>
      <c r="H1" s="43"/>
      <c r="I1" s="43"/>
      <c r="J1" s="43"/>
      <c r="K1" s="43"/>
      <c r="L1" s="43"/>
      <c r="M1" s="43"/>
      <c r="N1" s="43"/>
      <c r="O1" s="43"/>
      <c r="P1" s="43"/>
      <c r="Q1" s="36"/>
      <c r="T1"/>
      <c r="U1"/>
    </row>
    <row r="2" spans="2:22" ht="27" customHeight="1" thickBot="1" x14ac:dyDescent="0.3">
      <c r="B2" s="48" t="s">
        <v>170</v>
      </c>
      <c r="C2" s="49"/>
      <c r="D2" s="49"/>
      <c r="E2" s="49"/>
      <c r="F2" s="49"/>
      <c r="G2" s="49"/>
      <c r="H2" s="49"/>
      <c r="I2" s="49"/>
      <c r="J2" s="49"/>
      <c r="K2" s="49"/>
      <c r="L2" s="49"/>
      <c r="M2" s="49"/>
      <c r="N2" s="49"/>
      <c r="O2" s="49"/>
      <c r="P2" s="49"/>
      <c r="Q2" s="49"/>
      <c r="R2" s="50"/>
      <c r="T2"/>
      <c r="U2"/>
    </row>
    <row r="3" spans="2:22" ht="27" customHeight="1" thickBot="1" x14ac:dyDescent="0.3">
      <c r="B3" s="44" t="s">
        <v>162</v>
      </c>
      <c r="C3" s="46" t="s">
        <v>163</v>
      </c>
      <c r="D3" s="51" t="s">
        <v>168</v>
      </c>
      <c r="E3" s="52"/>
      <c r="F3" s="52"/>
      <c r="G3" s="52"/>
      <c r="H3" s="52"/>
      <c r="I3" s="52"/>
      <c r="J3" s="52"/>
      <c r="K3" s="52"/>
      <c r="L3" s="52"/>
      <c r="M3" s="52"/>
      <c r="N3" s="52"/>
      <c r="O3" s="52"/>
      <c r="P3" s="52"/>
      <c r="Q3" s="52"/>
      <c r="R3" s="53"/>
      <c r="T3"/>
      <c r="U3"/>
    </row>
    <row r="4" spans="2:22" ht="36.75" customHeight="1" thickBot="1" x14ac:dyDescent="0.3">
      <c r="B4" s="45"/>
      <c r="C4" s="47"/>
      <c r="D4" s="15" t="s">
        <v>169</v>
      </c>
      <c r="E4" s="8">
        <v>2008</v>
      </c>
      <c r="F4" s="16">
        <v>2009</v>
      </c>
      <c r="G4" s="8">
        <v>2010</v>
      </c>
      <c r="H4" s="16">
        <v>2011</v>
      </c>
      <c r="I4" s="8">
        <v>2012</v>
      </c>
      <c r="J4" s="16">
        <v>2013</v>
      </c>
      <c r="K4" s="8">
        <v>2014</v>
      </c>
      <c r="L4" s="16">
        <v>2015</v>
      </c>
      <c r="M4" s="8">
        <v>2016</v>
      </c>
      <c r="N4" s="16">
        <v>2017</v>
      </c>
      <c r="O4" s="8">
        <v>2018</v>
      </c>
      <c r="P4" s="16">
        <v>2019</v>
      </c>
      <c r="Q4" s="8">
        <v>2020</v>
      </c>
      <c r="R4" s="23" t="s">
        <v>167</v>
      </c>
      <c r="T4"/>
      <c r="U4"/>
    </row>
    <row r="5" spans="2:22" ht="16.5" thickBot="1" x14ac:dyDescent="0.3">
      <c r="B5" s="17" t="s">
        <v>164</v>
      </c>
      <c r="C5" s="14"/>
      <c r="D5" s="28">
        <f t="shared" ref="D5:R5" si="0">SUM(D6:D86)</f>
        <v>582000</v>
      </c>
      <c r="E5" s="28">
        <f t="shared" si="0"/>
        <v>25500</v>
      </c>
      <c r="F5" s="28">
        <f t="shared" si="0"/>
        <v>39965</v>
      </c>
      <c r="G5" s="28">
        <f t="shared" si="0"/>
        <v>47668</v>
      </c>
      <c r="H5" s="28">
        <f t="shared" si="0"/>
        <v>57970</v>
      </c>
      <c r="I5" s="28">
        <f t="shared" si="0"/>
        <v>14341</v>
      </c>
      <c r="J5" s="28">
        <f t="shared" si="0"/>
        <v>306120</v>
      </c>
      <c r="K5" s="28">
        <f t="shared" si="0"/>
        <v>171091</v>
      </c>
      <c r="L5" s="28">
        <f t="shared" si="0"/>
        <v>454367</v>
      </c>
      <c r="M5" s="28">
        <f t="shared" si="0"/>
        <v>453895</v>
      </c>
      <c r="N5" s="28">
        <f t="shared" si="0"/>
        <v>951104</v>
      </c>
      <c r="O5" s="28">
        <f t="shared" si="0"/>
        <v>496000</v>
      </c>
      <c r="P5" s="28">
        <f t="shared" si="0"/>
        <v>619000</v>
      </c>
      <c r="Q5" s="28">
        <f t="shared" ref="Q5" si="1">SUM(Q6:Q86)</f>
        <v>544832</v>
      </c>
      <c r="R5" s="37">
        <f t="shared" si="0"/>
        <v>4763853</v>
      </c>
      <c r="T5"/>
      <c r="U5"/>
    </row>
    <row r="6" spans="2:22" ht="15.75" x14ac:dyDescent="0.25">
      <c r="B6" s="9" t="s">
        <v>80</v>
      </c>
      <c r="C6" s="24" t="s">
        <v>32</v>
      </c>
      <c r="D6" s="29"/>
      <c r="E6" s="30"/>
      <c r="F6" s="30"/>
      <c r="G6" s="30"/>
      <c r="H6" s="30"/>
      <c r="I6" s="30"/>
      <c r="J6" s="30"/>
      <c r="K6" s="30"/>
      <c r="L6" s="30"/>
      <c r="M6" s="30"/>
      <c r="N6" s="30"/>
      <c r="O6" s="30"/>
      <c r="P6" s="30"/>
      <c r="Q6" s="30"/>
      <c r="R6" s="38"/>
      <c r="T6" s="4"/>
      <c r="U6" s="4"/>
      <c r="V6" s="5"/>
    </row>
    <row r="7" spans="2:22" ht="15.75" x14ac:dyDescent="0.25">
      <c r="B7" s="10" t="s">
        <v>81</v>
      </c>
      <c r="C7" s="25" t="s">
        <v>57</v>
      </c>
      <c r="D7" s="31">
        <v>6239</v>
      </c>
      <c r="E7" s="32"/>
      <c r="F7" s="32"/>
      <c r="G7" s="32"/>
      <c r="H7" s="32"/>
      <c r="I7" s="32"/>
      <c r="J7" s="32"/>
      <c r="K7" s="32"/>
      <c r="L7" s="32"/>
      <c r="M7" s="32"/>
      <c r="N7" s="32"/>
      <c r="O7" s="32"/>
      <c r="P7" s="32"/>
      <c r="Q7" s="32"/>
      <c r="R7" s="39">
        <f t="shared" ref="R7:R70" si="2">SUM(D7:Q7)</f>
        <v>6239</v>
      </c>
      <c r="T7" s="4"/>
      <c r="U7" s="4"/>
      <c r="V7" s="5"/>
    </row>
    <row r="8" spans="2:22" s="19" customFormat="1" ht="15.75" x14ac:dyDescent="0.25">
      <c r="B8" s="18" t="s">
        <v>82</v>
      </c>
      <c r="C8" s="26" t="s">
        <v>21</v>
      </c>
      <c r="D8" s="31">
        <v>16155</v>
      </c>
      <c r="E8" s="32"/>
      <c r="F8" s="32"/>
      <c r="G8" s="32"/>
      <c r="H8" s="32">
        <v>24245</v>
      </c>
      <c r="I8" s="32">
        <v>3649</v>
      </c>
      <c r="J8" s="32"/>
      <c r="K8" s="32">
        <v>29297</v>
      </c>
      <c r="L8" s="32"/>
      <c r="M8" s="32">
        <v>22304</v>
      </c>
      <c r="N8" s="32">
        <v>2631</v>
      </c>
      <c r="O8" s="32"/>
      <c r="P8" s="32">
        <v>3991</v>
      </c>
      <c r="Q8" s="32">
        <v>18259</v>
      </c>
      <c r="R8" s="39">
        <f t="shared" si="2"/>
        <v>120531</v>
      </c>
      <c r="T8" s="21"/>
      <c r="U8" s="21"/>
      <c r="V8" s="22"/>
    </row>
    <row r="9" spans="2:22" s="19" customFormat="1" ht="15.75" x14ac:dyDescent="0.25">
      <c r="B9" s="18" t="s">
        <v>83</v>
      </c>
      <c r="C9" s="26" t="s">
        <v>37</v>
      </c>
      <c r="D9" s="31">
        <v>300</v>
      </c>
      <c r="E9" s="32"/>
      <c r="F9" s="32"/>
      <c r="G9" s="32">
        <v>5671</v>
      </c>
      <c r="H9" s="32"/>
      <c r="I9" s="32"/>
      <c r="J9" s="32"/>
      <c r="K9" s="32"/>
      <c r="L9" s="32"/>
      <c r="M9" s="32"/>
      <c r="N9" s="32"/>
      <c r="O9" s="32"/>
      <c r="P9" s="32"/>
      <c r="Q9" s="32"/>
      <c r="R9" s="39">
        <f t="shared" si="2"/>
        <v>5971</v>
      </c>
      <c r="T9" s="21"/>
      <c r="U9" s="21"/>
      <c r="V9" s="22"/>
    </row>
    <row r="10" spans="2:22" ht="15.75" x14ac:dyDescent="0.25">
      <c r="B10" s="10" t="s">
        <v>84</v>
      </c>
      <c r="C10" s="25" t="s">
        <v>9</v>
      </c>
      <c r="D10" s="31">
        <v>24256</v>
      </c>
      <c r="E10" s="32"/>
      <c r="F10" s="32"/>
      <c r="G10" s="32"/>
      <c r="H10" s="32"/>
      <c r="I10" s="32"/>
      <c r="J10" s="32"/>
      <c r="K10" s="32"/>
      <c r="L10" s="32"/>
      <c r="M10" s="32">
        <v>6423</v>
      </c>
      <c r="N10" s="32">
        <v>8025</v>
      </c>
      <c r="O10" s="32"/>
      <c r="P10" s="32"/>
      <c r="Q10" s="32">
        <v>12537</v>
      </c>
      <c r="R10" s="39">
        <f t="shared" si="2"/>
        <v>51241</v>
      </c>
      <c r="T10" s="4"/>
      <c r="U10" s="4"/>
      <c r="V10" s="5"/>
    </row>
    <row r="11" spans="2:22" ht="15.75" x14ac:dyDescent="0.25">
      <c r="B11" s="10" t="s">
        <v>85</v>
      </c>
      <c r="C11" s="25" t="s">
        <v>16</v>
      </c>
      <c r="D11" s="31">
        <v>7966</v>
      </c>
      <c r="E11" s="32"/>
      <c r="F11" s="32"/>
      <c r="G11" s="32"/>
      <c r="H11" s="32"/>
      <c r="I11" s="32"/>
      <c r="J11" s="32"/>
      <c r="K11" s="32"/>
      <c r="L11" s="32"/>
      <c r="M11" s="32"/>
      <c r="N11" s="32">
        <v>4613</v>
      </c>
      <c r="O11" s="32"/>
      <c r="P11" s="32"/>
      <c r="Q11" s="32">
        <v>7095</v>
      </c>
      <c r="R11" s="39">
        <f t="shared" si="2"/>
        <v>19674</v>
      </c>
      <c r="T11" s="4"/>
      <c r="U11" s="4"/>
      <c r="V11" s="5"/>
    </row>
    <row r="12" spans="2:22" ht="15.75" x14ac:dyDescent="0.25">
      <c r="B12" s="10" t="s">
        <v>86</v>
      </c>
      <c r="C12" s="25" t="s">
        <v>33</v>
      </c>
      <c r="D12" s="31">
        <v>44607</v>
      </c>
      <c r="E12" s="32"/>
      <c r="F12" s="32"/>
      <c r="G12" s="32"/>
      <c r="H12" s="32"/>
      <c r="I12" s="32"/>
      <c r="J12" s="32"/>
      <c r="K12" s="32"/>
      <c r="L12" s="32"/>
      <c r="M12" s="32"/>
      <c r="N12" s="32"/>
      <c r="O12" s="32">
        <v>11911</v>
      </c>
      <c r="P12" s="32"/>
      <c r="Q12" s="32">
        <v>5083</v>
      </c>
      <c r="R12" s="39">
        <f t="shared" si="2"/>
        <v>61601</v>
      </c>
      <c r="T12" s="4"/>
      <c r="U12" s="4"/>
      <c r="V12" s="5"/>
    </row>
    <row r="13" spans="2:22" ht="15.75" x14ac:dyDescent="0.25">
      <c r="B13" s="10" t="s">
        <v>87</v>
      </c>
      <c r="C13" s="25" t="s">
        <v>8</v>
      </c>
      <c r="D13" s="31">
        <v>27194</v>
      </c>
      <c r="E13" s="32"/>
      <c r="F13" s="32"/>
      <c r="G13" s="32">
        <v>5750</v>
      </c>
      <c r="H13" s="32"/>
      <c r="I13" s="32"/>
      <c r="J13" s="32">
        <v>4500</v>
      </c>
      <c r="K13" s="32">
        <v>7300</v>
      </c>
      <c r="L13" s="32"/>
      <c r="M13" s="32"/>
      <c r="N13" s="32">
        <v>4731</v>
      </c>
      <c r="O13" s="32"/>
      <c r="P13" s="32"/>
      <c r="Q13" s="32">
        <v>8946</v>
      </c>
      <c r="R13" s="39">
        <f t="shared" si="2"/>
        <v>58421</v>
      </c>
      <c r="T13" s="4"/>
      <c r="U13" s="4"/>
      <c r="V13" s="5"/>
    </row>
    <row r="14" spans="2:22" ht="15.75" x14ac:dyDescent="0.25">
      <c r="B14" s="10" t="s">
        <v>88</v>
      </c>
      <c r="C14" s="25" t="s">
        <v>19</v>
      </c>
      <c r="D14" s="31">
        <v>31331</v>
      </c>
      <c r="E14" s="32"/>
      <c r="F14" s="32">
        <v>2679</v>
      </c>
      <c r="G14" s="32"/>
      <c r="H14" s="32"/>
      <c r="I14" s="32"/>
      <c r="J14" s="32">
        <v>11044</v>
      </c>
      <c r="K14" s="32"/>
      <c r="L14" s="32"/>
      <c r="M14" s="32"/>
      <c r="N14" s="32">
        <v>7484</v>
      </c>
      <c r="O14" s="32"/>
      <c r="P14" s="32">
        <v>5507</v>
      </c>
      <c r="Q14" s="32">
        <v>6500</v>
      </c>
      <c r="R14" s="39">
        <f t="shared" si="2"/>
        <v>64545</v>
      </c>
      <c r="T14" s="4"/>
      <c r="U14" s="4"/>
      <c r="V14" s="5"/>
    </row>
    <row r="15" spans="2:22" ht="15.75" x14ac:dyDescent="0.25">
      <c r="B15" s="10" t="s">
        <v>89</v>
      </c>
      <c r="C15" s="25" t="s">
        <v>46</v>
      </c>
      <c r="D15" s="31"/>
      <c r="E15" s="32"/>
      <c r="F15" s="32"/>
      <c r="G15" s="32"/>
      <c r="H15" s="32"/>
      <c r="I15" s="32"/>
      <c r="J15" s="32"/>
      <c r="K15" s="32"/>
      <c r="L15" s="32"/>
      <c r="M15" s="32"/>
      <c r="N15" s="32"/>
      <c r="O15" s="32"/>
      <c r="P15" s="32"/>
      <c r="Q15" s="32"/>
      <c r="R15" s="39"/>
      <c r="T15" s="4"/>
      <c r="U15" s="4"/>
      <c r="V15" s="5"/>
    </row>
    <row r="16" spans="2:22" ht="15.75" x14ac:dyDescent="0.25">
      <c r="B16" s="10" t="s">
        <v>90</v>
      </c>
      <c r="C16" s="25" t="s">
        <v>43</v>
      </c>
      <c r="D16" s="31">
        <v>43186</v>
      </c>
      <c r="E16" s="32"/>
      <c r="F16" s="32"/>
      <c r="G16" s="32"/>
      <c r="H16" s="32"/>
      <c r="I16" s="32"/>
      <c r="J16" s="32"/>
      <c r="K16" s="32"/>
      <c r="L16" s="32"/>
      <c r="M16" s="32"/>
      <c r="N16" s="32"/>
      <c r="O16" s="32">
        <v>1523</v>
      </c>
      <c r="P16" s="32"/>
      <c r="Q16" s="32">
        <v>494</v>
      </c>
      <c r="R16" s="39">
        <f t="shared" si="2"/>
        <v>45203</v>
      </c>
      <c r="T16" s="4"/>
      <c r="U16" s="4"/>
      <c r="V16" s="5"/>
    </row>
    <row r="17" spans="2:22" ht="15.75" x14ac:dyDescent="0.25">
      <c r="B17" s="10" t="s">
        <v>91</v>
      </c>
      <c r="C17" s="25" t="s">
        <v>2</v>
      </c>
      <c r="D17" s="31">
        <v>741</v>
      </c>
      <c r="E17" s="32"/>
      <c r="F17" s="32"/>
      <c r="G17" s="32"/>
      <c r="H17" s="32"/>
      <c r="I17" s="32"/>
      <c r="J17" s="32"/>
      <c r="K17" s="32"/>
      <c r="L17" s="32"/>
      <c r="M17" s="32"/>
      <c r="N17" s="32"/>
      <c r="O17" s="32">
        <v>3276</v>
      </c>
      <c r="P17" s="32">
        <v>13797</v>
      </c>
      <c r="Q17" s="32">
        <v>9998</v>
      </c>
      <c r="R17" s="39">
        <f t="shared" si="2"/>
        <v>27812</v>
      </c>
      <c r="T17" s="4"/>
      <c r="U17" s="4"/>
      <c r="V17" s="5"/>
    </row>
    <row r="18" spans="2:22" ht="15.75" x14ac:dyDescent="0.25">
      <c r="B18" s="10" t="s">
        <v>92</v>
      </c>
      <c r="C18" s="25" t="s">
        <v>41</v>
      </c>
      <c r="D18" s="31">
        <v>1603</v>
      </c>
      <c r="E18" s="32"/>
      <c r="F18" s="32"/>
      <c r="G18" s="32"/>
      <c r="H18" s="32"/>
      <c r="I18" s="32"/>
      <c r="J18" s="32"/>
      <c r="K18" s="32"/>
      <c r="L18" s="32"/>
      <c r="M18" s="32"/>
      <c r="N18" s="32"/>
      <c r="O18" s="32">
        <v>8945</v>
      </c>
      <c r="P18" s="32"/>
      <c r="Q18" s="32">
        <v>3000</v>
      </c>
      <c r="R18" s="39">
        <f t="shared" si="2"/>
        <v>13548</v>
      </c>
      <c r="T18" s="4"/>
      <c r="U18" s="4"/>
      <c r="V18" s="5"/>
    </row>
    <row r="19" spans="2:22" ht="15.75" x14ac:dyDescent="0.25">
      <c r="B19" s="10" t="s">
        <v>93</v>
      </c>
      <c r="C19" s="25" t="s">
        <v>62</v>
      </c>
      <c r="D19" s="31"/>
      <c r="E19" s="32"/>
      <c r="F19" s="32"/>
      <c r="G19" s="32"/>
      <c r="H19" s="32"/>
      <c r="I19" s="32"/>
      <c r="J19" s="32"/>
      <c r="K19" s="32"/>
      <c r="L19" s="32"/>
      <c r="M19" s="32"/>
      <c r="N19" s="32"/>
      <c r="O19" s="32"/>
      <c r="P19" s="32">
        <v>6413</v>
      </c>
      <c r="Q19" s="32"/>
      <c r="R19" s="39">
        <f t="shared" si="2"/>
        <v>6413</v>
      </c>
      <c r="T19" s="4"/>
      <c r="U19" s="4"/>
      <c r="V19" s="5"/>
    </row>
    <row r="20" spans="2:22" ht="15.75" x14ac:dyDescent="0.25">
      <c r="B20" s="10" t="s">
        <v>94</v>
      </c>
      <c r="C20" s="25" t="s">
        <v>15</v>
      </c>
      <c r="D20" s="31">
        <v>26191</v>
      </c>
      <c r="E20" s="32"/>
      <c r="F20" s="32"/>
      <c r="G20" s="32"/>
      <c r="H20" s="32"/>
      <c r="I20" s="32"/>
      <c r="J20" s="32"/>
      <c r="K20" s="32"/>
      <c r="L20" s="32"/>
      <c r="M20" s="32"/>
      <c r="N20" s="32">
        <v>9121</v>
      </c>
      <c r="O20" s="32"/>
      <c r="P20" s="32"/>
      <c r="Q20" s="32">
        <v>7015</v>
      </c>
      <c r="R20" s="39">
        <f t="shared" si="2"/>
        <v>42327</v>
      </c>
      <c r="T20" s="4"/>
      <c r="U20" s="4"/>
      <c r="V20" s="5"/>
    </row>
    <row r="21" spans="2:22" ht="15.75" x14ac:dyDescent="0.25">
      <c r="B21" s="10" t="s">
        <v>95</v>
      </c>
      <c r="C21" s="25" t="s">
        <v>25</v>
      </c>
      <c r="D21" s="31">
        <v>21332</v>
      </c>
      <c r="E21" s="32"/>
      <c r="F21" s="32"/>
      <c r="G21" s="32">
        <v>1935</v>
      </c>
      <c r="H21" s="32">
        <v>8199</v>
      </c>
      <c r="I21" s="32">
        <v>1765</v>
      </c>
      <c r="J21" s="32"/>
      <c r="K21" s="32"/>
      <c r="L21" s="32"/>
      <c r="M21" s="32">
        <v>29179</v>
      </c>
      <c r="N21" s="32">
        <v>21312</v>
      </c>
      <c r="O21" s="32">
        <v>25159</v>
      </c>
      <c r="P21" s="32"/>
      <c r="Q21" s="32">
        <v>19163</v>
      </c>
      <c r="R21" s="39">
        <f t="shared" si="2"/>
        <v>128044</v>
      </c>
      <c r="T21" s="4"/>
      <c r="U21" s="4"/>
      <c r="V21" s="5"/>
    </row>
    <row r="22" spans="2:22" ht="15.75" x14ac:dyDescent="0.25">
      <c r="B22" s="10" t="s">
        <v>96</v>
      </c>
      <c r="C22" s="25" t="s">
        <v>10</v>
      </c>
      <c r="D22" s="31"/>
      <c r="E22" s="32"/>
      <c r="F22" s="32"/>
      <c r="G22" s="32"/>
      <c r="H22" s="32"/>
      <c r="I22" s="32"/>
      <c r="J22" s="32"/>
      <c r="K22" s="32"/>
      <c r="L22" s="32"/>
      <c r="M22" s="32"/>
      <c r="N22" s="32"/>
      <c r="O22" s="32"/>
      <c r="P22" s="32"/>
      <c r="Q22" s="32"/>
      <c r="R22" s="39"/>
      <c r="T22" s="4"/>
      <c r="U22" s="4"/>
      <c r="V22" s="5"/>
    </row>
    <row r="23" spans="2:22" ht="15.75" x14ac:dyDescent="0.25">
      <c r="B23" s="10" t="s">
        <v>97</v>
      </c>
      <c r="C23" s="25" t="s">
        <v>39</v>
      </c>
      <c r="D23" s="31"/>
      <c r="E23" s="32"/>
      <c r="F23" s="32"/>
      <c r="G23" s="32"/>
      <c r="H23" s="32"/>
      <c r="I23" s="32"/>
      <c r="J23" s="32"/>
      <c r="K23" s="32"/>
      <c r="L23" s="32"/>
      <c r="M23" s="32"/>
      <c r="N23" s="32"/>
      <c r="O23" s="32"/>
      <c r="P23" s="32">
        <v>5758</v>
      </c>
      <c r="Q23" s="32">
        <v>13361</v>
      </c>
      <c r="R23" s="39">
        <f t="shared" si="2"/>
        <v>19119</v>
      </c>
      <c r="T23" s="4"/>
      <c r="U23" s="4"/>
      <c r="V23" s="5"/>
    </row>
    <row r="24" spans="2:22" ht="21" x14ac:dyDescent="0.35">
      <c r="B24" s="10" t="s">
        <v>98</v>
      </c>
      <c r="C24" s="25" t="s">
        <v>52</v>
      </c>
      <c r="D24" s="31">
        <v>1701</v>
      </c>
      <c r="E24" s="32"/>
      <c r="F24" s="32"/>
      <c r="G24" s="32"/>
      <c r="H24" s="32"/>
      <c r="I24" s="32"/>
      <c r="J24" s="32"/>
      <c r="K24" s="32"/>
      <c r="L24" s="32"/>
      <c r="M24" s="32"/>
      <c r="N24" s="32"/>
      <c r="O24" s="32"/>
      <c r="P24" s="32"/>
      <c r="Q24" s="32"/>
      <c r="R24" s="39">
        <f t="shared" si="2"/>
        <v>1701</v>
      </c>
      <c r="U24" s="4"/>
      <c r="V24" s="2"/>
    </row>
    <row r="25" spans="2:22" ht="15.75" x14ac:dyDescent="0.25">
      <c r="B25" s="10" t="s">
        <v>99</v>
      </c>
      <c r="C25" s="25" t="s">
        <v>79</v>
      </c>
      <c r="D25" s="31"/>
      <c r="E25" s="32"/>
      <c r="F25" s="32"/>
      <c r="G25" s="32"/>
      <c r="H25" s="32"/>
      <c r="I25" s="32"/>
      <c r="J25" s="32"/>
      <c r="K25" s="32"/>
      <c r="L25" s="32"/>
      <c r="M25" s="32"/>
      <c r="N25" s="32"/>
      <c r="O25" s="32"/>
      <c r="P25" s="32"/>
      <c r="Q25" s="32"/>
      <c r="R25" s="39"/>
      <c r="U25" s="4"/>
    </row>
    <row r="26" spans="2:22" ht="15.75" x14ac:dyDescent="0.25">
      <c r="B26" s="10" t="s">
        <v>100</v>
      </c>
      <c r="C26" s="25" t="s">
        <v>13</v>
      </c>
      <c r="D26" s="31"/>
      <c r="E26" s="32"/>
      <c r="F26" s="32"/>
      <c r="G26" s="32"/>
      <c r="H26" s="32"/>
      <c r="I26" s="32"/>
      <c r="J26" s="32"/>
      <c r="K26" s="32"/>
      <c r="L26" s="32"/>
      <c r="M26" s="32"/>
      <c r="N26" s="32"/>
      <c r="O26" s="32"/>
      <c r="P26" s="32"/>
      <c r="Q26" s="32">
        <v>1755</v>
      </c>
      <c r="R26" s="39">
        <f t="shared" si="2"/>
        <v>1755</v>
      </c>
      <c r="U26" s="4"/>
    </row>
    <row r="27" spans="2:22" ht="15.75" x14ac:dyDescent="0.25">
      <c r="B27" s="10" t="s">
        <v>101</v>
      </c>
      <c r="C27" s="25" t="s">
        <v>75</v>
      </c>
      <c r="D27" s="31"/>
      <c r="E27" s="32"/>
      <c r="F27" s="32"/>
      <c r="G27" s="32"/>
      <c r="H27" s="32"/>
      <c r="I27" s="32"/>
      <c r="J27" s="32"/>
      <c r="K27" s="32"/>
      <c r="L27" s="32"/>
      <c r="M27" s="32"/>
      <c r="N27" s="32"/>
      <c r="O27" s="32">
        <v>3470</v>
      </c>
      <c r="P27" s="32"/>
      <c r="Q27" s="32"/>
      <c r="R27" s="39">
        <f t="shared" si="2"/>
        <v>3470</v>
      </c>
      <c r="U27" s="4"/>
    </row>
    <row r="28" spans="2:22" ht="15.75" x14ac:dyDescent="0.25">
      <c r="B28" s="10" t="s">
        <v>102</v>
      </c>
      <c r="C28" s="25" t="s">
        <v>5</v>
      </c>
      <c r="D28" s="31">
        <v>4513</v>
      </c>
      <c r="E28" s="32"/>
      <c r="F28" s="32">
        <v>609</v>
      </c>
      <c r="G28" s="32"/>
      <c r="H28" s="32"/>
      <c r="I28" s="32"/>
      <c r="J28" s="32"/>
      <c r="K28" s="32">
        <v>525</v>
      </c>
      <c r="L28" s="32"/>
      <c r="M28" s="32"/>
      <c r="N28" s="32">
        <v>54165</v>
      </c>
      <c r="O28" s="32">
        <v>10000</v>
      </c>
      <c r="P28" s="32">
        <v>108821</v>
      </c>
      <c r="Q28" s="32">
        <v>31548</v>
      </c>
      <c r="R28" s="39">
        <f t="shared" si="2"/>
        <v>210181</v>
      </c>
      <c r="U28" s="4"/>
    </row>
    <row r="29" spans="2:22" ht="15.75" x14ac:dyDescent="0.25">
      <c r="B29" s="10" t="s">
        <v>103</v>
      </c>
      <c r="C29" s="25" t="s">
        <v>40</v>
      </c>
      <c r="D29" s="31">
        <v>97775</v>
      </c>
      <c r="E29" s="32">
        <v>6050</v>
      </c>
      <c r="F29" s="32">
        <v>6155</v>
      </c>
      <c r="G29" s="32"/>
      <c r="H29" s="32">
        <v>1635</v>
      </c>
      <c r="I29" s="32"/>
      <c r="J29" s="32"/>
      <c r="K29" s="32">
        <v>9085</v>
      </c>
      <c r="L29" s="32">
        <v>7724</v>
      </c>
      <c r="M29" s="32"/>
      <c r="N29" s="32">
        <v>4016</v>
      </c>
      <c r="O29" s="32">
        <v>173003</v>
      </c>
      <c r="P29" s="32">
        <v>50198</v>
      </c>
      <c r="Q29" s="32">
        <v>86639</v>
      </c>
      <c r="R29" s="39">
        <f t="shared" si="2"/>
        <v>442280</v>
      </c>
      <c r="U29" s="4"/>
    </row>
    <row r="30" spans="2:22" ht="15.75" x14ac:dyDescent="0.25">
      <c r="B30" s="10" t="s">
        <v>104</v>
      </c>
      <c r="C30" s="25" t="s">
        <v>68</v>
      </c>
      <c r="D30" s="31">
        <v>18685</v>
      </c>
      <c r="E30" s="32"/>
      <c r="F30" s="32">
        <v>5650</v>
      </c>
      <c r="G30" s="32">
        <v>9298</v>
      </c>
      <c r="H30" s="32">
        <v>4480</v>
      </c>
      <c r="I30" s="32"/>
      <c r="J30" s="32">
        <v>9946</v>
      </c>
      <c r="K30" s="32">
        <v>11428</v>
      </c>
      <c r="L30" s="32"/>
      <c r="M30" s="32"/>
      <c r="N30" s="32">
        <v>18919</v>
      </c>
      <c r="O30" s="32">
        <v>18477</v>
      </c>
      <c r="P30" s="32">
        <v>61232</v>
      </c>
      <c r="Q30" s="32">
        <v>12074</v>
      </c>
      <c r="R30" s="39">
        <f t="shared" si="2"/>
        <v>170189</v>
      </c>
      <c r="U30" s="4"/>
    </row>
    <row r="31" spans="2:22" ht="15.75" x14ac:dyDescent="0.25">
      <c r="B31" s="10" t="s">
        <v>105</v>
      </c>
      <c r="C31" s="25" t="s">
        <v>6</v>
      </c>
      <c r="D31" s="31">
        <v>314</v>
      </c>
      <c r="E31" s="32"/>
      <c r="F31" s="32"/>
      <c r="G31" s="32"/>
      <c r="H31" s="32"/>
      <c r="I31" s="32"/>
      <c r="J31" s="32"/>
      <c r="K31" s="32"/>
      <c r="L31" s="32"/>
      <c r="M31" s="32"/>
      <c r="N31" s="32"/>
      <c r="O31" s="32">
        <v>5371</v>
      </c>
      <c r="P31" s="32"/>
      <c r="Q31" s="32"/>
      <c r="R31" s="39">
        <f t="shared" si="2"/>
        <v>5685</v>
      </c>
      <c r="U31" s="4"/>
    </row>
    <row r="32" spans="2:22" ht="15.75" x14ac:dyDescent="0.25">
      <c r="B32" s="10" t="s">
        <v>106</v>
      </c>
      <c r="C32" s="25" t="s">
        <v>30</v>
      </c>
      <c r="D32" s="31">
        <v>6779</v>
      </c>
      <c r="E32" s="32"/>
      <c r="F32" s="32">
        <v>1472</v>
      </c>
      <c r="G32" s="32"/>
      <c r="H32" s="32"/>
      <c r="I32" s="32"/>
      <c r="J32" s="32"/>
      <c r="K32" s="32"/>
      <c r="L32" s="32"/>
      <c r="M32" s="32"/>
      <c r="N32" s="32"/>
      <c r="O32" s="32">
        <v>4696</v>
      </c>
      <c r="P32" s="32"/>
      <c r="Q32" s="32">
        <v>7688</v>
      </c>
      <c r="R32" s="39">
        <f t="shared" si="2"/>
        <v>20635</v>
      </c>
      <c r="U32" s="4"/>
    </row>
    <row r="33" spans="2:21" ht="15.75" x14ac:dyDescent="0.25">
      <c r="B33" s="10" t="s">
        <v>107</v>
      </c>
      <c r="C33" s="25" t="s">
        <v>14</v>
      </c>
      <c r="D33" s="31">
        <v>5924</v>
      </c>
      <c r="E33" s="32"/>
      <c r="F33" s="32">
        <v>650</v>
      </c>
      <c r="G33" s="32"/>
      <c r="H33" s="32"/>
      <c r="I33" s="32"/>
      <c r="J33" s="32"/>
      <c r="K33" s="32"/>
      <c r="L33" s="32"/>
      <c r="M33" s="32">
        <v>9607</v>
      </c>
      <c r="N33" s="32">
        <v>1371</v>
      </c>
      <c r="O33" s="32"/>
      <c r="P33" s="32"/>
      <c r="Q33" s="32">
        <v>2405</v>
      </c>
      <c r="R33" s="39">
        <f t="shared" si="2"/>
        <v>19957</v>
      </c>
      <c r="U33" s="4"/>
    </row>
    <row r="34" spans="2:21" s="19" customFormat="1" ht="15.75" x14ac:dyDescent="0.25">
      <c r="B34" s="18" t="s">
        <v>108</v>
      </c>
      <c r="C34" s="26" t="s">
        <v>0</v>
      </c>
      <c r="D34" s="31">
        <v>26219</v>
      </c>
      <c r="E34" s="32"/>
      <c r="F34" s="32"/>
      <c r="G34" s="32"/>
      <c r="H34" s="32"/>
      <c r="I34" s="32"/>
      <c r="J34" s="32"/>
      <c r="K34" s="32"/>
      <c r="L34" s="32"/>
      <c r="M34" s="33">
        <v>25724</v>
      </c>
      <c r="N34" s="33">
        <v>50897</v>
      </c>
      <c r="O34" s="33"/>
      <c r="P34" s="33">
        <v>9927</v>
      </c>
      <c r="Q34" s="33">
        <v>8995</v>
      </c>
      <c r="R34" s="39">
        <f t="shared" si="2"/>
        <v>121762</v>
      </c>
      <c r="T34" s="20"/>
      <c r="U34" s="21"/>
    </row>
    <row r="35" spans="2:21" ht="15.75" x14ac:dyDescent="0.25">
      <c r="B35" s="10" t="s">
        <v>109</v>
      </c>
      <c r="C35" s="25" t="s">
        <v>31</v>
      </c>
      <c r="D35" s="31">
        <v>1</v>
      </c>
      <c r="E35" s="32"/>
      <c r="F35" s="32"/>
      <c r="G35" s="32"/>
      <c r="H35" s="32"/>
      <c r="I35" s="32"/>
      <c r="J35" s="32"/>
      <c r="K35" s="32"/>
      <c r="L35" s="32"/>
      <c r="M35" s="32"/>
      <c r="N35" s="32"/>
      <c r="O35" s="32">
        <v>16719</v>
      </c>
      <c r="P35" s="32">
        <v>11190</v>
      </c>
      <c r="Q35" s="32">
        <v>9921</v>
      </c>
      <c r="R35" s="39">
        <f t="shared" si="2"/>
        <v>37831</v>
      </c>
      <c r="U35" s="4"/>
    </row>
    <row r="36" spans="2:21" ht="15.75" x14ac:dyDescent="0.25">
      <c r="B36" s="10" t="s">
        <v>110</v>
      </c>
      <c r="C36" s="25" t="s">
        <v>29</v>
      </c>
      <c r="D36" s="31"/>
      <c r="E36" s="32"/>
      <c r="F36" s="32"/>
      <c r="G36" s="32"/>
      <c r="H36" s="32"/>
      <c r="I36" s="32"/>
      <c r="J36" s="32"/>
      <c r="K36" s="32"/>
      <c r="L36" s="32"/>
      <c r="M36" s="32"/>
      <c r="N36" s="32"/>
      <c r="O36" s="32"/>
      <c r="P36" s="32"/>
      <c r="Q36" s="32"/>
      <c r="R36" s="39"/>
      <c r="U36" s="4"/>
    </row>
    <row r="37" spans="2:21" ht="15.75" x14ac:dyDescent="0.25">
      <c r="B37" s="10" t="s">
        <v>111</v>
      </c>
      <c r="C37" s="25" t="s">
        <v>44</v>
      </c>
      <c r="D37" s="31"/>
      <c r="E37" s="32"/>
      <c r="F37" s="32"/>
      <c r="G37" s="32"/>
      <c r="H37" s="32"/>
      <c r="I37" s="32"/>
      <c r="J37" s="32"/>
      <c r="K37" s="32"/>
      <c r="L37" s="32"/>
      <c r="M37" s="32"/>
      <c r="N37" s="32"/>
      <c r="O37" s="32">
        <v>529</v>
      </c>
      <c r="P37" s="32">
        <v>17670</v>
      </c>
      <c r="Q37" s="32">
        <v>4761</v>
      </c>
      <c r="R37" s="39">
        <f t="shared" si="2"/>
        <v>22960</v>
      </c>
      <c r="U37" s="4"/>
    </row>
    <row r="38" spans="2:21" ht="15.75" x14ac:dyDescent="0.25">
      <c r="B38" s="10" t="s">
        <v>112</v>
      </c>
      <c r="C38" s="25" t="s">
        <v>78</v>
      </c>
      <c r="D38" s="31"/>
      <c r="E38" s="32"/>
      <c r="F38" s="32"/>
      <c r="G38" s="32"/>
      <c r="H38" s="32"/>
      <c r="I38" s="32"/>
      <c r="J38" s="32"/>
      <c r="K38" s="32"/>
      <c r="L38" s="32"/>
      <c r="M38" s="32"/>
      <c r="N38" s="32">
        <v>7371</v>
      </c>
      <c r="O38" s="32"/>
      <c r="P38" s="32">
        <v>4669</v>
      </c>
      <c r="Q38" s="32"/>
      <c r="R38" s="39">
        <f t="shared" si="2"/>
        <v>12040</v>
      </c>
      <c r="U38" s="4"/>
    </row>
    <row r="39" spans="2:21" ht="15.75" x14ac:dyDescent="0.25">
      <c r="B39" s="10" t="s">
        <v>113</v>
      </c>
      <c r="C39" s="25" t="s">
        <v>69</v>
      </c>
      <c r="D39" s="31"/>
      <c r="E39" s="32"/>
      <c r="F39" s="32"/>
      <c r="G39" s="32"/>
      <c r="H39" s="32">
        <v>908</v>
      </c>
      <c r="I39" s="32"/>
      <c r="J39" s="32"/>
      <c r="K39" s="32"/>
      <c r="L39" s="32"/>
      <c r="M39" s="32"/>
      <c r="N39" s="32"/>
      <c r="O39" s="32"/>
      <c r="P39" s="32"/>
      <c r="Q39" s="32"/>
      <c r="R39" s="39">
        <f t="shared" si="2"/>
        <v>908</v>
      </c>
      <c r="U39" s="4"/>
    </row>
    <row r="40" spans="2:21" ht="15.75" x14ac:dyDescent="0.25">
      <c r="B40" s="10" t="s">
        <v>114</v>
      </c>
      <c r="C40" s="25" t="s">
        <v>66</v>
      </c>
      <c r="D40" s="31">
        <v>19985</v>
      </c>
      <c r="E40" s="32"/>
      <c r="F40" s="32"/>
      <c r="G40" s="32"/>
      <c r="H40" s="32"/>
      <c r="I40" s="32"/>
      <c r="J40" s="32">
        <v>1335</v>
      </c>
      <c r="K40" s="32"/>
      <c r="L40" s="32"/>
      <c r="M40" s="32"/>
      <c r="N40" s="32">
        <v>55982</v>
      </c>
      <c r="O40" s="32">
        <v>9090</v>
      </c>
      <c r="P40" s="32">
        <v>80326</v>
      </c>
      <c r="Q40" s="32">
        <v>27605</v>
      </c>
      <c r="R40" s="39">
        <f t="shared" si="2"/>
        <v>194323</v>
      </c>
      <c r="U40" s="4"/>
    </row>
    <row r="41" spans="2:21" ht="15.75" x14ac:dyDescent="0.25">
      <c r="B41" s="10" t="s">
        <v>115</v>
      </c>
      <c r="C41" s="25" t="s">
        <v>49</v>
      </c>
      <c r="D41" s="31"/>
      <c r="E41" s="32"/>
      <c r="F41" s="32"/>
      <c r="G41" s="32"/>
      <c r="H41" s="32"/>
      <c r="I41" s="32"/>
      <c r="J41" s="32"/>
      <c r="K41" s="32"/>
      <c r="L41" s="32"/>
      <c r="M41" s="32"/>
      <c r="N41" s="32">
        <v>80417</v>
      </c>
      <c r="O41" s="32"/>
      <c r="P41" s="32">
        <v>14946</v>
      </c>
      <c r="Q41" s="32">
        <v>27768</v>
      </c>
      <c r="R41" s="39">
        <f t="shared" si="2"/>
        <v>123131</v>
      </c>
      <c r="U41" s="4"/>
    </row>
    <row r="42" spans="2:21" ht="15.75" x14ac:dyDescent="0.25">
      <c r="B42" s="10" t="s">
        <v>116</v>
      </c>
      <c r="C42" s="25" t="s">
        <v>48</v>
      </c>
      <c r="D42" s="31"/>
      <c r="E42" s="32"/>
      <c r="F42" s="32"/>
      <c r="G42" s="32"/>
      <c r="H42" s="32"/>
      <c r="I42" s="32"/>
      <c r="J42" s="32"/>
      <c r="K42" s="32"/>
      <c r="L42" s="32"/>
      <c r="M42" s="32"/>
      <c r="N42" s="32"/>
      <c r="O42" s="32">
        <v>17252</v>
      </c>
      <c r="P42" s="32"/>
      <c r="Q42" s="32"/>
      <c r="R42" s="39">
        <f t="shared" si="2"/>
        <v>17252</v>
      </c>
      <c r="U42" s="4"/>
    </row>
    <row r="43" spans="2:21" ht="15.75" x14ac:dyDescent="0.25">
      <c r="B43" s="10" t="s">
        <v>117</v>
      </c>
      <c r="C43" s="25" t="s">
        <v>38</v>
      </c>
      <c r="D43" s="31"/>
      <c r="E43" s="32"/>
      <c r="F43" s="32"/>
      <c r="G43" s="32"/>
      <c r="H43" s="32"/>
      <c r="I43" s="32"/>
      <c r="J43" s="32"/>
      <c r="K43" s="32"/>
      <c r="L43" s="32">
        <v>5000</v>
      </c>
      <c r="M43" s="32"/>
      <c r="N43" s="32">
        <v>12541</v>
      </c>
      <c r="O43" s="32"/>
      <c r="P43" s="32"/>
      <c r="Q43" s="32"/>
      <c r="R43" s="39">
        <f t="shared" si="2"/>
        <v>17541</v>
      </c>
      <c r="U43" s="4"/>
    </row>
    <row r="44" spans="2:21" ht="15.75" x14ac:dyDescent="0.25">
      <c r="B44" s="10" t="s">
        <v>118</v>
      </c>
      <c r="C44" s="25" t="s">
        <v>36</v>
      </c>
      <c r="D44" s="31">
        <v>335</v>
      </c>
      <c r="E44" s="32"/>
      <c r="F44" s="32">
        <v>3450</v>
      </c>
      <c r="G44" s="32"/>
      <c r="H44" s="32"/>
      <c r="I44" s="32">
        <v>1050</v>
      </c>
      <c r="J44" s="32">
        <v>1500</v>
      </c>
      <c r="K44" s="32">
        <v>5760</v>
      </c>
      <c r="L44" s="32"/>
      <c r="M44" s="32">
        <v>39650</v>
      </c>
      <c r="N44" s="32">
        <v>10800</v>
      </c>
      <c r="O44" s="32">
        <v>25013</v>
      </c>
      <c r="P44" s="32">
        <v>5509</v>
      </c>
      <c r="Q44" s="32">
        <v>19957</v>
      </c>
      <c r="R44" s="39">
        <f t="shared" si="2"/>
        <v>113024</v>
      </c>
      <c r="U44" s="4"/>
    </row>
    <row r="45" spans="2:21" ht="15.75" x14ac:dyDescent="0.25">
      <c r="B45" s="10" t="s">
        <v>119</v>
      </c>
      <c r="C45" s="25" t="s">
        <v>56</v>
      </c>
      <c r="D45" s="31"/>
      <c r="E45" s="32"/>
      <c r="F45" s="32"/>
      <c r="G45" s="32"/>
      <c r="H45" s="32"/>
      <c r="I45" s="32"/>
      <c r="J45" s="32"/>
      <c r="K45" s="32"/>
      <c r="L45" s="32">
        <v>4500</v>
      </c>
      <c r="M45" s="32"/>
      <c r="N45" s="32"/>
      <c r="O45" s="32"/>
      <c r="P45" s="32">
        <v>26410</v>
      </c>
      <c r="Q45" s="32">
        <v>10028</v>
      </c>
      <c r="R45" s="39">
        <f t="shared" si="2"/>
        <v>40938</v>
      </c>
      <c r="U45" s="4"/>
    </row>
    <row r="46" spans="2:21" ht="15.75" x14ac:dyDescent="0.25">
      <c r="B46" s="10" t="s">
        <v>120</v>
      </c>
      <c r="C46" s="25" t="s">
        <v>64</v>
      </c>
      <c r="D46" s="31">
        <v>10</v>
      </c>
      <c r="E46" s="32"/>
      <c r="F46" s="32">
        <v>2200</v>
      </c>
      <c r="G46" s="32"/>
      <c r="H46" s="32"/>
      <c r="I46" s="32"/>
      <c r="J46" s="32"/>
      <c r="K46" s="32"/>
      <c r="L46" s="32"/>
      <c r="M46" s="32">
        <v>5355</v>
      </c>
      <c r="N46" s="32">
        <v>4000</v>
      </c>
      <c r="O46" s="32">
        <v>4618</v>
      </c>
      <c r="P46" s="32">
        <v>27253</v>
      </c>
      <c r="Q46" s="32">
        <v>727</v>
      </c>
      <c r="R46" s="39">
        <f t="shared" si="2"/>
        <v>44163</v>
      </c>
      <c r="U46" s="4"/>
    </row>
    <row r="47" spans="2:21" ht="15.75" x14ac:dyDescent="0.25">
      <c r="B47" s="10" t="s">
        <v>121</v>
      </c>
      <c r="C47" s="25" t="s">
        <v>65</v>
      </c>
      <c r="D47" s="31"/>
      <c r="E47" s="32"/>
      <c r="F47" s="32"/>
      <c r="G47" s="32"/>
      <c r="H47" s="32"/>
      <c r="I47" s="32"/>
      <c r="J47" s="32"/>
      <c r="K47" s="32"/>
      <c r="L47" s="32"/>
      <c r="M47" s="32"/>
      <c r="N47" s="32"/>
      <c r="O47" s="32"/>
      <c r="P47" s="32"/>
      <c r="Q47" s="32"/>
      <c r="R47" s="39"/>
      <c r="U47" s="4"/>
    </row>
    <row r="48" spans="2:21" ht="15.75" x14ac:dyDescent="0.25">
      <c r="B48" s="10" t="s">
        <v>122</v>
      </c>
      <c r="C48" s="25" t="s">
        <v>76</v>
      </c>
      <c r="D48" s="31"/>
      <c r="E48" s="32"/>
      <c r="F48" s="32"/>
      <c r="G48" s="32"/>
      <c r="H48" s="32"/>
      <c r="I48" s="32"/>
      <c r="J48" s="32"/>
      <c r="K48" s="32"/>
      <c r="L48" s="32"/>
      <c r="M48" s="32"/>
      <c r="N48" s="32"/>
      <c r="O48" s="32"/>
      <c r="P48" s="32"/>
      <c r="Q48" s="32"/>
      <c r="R48" s="39"/>
      <c r="U48" s="4"/>
    </row>
    <row r="49" spans="2:21" ht="15.75" x14ac:dyDescent="0.25">
      <c r="B49" s="10" t="s">
        <v>123</v>
      </c>
      <c r="C49" s="25" t="s">
        <v>72</v>
      </c>
      <c r="D49" s="31"/>
      <c r="E49" s="32"/>
      <c r="F49" s="32"/>
      <c r="G49" s="32"/>
      <c r="H49" s="32"/>
      <c r="I49" s="32"/>
      <c r="J49" s="32"/>
      <c r="K49" s="32"/>
      <c r="L49" s="32"/>
      <c r="M49" s="32"/>
      <c r="N49" s="32"/>
      <c r="O49" s="32"/>
      <c r="P49" s="32"/>
      <c r="Q49" s="32"/>
      <c r="R49" s="39"/>
      <c r="U49" s="4"/>
    </row>
    <row r="50" spans="2:21" ht="15.75" x14ac:dyDescent="0.25">
      <c r="B50" s="10" t="s">
        <v>124</v>
      </c>
      <c r="C50" s="25" t="s">
        <v>35</v>
      </c>
      <c r="D50" s="31">
        <v>3332</v>
      </c>
      <c r="E50" s="32"/>
      <c r="F50" s="32"/>
      <c r="G50" s="32"/>
      <c r="H50" s="32"/>
      <c r="I50" s="32"/>
      <c r="J50" s="32"/>
      <c r="K50" s="32"/>
      <c r="L50" s="32"/>
      <c r="M50" s="32"/>
      <c r="N50" s="32"/>
      <c r="O50" s="32">
        <v>8671</v>
      </c>
      <c r="P50" s="32"/>
      <c r="Q50" s="32"/>
      <c r="R50" s="39">
        <f t="shared" si="2"/>
        <v>12003</v>
      </c>
      <c r="U50" s="4"/>
    </row>
    <row r="51" spans="2:21" ht="15.75" x14ac:dyDescent="0.25">
      <c r="B51" s="10" t="s">
        <v>125</v>
      </c>
      <c r="C51" s="25" t="s">
        <v>17</v>
      </c>
      <c r="D51" s="31">
        <v>607</v>
      </c>
      <c r="E51" s="32"/>
      <c r="F51" s="32"/>
      <c r="G51" s="32"/>
      <c r="H51" s="32"/>
      <c r="I51" s="32"/>
      <c r="J51" s="32"/>
      <c r="K51" s="32"/>
      <c r="L51" s="32"/>
      <c r="M51" s="32"/>
      <c r="N51" s="32">
        <v>6000</v>
      </c>
      <c r="O51" s="32">
        <v>5150</v>
      </c>
      <c r="P51" s="32"/>
      <c r="Q51" s="32"/>
      <c r="R51" s="39">
        <f t="shared" si="2"/>
        <v>11757</v>
      </c>
      <c r="U51" s="4"/>
    </row>
    <row r="52" spans="2:21" ht="15.75" x14ac:dyDescent="0.25">
      <c r="B52" s="10" t="s">
        <v>126</v>
      </c>
      <c r="C52" s="25" t="s">
        <v>55</v>
      </c>
      <c r="D52" s="31">
        <v>2361</v>
      </c>
      <c r="E52" s="32"/>
      <c r="F52" s="32"/>
      <c r="G52" s="32">
        <v>1470</v>
      </c>
      <c r="H52" s="32"/>
      <c r="I52" s="32"/>
      <c r="J52" s="32"/>
      <c r="K52" s="32">
        <v>3329</v>
      </c>
      <c r="L52" s="32"/>
      <c r="M52" s="32"/>
      <c r="N52" s="32"/>
      <c r="O52" s="32"/>
      <c r="P52" s="32"/>
      <c r="Q52" s="32">
        <v>3574</v>
      </c>
      <c r="R52" s="39">
        <f t="shared" si="2"/>
        <v>10734</v>
      </c>
      <c r="U52" s="4"/>
    </row>
    <row r="53" spans="2:21" ht="15.75" x14ac:dyDescent="0.25">
      <c r="B53" s="10" t="s">
        <v>127</v>
      </c>
      <c r="C53" s="25" t="s">
        <v>53</v>
      </c>
      <c r="D53" s="31">
        <v>220</v>
      </c>
      <c r="E53" s="32"/>
      <c r="F53" s="32"/>
      <c r="G53" s="32"/>
      <c r="H53" s="32"/>
      <c r="I53" s="32"/>
      <c r="J53" s="32"/>
      <c r="K53" s="32"/>
      <c r="L53" s="32">
        <v>14000</v>
      </c>
      <c r="M53" s="32"/>
      <c r="N53" s="32"/>
      <c r="O53" s="32"/>
      <c r="P53" s="32"/>
      <c r="Q53" s="32"/>
      <c r="R53" s="39">
        <f t="shared" si="2"/>
        <v>14220</v>
      </c>
      <c r="U53" s="4"/>
    </row>
    <row r="54" spans="2:21" ht="15.75" x14ac:dyDescent="0.25">
      <c r="B54" s="10" t="s">
        <v>128</v>
      </c>
      <c r="C54" s="25" t="s">
        <v>58</v>
      </c>
      <c r="D54" s="31">
        <v>10991</v>
      </c>
      <c r="E54" s="32"/>
      <c r="F54" s="32"/>
      <c r="G54" s="32"/>
      <c r="H54" s="32"/>
      <c r="I54" s="32"/>
      <c r="J54" s="32"/>
      <c r="K54" s="32"/>
      <c r="L54" s="32"/>
      <c r="M54" s="32"/>
      <c r="N54" s="32"/>
      <c r="O54" s="32"/>
      <c r="P54" s="32">
        <v>1378</v>
      </c>
      <c r="Q54" s="32">
        <v>7457</v>
      </c>
      <c r="R54" s="39">
        <f t="shared" si="2"/>
        <v>19826</v>
      </c>
      <c r="U54" s="4"/>
    </row>
    <row r="55" spans="2:21" ht="15.75" x14ac:dyDescent="0.25">
      <c r="B55" s="10" t="s">
        <v>129</v>
      </c>
      <c r="C55" s="25" t="s">
        <v>18</v>
      </c>
      <c r="D55" s="31"/>
      <c r="E55" s="32"/>
      <c r="F55" s="32"/>
      <c r="G55" s="32"/>
      <c r="H55" s="32"/>
      <c r="I55" s="32"/>
      <c r="J55" s="32"/>
      <c r="K55" s="32"/>
      <c r="L55" s="32"/>
      <c r="M55" s="32"/>
      <c r="N55" s="32"/>
      <c r="O55" s="32"/>
      <c r="P55" s="32"/>
      <c r="Q55" s="32">
        <v>2448</v>
      </c>
      <c r="R55" s="39">
        <f t="shared" si="2"/>
        <v>2448</v>
      </c>
      <c r="U55" s="4"/>
    </row>
    <row r="56" spans="2:21" ht="15.75" x14ac:dyDescent="0.25">
      <c r="B56" s="10" t="s">
        <v>130</v>
      </c>
      <c r="C56" s="25" t="s">
        <v>4</v>
      </c>
      <c r="D56" s="31">
        <v>842</v>
      </c>
      <c r="E56" s="32"/>
      <c r="F56" s="32"/>
      <c r="G56" s="32">
        <v>4200</v>
      </c>
      <c r="H56" s="32">
        <v>660</v>
      </c>
      <c r="I56" s="32">
        <v>4800</v>
      </c>
      <c r="J56" s="32"/>
      <c r="K56" s="32"/>
      <c r="L56" s="32"/>
      <c r="M56" s="32"/>
      <c r="N56" s="32">
        <v>33312</v>
      </c>
      <c r="O56" s="32">
        <v>10000</v>
      </c>
      <c r="P56" s="32">
        <v>10008</v>
      </c>
      <c r="Q56" s="32">
        <v>10381</v>
      </c>
      <c r="R56" s="39">
        <f t="shared" si="2"/>
        <v>74203</v>
      </c>
      <c r="U56" s="4"/>
    </row>
    <row r="57" spans="2:21" ht="15.75" x14ac:dyDescent="0.25">
      <c r="B57" s="10" t="s">
        <v>131</v>
      </c>
      <c r="C57" s="25" t="s">
        <v>59</v>
      </c>
      <c r="D57" s="31"/>
      <c r="E57" s="32"/>
      <c r="F57" s="32"/>
      <c r="G57" s="32"/>
      <c r="H57" s="32"/>
      <c r="I57" s="32"/>
      <c r="J57" s="32"/>
      <c r="K57" s="32"/>
      <c r="L57" s="32"/>
      <c r="M57" s="32"/>
      <c r="N57" s="32"/>
      <c r="O57" s="32"/>
      <c r="P57" s="32"/>
      <c r="Q57" s="32"/>
      <c r="R57" s="39"/>
      <c r="U57" s="4"/>
    </row>
    <row r="58" spans="2:21" ht="15.75" x14ac:dyDescent="0.25">
      <c r="B58" s="10" t="s">
        <v>132</v>
      </c>
      <c r="C58" s="25" t="s">
        <v>50</v>
      </c>
      <c r="D58" s="31"/>
      <c r="E58" s="32"/>
      <c r="F58" s="32"/>
      <c r="G58" s="32"/>
      <c r="H58" s="32"/>
      <c r="I58" s="32"/>
      <c r="J58" s="32"/>
      <c r="K58" s="32"/>
      <c r="L58" s="32"/>
      <c r="M58" s="32"/>
      <c r="N58" s="32"/>
      <c r="O58" s="32"/>
      <c r="P58" s="32"/>
      <c r="Q58" s="32"/>
      <c r="R58" s="39"/>
      <c r="U58" s="4"/>
    </row>
    <row r="59" spans="2:21" ht="15.75" x14ac:dyDescent="0.25">
      <c r="B59" s="10" t="s">
        <v>133</v>
      </c>
      <c r="C59" s="25" t="s">
        <v>27</v>
      </c>
      <c r="D59" s="31"/>
      <c r="E59" s="32"/>
      <c r="F59" s="32"/>
      <c r="G59" s="32"/>
      <c r="H59" s="32"/>
      <c r="I59" s="32"/>
      <c r="J59" s="32"/>
      <c r="K59" s="32"/>
      <c r="L59" s="32"/>
      <c r="M59" s="32"/>
      <c r="N59" s="32"/>
      <c r="O59" s="32"/>
      <c r="P59" s="32"/>
      <c r="Q59" s="32"/>
      <c r="R59" s="39"/>
      <c r="U59" s="4"/>
    </row>
    <row r="60" spans="2:21" ht="15.75" x14ac:dyDescent="0.25">
      <c r="B60" s="10" t="s">
        <v>134</v>
      </c>
      <c r="C60" s="25" t="s">
        <v>51</v>
      </c>
      <c r="D60" s="31"/>
      <c r="E60" s="32"/>
      <c r="F60" s="32"/>
      <c r="G60" s="32"/>
      <c r="H60" s="32"/>
      <c r="I60" s="32"/>
      <c r="J60" s="32"/>
      <c r="K60" s="32"/>
      <c r="L60" s="32"/>
      <c r="M60" s="32"/>
      <c r="N60" s="32"/>
      <c r="O60" s="32"/>
      <c r="P60" s="32"/>
      <c r="Q60" s="32"/>
      <c r="R60" s="39"/>
      <c r="U60" s="4"/>
    </row>
    <row r="61" spans="2:21" ht="15.75" x14ac:dyDescent="0.25">
      <c r="B61" s="10" t="s">
        <v>135</v>
      </c>
      <c r="C61" s="25" t="s">
        <v>7</v>
      </c>
      <c r="D61" s="31"/>
      <c r="E61" s="32"/>
      <c r="F61" s="32"/>
      <c r="G61" s="32"/>
      <c r="H61" s="32"/>
      <c r="I61" s="32"/>
      <c r="J61" s="32"/>
      <c r="K61" s="32"/>
      <c r="L61" s="32"/>
      <c r="M61" s="32"/>
      <c r="N61" s="32"/>
      <c r="O61" s="32"/>
      <c r="P61" s="32"/>
      <c r="Q61" s="32"/>
      <c r="R61" s="39"/>
      <c r="U61" s="4"/>
    </row>
    <row r="62" spans="2:21" ht="15.75" x14ac:dyDescent="0.25">
      <c r="B62" s="10" t="s">
        <v>136</v>
      </c>
      <c r="C62" s="25" t="s">
        <v>28</v>
      </c>
      <c r="D62" s="31"/>
      <c r="E62" s="32"/>
      <c r="F62" s="32"/>
      <c r="G62" s="32"/>
      <c r="H62" s="32"/>
      <c r="I62" s="32"/>
      <c r="J62" s="32"/>
      <c r="K62" s="32"/>
      <c r="L62" s="32"/>
      <c r="M62" s="32"/>
      <c r="N62" s="32"/>
      <c r="O62" s="32"/>
      <c r="P62" s="32"/>
      <c r="Q62" s="32"/>
      <c r="R62" s="39"/>
      <c r="U62" s="4"/>
    </row>
    <row r="63" spans="2:21" ht="15.75" x14ac:dyDescent="0.25">
      <c r="B63" s="10" t="s">
        <v>137</v>
      </c>
      <c r="C63" s="25" t="s">
        <v>24</v>
      </c>
      <c r="D63" s="31"/>
      <c r="E63" s="32"/>
      <c r="F63" s="32"/>
      <c r="G63" s="32">
        <v>9373</v>
      </c>
      <c r="H63" s="32"/>
      <c r="I63" s="32"/>
      <c r="J63" s="32"/>
      <c r="K63" s="32"/>
      <c r="L63" s="32"/>
      <c r="M63" s="32"/>
      <c r="N63" s="32"/>
      <c r="O63" s="32"/>
      <c r="P63" s="32"/>
      <c r="Q63" s="32"/>
      <c r="R63" s="39">
        <f t="shared" si="2"/>
        <v>9373</v>
      </c>
      <c r="U63" s="4"/>
    </row>
    <row r="64" spans="2:21" ht="15.75" x14ac:dyDescent="0.25">
      <c r="B64" s="10" t="s">
        <v>138</v>
      </c>
      <c r="C64" s="25" t="s">
        <v>23</v>
      </c>
      <c r="D64" s="31">
        <v>780</v>
      </c>
      <c r="E64" s="32"/>
      <c r="F64" s="32"/>
      <c r="G64" s="32"/>
      <c r="H64" s="32"/>
      <c r="I64" s="32"/>
      <c r="J64" s="32"/>
      <c r="K64" s="32"/>
      <c r="L64" s="32"/>
      <c r="M64" s="32"/>
      <c r="N64" s="32"/>
      <c r="O64" s="32"/>
      <c r="P64" s="32"/>
      <c r="Q64" s="32"/>
      <c r="R64" s="39">
        <f t="shared" si="2"/>
        <v>780</v>
      </c>
      <c r="U64" s="4"/>
    </row>
    <row r="65" spans="2:21" ht="15.75" x14ac:dyDescent="0.25">
      <c r="B65" s="10" t="s">
        <v>139</v>
      </c>
      <c r="C65" s="25" t="s">
        <v>67</v>
      </c>
      <c r="D65" s="31"/>
      <c r="E65" s="32"/>
      <c r="F65" s="32"/>
      <c r="G65" s="32"/>
      <c r="H65" s="32"/>
      <c r="I65" s="32"/>
      <c r="J65" s="32"/>
      <c r="K65" s="32"/>
      <c r="L65" s="32"/>
      <c r="M65" s="32"/>
      <c r="N65" s="32"/>
      <c r="O65" s="32">
        <v>35406</v>
      </c>
      <c r="P65" s="32"/>
      <c r="Q65" s="32"/>
      <c r="R65" s="39">
        <f t="shared" si="2"/>
        <v>35406</v>
      </c>
      <c r="U65" s="4"/>
    </row>
    <row r="66" spans="2:21" ht="15.75" x14ac:dyDescent="0.25">
      <c r="B66" s="10" t="s">
        <v>140</v>
      </c>
      <c r="C66" s="25" t="s">
        <v>3</v>
      </c>
      <c r="D66" s="31"/>
      <c r="E66" s="32"/>
      <c r="F66" s="32"/>
      <c r="G66" s="32"/>
      <c r="H66" s="32"/>
      <c r="I66" s="32"/>
      <c r="J66" s="32"/>
      <c r="K66" s="32"/>
      <c r="L66" s="32"/>
      <c r="M66" s="32"/>
      <c r="N66" s="32"/>
      <c r="O66" s="32">
        <v>11500</v>
      </c>
      <c r="P66" s="32"/>
      <c r="Q66" s="32">
        <v>4126</v>
      </c>
      <c r="R66" s="39">
        <f t="shared" si="2"/>
        <v>15626</v>
      </c>
      <c r="U66" s="4"/>
    </row>
    <row r="67" spans="2:21" ht="15.75" x14ac:dyDescent="0.25">
      <c r="B67" s="10" t="s">
        <v>141</v>
      </c>
      <c r="C67" s="25" t="s">
        <v>34</v>
      </c>
      <c r="D67" s="31"/>
      <c r="E67" s="32"/>
      <c r="F67" s="32"/>
      <c r="G67" s="32"/>
      <c r="H67" s="32"/>
      <c r="I67" s="32"/>
      <c r="J67" s="32"/>
      <c r="K67" s="32"/>
      <c r="L67" s="32"/>
      <c r="M67" s="32"/>
      <c r="N67" s="32"/>
      <c r="O67" s="32"/>
      <c r="P67" s="32">
        <v>1809</v>
      </c>
      <c r="Q67" s="32">
        <v>12135</v>
      </c>
      <c r="R67" s="39">
        <f t="shared" si="2"/>
        <v>13944</v>
      </c>
      <c r="U67" s="4"/>
    </row>
    <row r="68" spans="2:21" ht="15.75" x14ac:dyDescent="0.25">
      <c r="B68" s="10" t="s">
        <v>142</v>
      </c>
      <c r="C68" s="25" t="s">
        <v>74</v>
      </c>
      <c r="D68" s="31"/>
      <c r="E68" s="32"/>
      <c r="F68" s="32"/>
      <c r="G68" s="32"/>
      <c r="H68" s="32"/>
      <c r="I68" s="32"/>
      <c r="J68" s="32"/>
      <c r="K68" s="32"/>
      <c r="L68" s="32">
        <v>24000</v>
      </c>
      <c r="M68" s="32"/>
      <c r="N68" s="32"/>
      <c r="O68" s="32"/>
      <c r="P68" s="32"/>
      <c r="Q68" s="32"/>
      <c r="R68" s="39">
        <f t="shared" si="2"/>
        <v>24000</v>
      </c>
      <c r="U68" s="4"/>
    </row>
    <row r="69" spans="2:21" ht="15.75" x14ac:dyDescent="0.25">
      <c r="B69" s="10" t="s">
        <v>143</v>
      </c>
      <c r="C69" s="25" t="s">
        <v>73</v>
      </c>
      <c r="D69" s="31"/>
      <c r="E69" s="32"/>
      <c r="F69" s="32"/>
      <c r="G69" s="32"/>
      <c r="H69" s="32"/>
      <c r="I69" s="32"/>
      <c r="J69" s="32"/>
      <c r="K69" s="32"/>
      <c r="L69" s="32"/>
      <c r="M69" s="32"/>
      <c r="N69" s="32">
        <v>7979</v>
      </c>
      <c r="O69" s="32"/>
      <c r="P69" s="32">
        <v>4289</v>
      </c>
      <c r="Q69" s="32">
        <v>18304</v>
      </c>
      <c r="R69" s="39">
        <f t="shared" si="2"/>
        <v>30572</v>
      </c>
      <c r="U69" s="4"/>
    </row>
    <row r="70" spans="2:21" ht="15.75" x14ac:dyDescent="0.25">
      <c r="B70" s="10" t="s">
        <v>144</v>
      </c>
      <c r="C70" s="25" t="s">
        <v>42</v>
      </c>
      <c r="D70" s="31">
        <v>17550</v>
      </c>
      <c r="E70" s="32"/>
      <c r="F70" s="32"/>
      <c r="G70" s="32"/>
      <c r="H70" s="32"/>
      <c r="I70" s="32"/>
      <c r="J70" s="32"/>
      <c r="K70" s="32"/>
      <c r="L70" s="32"/>
      <c r="M70" s="32"/>
      <c r="N70" s="32">
        <v>32263</v>
      </c>
      <c r="O70" s="32">
        <v>21277</v>
      </c>
      <c r="P70" s="32">
        <v>27422</v>
      </c>
      <c r="Q70" s="32">
        <v>67106</v>
      </c>
      <c r="R70" s="39">
        <f t="shared" si="2"/>
        <v>165618</v>
      </c>
      <c r="U70" s="4"/>
    </row>
    <row r="71" spans="2:21" ht="15.75" x14ac:dyDescent="0.25">
      <c r="B71" s="10" t="s">
        <v>145</v>
      </c>
      <c r="C71" s="25" t="s">
        <v>22</v>
      </c>
      <c r="D71" s="31">
        <v>520</v>
      </c>
      <c r="E71" s="32"/>
      <c r="F71" s="32"/>
      <c r="G71" s="32"/>
      <c r="H71" s="32"/>
      <c r="I71" s="32"/>
      <c r="J71" s="32"/>
      <c r="K71" s="32"/>
      <c r="L71" s="32"/>
      <c r="M71" s="32"/>
      <c r="N71" s="32">
        <v>1939</v>
      </c>
      <c r="O71" s="32"/>
      <c r="P71" s="32"/>
      <c r="Q71" s="32">
        <v>26974</v>
      </c>
      <c r="R71" s="39">
        <f t="shared" ref="R71:R84" si="3">SUM(D71:Q71)</f>
        <v>29433</v>
      </c>
      <c r="U71" s="4"/>
    </row>
    <row r="72" spans="2:21" ht="15.75" x14ac:dyDescent="0.25">
      <c r="B72" s="10" t="s">
        <v>146</v>
      </c>
      <c r="C72" s="25" t="s">
        <v>11</v>
      </c>
      <c r="D72" s="31"/>
      <c r="E72" s="32"/>
      <c r="F72" s="32"/>
      <c r="G72" s="32"/>
      <c r="H72" s="32"/>
      <c r="I72" s="32"/>
      <c r="J72" s="32"/>
      <c r="K72" s="32"/>
      <c r="L72" s="32"/>
      <c r="M72" s="32">
        <v>17770</v>
      </c>
      <c r="N72" s="32"/>
      <c r="O72" s="32"/>
      <c r="P72" s="32"/>
      <c r="Q72" s="32"/>
      <c r="R72" s="39">
        <f t="shared" si="3"/>
        <v>17770</v>
      </c>
      <c r="U72" s="4"/>
    </row>
    <row r="73" spans="2:21" ht="15.75" x14ac:dyDescent="0.25">
      <c r="B73" s="10" t="s">
        <v>147</v>
      </c>
      <c r="C73" s="25" t="s">
        <v>60</v>
      </c>
      <c r="D73" s="31"/>
      <c r="E73" s="32"/>
      <c r="F73" s="32"/>
      <c r="G73" s="32"/>
      <c r="H73" s="32"/>
      <c r="I73" s="32"/>
      <c r="J73" s="32"/>
      <c r="K73" s="32"/>
      <c r="L73" s="32"/>
      <c r="M73" s="32"/>
      <c r="N73" s="32"/>
      <c r="O73" s="32"/>
      <c r="P73" s="32"/>
      <c r="Q73" s="32"/>
      <c r="R73" s="39"/>
      <c r="U73" s="4"/>
    </row>
    <row r="74" spans="2:21" ht="15.75" x14ac:dyDescent="0.25">
      <c r="B74" s="10" t="s">
        <v>148</v>
      </c>
      <c r="C74" s="25" t="s">
        <v>63</v>
      </c>
      <c r="D74" s="31"/>
      <c r="E74" s="32"/>
      <c r="F74" s="32"/>
      <c r="G74" s="32"/>
      <c r="H74" s="32"/>
      <c r="I74" s="32"/>
      <c r="J74" s="32"/>
      <c r="K74" s="32"/>
      <c r="L74" s="32"/>
      <c r="M74" s="32"/>
      <c r="N74" s="32"/>
      <c r="O74" s="32"/>
      <c r="P74" s="32">
        <v>1021</v>
      </c>
      <c r="Q74" s="32"/>
      <c r="R74" s="39">
        <f t="shared" si="3"/>
        <v>1021</v>
      </c>
      <c r="U74" s="4"/>
    </row>
    <row r="75" spans="2:21" ht="15.75" x14ac:dyDescent="0.25">
      <c r="B75" s="10" t="s">
        <v>149</v>
      </c>
      <c r="C75" s="25" t="s">
        <v>47</v>
      </c>
      <c r="D75" s="31"/>
      <c r="E75" s="32"/>
      <c r="F75" s="32"/>
      <c r="G75" s="32"/>
      <c r="H75" s="32"/>
      <c r="I75" s="32"/>
      <c r="J75" s="32"/>
      <c r="K75" s="32"/>
      <c r="L75" s="32">
        <v>9556</v>
      </c>
      <c r="M75" s="32"/>
      <c r="N75" s="32">
        <v>355</v>
      </c>
      <c r="O75" s="32"/>
      <c r="P75" s="32"/>
      <c r="Q75" s="32">
        <v>5728</v>
      </c>
      <c r="R75" s="39">
        <f t="shared" si="3"/>
        <v>15639</v>
      </c>
      <c r="U75" s="4"/>
    </row>
    <row r="76" spans="2:21" ht="15.75" x14ac:dyDescent="0.25">
      <c r="B76" s="10" t="s">
        <v>150</v>
      </c>
      <c r="C76" s="25" t="s">
        <v>12</v>
      </c>
      <c r="D76" s="31"/>
      <c r="E76" s="32"/>
      <c r="F76" s="32"/>
      <c r="G76" s="32"/>
      <c r="H76" s="32"/>
      <c r="I76" s="32"/>
      <c r="J76" s="32"/>
      <c r="K76" s="32"/>
      <c r="L76" s="32"/>
      <c r="M76" s="32"/>
      <c r="N76" s="32"/>
      <c r="O76" s="32"/>
      <c r="P76" s="32"/>
      <c r="Q76" s="32"/>
      <c r="R76" s="39"/>
      <c r="U76" s="4"/>
    </row>
    <row r="77" spans="2:21" ht="15.75" x14ac:dyDescent="0.25">
      <c r="B77" s="10" t="s">
        <v>151</v>
      </c>
      <c r="C77" s="25" t="s">
        <v>152</v>
      </c>
      <c r="D77" s="31"/>
      <c r="E77" s="32"/>
      <c r="F77" s="32"/>
      <c r="G77" s="32"/>
      <c r="H77" s="32"/>
      <c r="I77" s="32"/>
      <c r="J77" s="32"/>
      <c r="K77" s="32"/>
      <c r="L77" s="32"/>
      <c r="M77" s="32"/>
      <c r="N77" s="32"/>
      <c r="O77" s="32"/>
      <c r="P77" s="32"/>
      <c r="Q77" s="32"/>
      <c r="R77" s="39"/>
      <c r="U77" s="4"/>
    </row>
    <row r="78" spans="2:21" ht="15.75" x14ac:dyDescent="0.25">
      <c r="B78" s="10" t="s">
        <v>153</v>
      </c>
      <c r="C78" s="25" t="s">
        <v>26</v>
      </c>
      <c r="D78" s="31">
        <v>5864</v>
      </c>
      <c r="E78" s="32"/>
      <c r="F78" s="32"/>
      <c r="G78" s="32"/>
      <c r="H78" s="32"/>
      <c r="I78" s="32"/>
      <c r="J78" s="32"/>
      <c r="K78" s="32"/>
      <c r="L78" s="32"/>
      <c r="M78" s="32">
        <v>83347</v>
      </c>
      <c r="N78" s="32">
        <v>68915</v>
      </c>
      <c r="O78" s="32"/>
      <c r="P78" s="32"/>
      <c r="Q78" s="32"/>
      <c r="R78" s="39">
        <f t="shared" si="3"/>
        <v>158126</v>
      </c>
      <c r="U78" s="4"/>
    </row>
    <row r="79" spans="2:21" ht="15.75" x14ac:dyDescent="0.25">
      <c r="B79" s="10" t="s">
        <v>154</v>
      </c>
      <c r="C79" s="25" t="s">
        <v>1</v>
      </c>
      <c r="D79" s="31"/>
      <c r="E79" s="32"/>
      <c r="F79" s="32"/>
      <c r="G79" s="32"/>
      <c r="H79" s="32"/>
      <c r="I79" s="32"/>
      <c r="J79" s="32">
        <v>25978</v>
      </c>
      <c r="K79" s="32"/>
      <c r="L79" s="32"/>
      <c r="M79" s="32"/>
      <c r="N79" s="32">
        <v>5692</v>
      </c>
      <c r="O79" s="32"/>
      <c r="P79" s="32"/>
      <c r="Q79" s="32">
        <v>5405</v>
      </c>
      <c r="R79" s="39">
        <f t="shared" si="3"/>
        <v>37075</v>
      </c>
      <c r="U79" s="4"/>
    </row>
    <row r="80" spans="2:21" ht="15.75" x14ac:dyDescent="0.25">
      <c r="B80" s="10" t="s">
        <v>155</v>
      </c>
      <c r="C80" s="25" t="s">
        <v>77</v>
      </c>
      <c r="D80" s="31"/>
      <c r="E80" s="32"/>
      <c r="F80" s="32"/>
      <c r="G80" s="32"/>
      <c r="H80" s="32"/>
      <c r="I80" s="32"/>
      <c r="J80" s="32"/>
      <c r="K80" s="32"/>
      <c r="L80" s="32"/>
      <c r="M80" s="32"/>
      <c r="N80" s="32">
        <v>590</v>
      </c>
      <c r="O80" s="32"/>
      <c r="P80" s="32">
        <v>7104</v>
      </c>
      <c r="Q80" s="32">
        <v>17872</v>
      </c>
      <c r="R80" s="39">
        <f t="shared" si="3"/>
        <v>25566</v>
      </c>
      <c r="U80" s="4"/>
    </row>
    <row r="81" spans="2:21" ht="15.75" x14ac:dyDescent="0.25">
      <c r="B81" s="10" t="s">
        <v>156</v>
      </c>
      <c r="C81" s="25" t="s">
        <v>61</v>
      </c>
      <c r="D81" s="31">
        <v>104625</v>
      </c>
      <c r="E81" s="32">
        <v>17450</v>
      </c>
      <c r="F81" s="32">
        <v>17100</v>
      </c>
      <c r="G81" s="32">
        <v>9971</v>
      </c>
      <c r="H81" s="32">
        <v>1387</v>
      </c>
      <c r="I81" s="32"/>
      <c r="J81" s="32"/>
      <c r="K81" s="32">
        <v>14170</v>
      </c>
      <c r="L81" s="32">
        <v>213880</v>
      </c>
      <c r="M81" s="32">
        <v>22324</v>
      </c>
      <c r="N81" s="32">
        <v>247477</v>
      </c>
      <c r="O81" s="32">
        <v>26620</v>
      </c>
      <c r="P81" s="32">
        <v>112352</v>
      </c>
      <c r="Q81" s="32"/>
      <c r="R81" s="39">
        <f t="shared" si="3"/>
        <v>787356</v>
      </c>
      <c r="U81" s="4"/>
    </row>
    <row r="82" spans="2:21" ht="15.75" x14ac:dyDescent="0.25">
      <c r="B82" s="10" t="s">
        <v>157</v>
      </c>
      <c r="C82" s="25" t="s">
        <v>20</v>
      </c>
      <c r="D82" s="31">
        <v>966</v>
      </c>
      <c r="E82" s="32">
        <v>2000</v>
      </c>
      <c r="F82" s="32"/>
      <c r="G82" s="32"/>
      <c r="H82" s="32">
        <v>16456</v>
      </c>
      <c r="I82" s="32">
        <v>3077</v>
      </c>
      <c r="J82" s="32">
        <v>200133</v>
      </c>
      <c r="K82" s="32">
        <v>90197</v>
      </c>
      <c r="L82" s="32">
        <v>125676</v>
      </c>
      <c r="M82" s="32">
        <v>176637</v>
      </c>
      <c r="N82" s="32">
        <v>26838</v>
      </c>
      <c r="O82" s="32"/>
      <c r="P82" s="32"/>
      <c r="Q82" s="32"/>
      <c r="R82" s="39">
        <f t="shared" si="3"/>
        <v>641980</v>
      </c>
      <c r="U82" s="4"/>
    </row>
    <row r="83" spans="2:21" ht="15.75" x14ac:dyDescent="0.25">
      <c r="B83" s="10" t="s">
        <v>158</v>
      </c>
      <c r="C83" s="25" t="s">
        <v>45</v>
      </c>
      <c r="D83" s="31"/>
      <c r="E83" s="32"/>
      <c r="F83" s="32"/>
      <c r="G83" s="32"/>
      <c r="H83" s="32"/>
      <c r="I83" s="32"/>
      <c r="J83" s="32">
        <v>51684</v>
      </c>
      <c r="K83" s="32"/>
      <c r="L83" s="32">
        <v>50031</v>
      </c>
      <c r="M83" s="32">
        <v>15575</v>
      </c>
      <c r="N83" s="32">
        <v>109778</v>
      </c>
      <c r="O83" s="32">
        <v>38324</v>
      </c>
      <c r="P83" s="32"/>
      <c r="Q83" s="32"/>
      <c r="R83" s="39">
        <f t="shared" si="3"/>
        <v>265392</v>
      </c>
      <c r="U83" s="4"/>
    </row>
    <row r="84" spans="2:21" ht="15.75" x14ac:dyDescent="0.25">
      <c r="B84" s="10" t="s">
        <v>159</v>
      </c>
      <c r="C84" s="25" t="s">
        <v>70</v>
      </c>
      <c r="D84" s="31"/>
      <c r="E84" s="32"/>
      <c r="F84" s="32"/>
      <c r="G84" s="32"/>
      <c r="H84" s="32"/>
      <c r="I84" s="32"/>
      <c r="J84" s="32"/>
      <c r="K84" s="32"/>
      <c r="L84" s="32"/>
      <c r="M84" s="32"/>
      <c r="N84" s="32">
        <v>51570</v>
      </c>
      <c r="O84" s="32"/>
      <c r="P84" s="32"/>
      <c r="Q84" s="32"/>
      <c r="R84" s="39">
        <f t="shared" si="3"/>
        <v>51570</v>
      </c>
      <c r="U84" s="4"/>
    </row>
    <row r="85" spans="2:21" ht="15.75" x14ac:dyDescent="0.25">
      <c r="B85" s="10" t="s">
        <v>160</v>
      </c>
      <c r="C85" s="25" t="s">
        <v>71</v>
      </c>
      <c r="D85" s="31"/>
      <c r="E85" s="32"/>
      <c r="F85" s="32"/>
      <c r="G85" s="32"/>
      <c r="H85" s="32"/>
      <c r="I85" s="32"/>
      <c r="J85" s="32"/>
      <c r="K85" s="32"/>
      <c r="L85" s="32"/>
      <c r="M85" s="32"/>
      <c r="N85" s="32"/>
      <c r="O85" s="32"/>
      <c r="P85" s="32"/>
      <c r="Q85" s="32"/>
      <c r="R85" s="39"/>
      <c r="U85" s="4"/>
    </row>
    <row r="86" spans="2:21" ht="16.5" thickBot="1" x14ac:dyDescent="0.3">
      <c r="B86" s="11" t="s">
        <v>161</v>
      </c>
      <c r="C86" s="27" t="s">
        <v>54</v>
      </c>
      <c r="D86" s="34"/>
      <c r="E86" s="35"/>
      <c r="F86" s="35"/>
      <c r="G86" s="35"/>
      <c r="H86" s="35"/>
      <c r="I86" s="35"/>
      <c r="J86" s="35"/>
      <c r="K86" s="35"/>
      <c r="L86" s="35"/>
      <c r="M86" s="35"/>
      <c r="N86" s="35"/>
      <c r="O86" s="35"/>
      <c r="P86" s="35"/>
      <c r="Q86" s="35"/>
      <c r="R86" s="40"/>
      <c r="U86" s="4"/>
    </row>
    <row r="87" spans="2:21" ht="15.75" x14ac:dyDescent="0.25">
      <c r="B87" s="7"/>
      <c r="C87" s="12"/>
      <c r="D87" s="12"/>
    </row>
    <row r="88" spans="2:21" x14ac:dyDescent="0.25">
      <c r="B88" s="6" t="s">
        <v>165</v>
      </c>
    </row>
    <row r="89" spans="2:21" x14ac:dyDescent="0.25">
      <c r="B89" s="6" t="s">
        <v>166</v>
      </c>
    </row>
    <row r="90" spans="2:21" ht="32.25" customHeight="1" x14ac:dyDescent="0.25">
      <c r="B90" s="42" t="s">
        <v>171</v>
      </c>
      <c r="C90" s="42"/>
      <c r="D90" s="42"/>
      <c r="E90" s="42"/>
      <c r="F90" s="42"/>
      <c r="G90" s="42"/>
      <c r="H90" s="42"/>
      <c r="I90" s="42"/>
      <c r="J90" s="42"/>
      <c r="K90" s="42"/>
      <c r="L90" s="42"/>
      <c r="M90" s="42"/>
      <c r="N90" s="42"/>
      <c r="O90" s="42"/>
      <c r="P90" s="42"/>
      <c r="Q90" s="42"/>
      <c r="R90" s="42"/>
    </row>
    <row r="91" spans="2:21" x14ac:dyDescent="0.25">
      <c r="B91" s="6"/>
    </row>
  </sheetData>
  <mergeCells count="6">
    <mergeCell ref="B90:R90"/>
    <mergeCell ref="B1:P1"/>
    <mergeCell ref="B3:B4"/>
    <mergeCell ref="C3:C4"/>
    <mergeCell ref="B2:R2"/>
    <mergeCell ref="D3:R3"/>
  </mergeCells>
  <pageMargins left="0.7" right="0.7" top="0.75" bottom="0.75" header="0.3" footer="0.3"/>
  <pageSetup paperSize="9"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5.1.Tablo</vt:lpstr>
    </vt:vector>
  </TitlesOfParts>
  <Company>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Umutlu</dc:creator>
  <cp:lastModifiedBy>Taylan Sarıaltın</cp:lastModifiedBy>
  <dcterms:created xsi:type="dcterms:W3CDTF">2020-01-10T07:46:30Z</dcterms:created>
  <dcterms:modified xsi:type="dcterms:W3CDTF">2022-06-07T12:23:40Z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