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13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20" i="1"/>
  <c r="G28" i="1"/>
  <c r="G36" i="1"/>
  <c r="G44" i="1"/>
  <c r="G52" i="1"/>
  <c r="G59" i="1"/>
  <c r="G60" i="1"/>
  <c r="G68" i="1"/>
  <c r="G75" i="1"/>
  <c r="G76" i="1"/>
  <c r="G80" i="1"/>
  <c r="G83" i="1"/>
  <c r="G84" i="1"/>
  <c r="G67" i="1"/>
  <c r="G81" i="1"/>
  <c r="G13" i="1"/>
  <c r="G21" i="1"/>
  <c r="G29" i="1"/>
  <c r="G37" i="1"/>
  <c r="G45" i="1"/>
  <c r="G53" i="1"/>
  <c r="G61" i="1"/>
  <c r="G69" i="1"/>
  <c r="G70" i="1"/>
  <c r="G77" i="1"/>
  <c r="G78" i="1"/>
  <c r="G6" i="1"/>
  <c r="G7" i="1"/>
  <c r="G8" i="1"/>
  <c r="G9" i="1"/>
  <c r="G10" i="1"/>
  <c r="G11" i="1"/>
  <c r="G14" i="1"/>
  <c r="G15" i="1"/>
  <c r="G16" i="1"/>
  <c r="G17" i="1"/>
  <c r="G18" i="1"/>
  <c r="G19" i="1"/>
  <c r="G22" i="1"/>
  <c r="G23" i="1"/>
  <c r="G24" i="1"/>
  <c r="G25" i="1"/>
  <c r="G26" i="1"/>
  <c r="G27" i="1"/>
  <c r="G30" i="1"/>
  <c r="G31" i="1"/>
  <c r="G32" i="1"/>
  <c r="G33" i="1"/>
  <c r="G34" i="1"/>
  <c r="G35" i="1"/>
  <c r="G38" i="1"/>
  <c r="G39" i="1"/>
  <c r="G40" i="1"/>
  <c r="G41" i="1"/>
  <c r="G42" i="1"/>
  <c r="G43" i="1"/>
  <c r="G46" i="1"/>
  <c r="G47" i="1"/>
  <c r="G48" i="1"/>
  <c r="G49" i="1"/>
  <c r="G50" i="1"/>
  <c r="G51" i="1"/>
  <c r="G54" i="1"/>
  <c r="G55" i="1"/>
  <c r="G56" i="1"/>
  <c r="G57" i="1"/>
  <c r="G58" i="1"/>
  <c r="G62" i="1"/>
  <c r="G63" i="1"/>
  <c r="G64" i="1"/>
  <c r="G65" i="1"/>
  <c r="G66" i="1"/>
  <c r="G71" i="1"/>
  <c r="G73" i="1"/>
  <c r="G79" i="1"/>
  <c r="G74" i="1" l="1"/>
  <c r="G82" i="1"/>
  <c r="G72" i="1"/>
  <c r="G85" i="1"/>
  <c r="G5" i="1"/>
</calcChain>
</file>

<file path=xl/sharedStrings.xml><?xml version="1.0" encoding="utf-8"?>
<sst xmlns="http://schemas.openxmlformats.org/spreadsheetml/2006/main" count="173" uniqueCount="173">
  <si>
    <t>Havza Adı</t>
  </si>
  <si>
    <t>Sulama Oranı Değişimi</t>
  </si>
  <si>
    <t xml:space="preserve">Sulama Oranı                                </t>
  </si>
  <si>
    <t>İli</t>
  </si>
  <si>
    <t>IBBS(1) - 3. Düzey</t>
  </si>
  <si>
    <t>TR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</si>
  <si>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</si>
  <si>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</si>
  <si>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</si>
  <si>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</si>
  <si>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</si>
  <si>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</si>
  <si>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</si>
  <si>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</si>
  <si>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</si>
  <si>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</si>
  <si>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</si>
  <si>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</si>
  <si>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</si>
  <si>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</si>
  <si>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</si>
  <si>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</si>
  <si>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</si>
  <si>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</si>
  <si>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</si>
  <si>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</si>
  <si>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</si>
  <si>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</si>
  <si>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</si>
  <si>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</si>
  <si>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</si>
  <si>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</si>
  <si>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</si>
  <si>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</si>
  <si>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</si>
  <si>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</si>
  <si>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</si>
  <si>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</si>
  <si>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</si>
  <si>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</si>
  <si>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</si>
  <si>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</si>
  <si>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</si>
  <si>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</si>
  <si>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</si>
  <si>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</si>
  <si>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</si>
  <si>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</si>
  <si>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</si>
  <si>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</si>
  <si>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</si>
  <si>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</si>
  <si>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</si>
  <si>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</si>
  <si>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</si>
  <si>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</si>
  <si>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</si>
  <si>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</si>
  <si>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</si>
  <si>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</si>
  <si>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</si>
  <si>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</si>
  <si>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</si>
  <si>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</si>
  <si>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</si>
  <si>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</si>
  <si>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</si>
  <si>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</si>
  <si>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</si>
  <si>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</si>
  <si>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</si>
  <si>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</si>
  <si>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</si>
  <si>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</si>
  <si>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</si>
  <si>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</si>
  <si>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</si>
  <si>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</si>
  <si>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</si>
  <si>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</si>
  <si>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</si>
  <si>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</si>
  <si>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</si>
  <si>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</si>
  <si>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</si>
  <si>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</si>
  <si>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</si>
  <si>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</si>
  <si>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</si>
  <si>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</si>
  <si>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</si>
  <si>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</si>
  <si>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</si>
  <si>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</si>
  <si>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</si>
  <si>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</si>
  <si>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</si>
  <si>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</si>
  <si>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</si>
  <si>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</si>
  <si>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</si>
  <si>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</si>
  <si>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</si>
  <si>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</si>
  <si>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</si>
  <si>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</si>
  <si>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</si>
  <si>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</si>
  <si>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</si>
  <si>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</si>
  <si>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</si>
  <si>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</si>
  <si>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</si>
  <si>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</si>
  <si>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</si>
  <si>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</si>
  <si>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</si>
  <si>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</si>
  <si>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</si>
  <si>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</si>
  <si>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</si>
  <si>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</si>
  <si>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</si>
  <si>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</si>
  <si>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</si>
  <si>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</si>
  <si>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</si>
  <si>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</si>
  <si>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</si>
  <si>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</si>
  <si>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</si>
  <si>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</si>
  <si>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</si>
  <si>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</si>
  <si>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</si>
  <si>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</si>
  <si>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</si>
  <si>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</si>
  <si>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</si>
  <si>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</si>
  <si>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</si>
  <si>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</si>
  <si>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</si>
  <si>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</si>
  <si>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</si>
  <si>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</si>
  <si>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</si>
  <si>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</si>
  <si>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</si>
  <si>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</si>
  <si>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</si>
  <si>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</si>
  <si>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</si>
  <si>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</si>
  <si>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</si>
  <si>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</si>
  <si>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</si>
  <si>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</si>
  <si>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</si>
  <si>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</si>
  <si>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</si>
  <si>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</si>
  <si>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</si>
  <si>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</si>
  <si>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</si>
  <si>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</si>
  <si>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</si>
  <si>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</si>
  <si>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</si>
  <si>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 xml:space="preserve">İBBS(1) - 3. Düzey         </t>
  </si>
  <si>
    <t xml:space="preserve">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</si>
  <si>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</si>
  <si>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2.13.DSİ'ce İşletilen ve Devredilen Sulama Tesislerinin İl Bazında Sulama Oranı,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</si>
</sst>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3" borderId="7" xfId="0" quotePrefix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" xfId="0" applyNumberFormat="1" applyBorder="1"/>
    <xf numFmtId="0" fontId="6" fillId="3" borderId="14" xfId="0" quotePrefix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7" fillId="2" borderId="0" xfId="0" applyFont="1" applyFill="1"/>
    <xf numFmtId="0" fontId="7" fillId="0" borderId="0" xfId="0" applyFont="1"/>
    <xf numFmtId="165" fontId="7" fillId="0" borderId="0" xfId="0" applyNumberFormat="1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 Değişimi, (%), 2019-2020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65836618312901E-2"/>
          <c:y val="0.1659705109317512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'2.13.Tablo'!$G$4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1.1669037609905559E-3"/>
                  <c:y val="0.168939888578131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2AC-416F-BE1A-435F130C772A}"/>
                </c:ext>
              </c:extLst>
            </c:dLbl>
            <c:dLbl>
              <c:idx val="3"/>
              <c:layout>
                <c:manualLayout>
                  <c:x val="0"/>
                  <c:y val="0.168939888578131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2AC-416F-BE1A-435F130C772A}"/>
                </c:ext>
              </c:extLst>
            </c:dLbl>
            <c:dLbl>
              <c:idx val="16"/>
              <c:layout>
                <c:manualLayout>
                  <c:x val="0"/>
                  <c:y val="0.227599507961265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92AC-416F-BE1A-435F130C772A}"/>
                </c:ext>
              </c:extLst>
            </c:dLbl>
            <c:dLbl>
              <c:idx val="17"/>
              <c:layout>
                <c:manualLayout>
                  <c:x val="-5.8345188049527253E-4"/>
                  <c:y val="0.161900734252155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92AC-416F-BE1A-435F130C772A}"/>
                </c:ext>
              </c:extLst>
            </c:dLbl>
            <c:dLbl>
              <c:idx val="60"/>
              <c:layout>
                <c:manualLayout>
                  <c:x val="-8.5571953938125943E-17"/>
                  <c:y val="1.4078493406658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92AC-416F-BE1A-435F130C77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'2.13.Tablo'!$G$5:$G$85</c:f>
              <c:numCache>
                <c:formatCode>0.0</c:formatCode>
                <c:ptCount val="81"/>
                <c:pt idx="0">
                  <c:v>0</c:v>
                </c:pt>
                <c:pt idx="1">
                  <c:v>-40.626336258679316</c:v>
                </c:pt>
                <c:pt idx="2">
                  <c:v>-8.4438385532690354</c:v>
                </c:pt>
                <c:pt idx="3">
                  <c:v>-38.502122776534009</c:v>
                </c:pt>
                <c:pt idx="4">
                  <c:v>4.4932953830828053</c:v>
                </c:pt>
                <c:pt idx="5">
                  <c:v>-1.2719368022629625</c:v>
                </c:pt>
                <c:pt idx="6">
                  <c:v>-10.026985151381419</c:v>
                </c:pt>
                <c:pt idx="7">
                  <c:v>5.0641308201786446</c:v>
                </c:pt>
                <c:pt idx="8">
                  <c:v>-3.5741204481272368</c:v>
                </c:pt>
                <c:pt idx="9">
                  <c:v>11.225701831240039</c:v>
                </c:pt>
                <c:pt idx="10">
                  <c:v>-8.0779586692517871</c:v>
                </c:pt>
                <c:pt idx="11">
                  <c:v>11.085350156650726</c:v>
                </c:pt>
                <c:pt idx="12">
                  <c:v>32.290594378025041</c:v>
                </c:pt>
                <c:pt idx="13">
                  <c:v>37.498615317546538</c:v>
                </c:pt>
                <c:pt idx="14">
                  <c:v>11.457367581778239</c:v>
                </c:pt>
                <c:pt idx="15">
                  <c:v>-2.3974105852470946</c:v>
                </c:pt>
                <c:pt idx="16">
                  <c:v>-61.776415652416091</c:v>
                </c:pt>
                <c:pt idx="17">
                  <c:v>-48.153153589152346</c:v>
                </c:pt>
                <c:pt idx="18">
                  <c:v>2.7803130651779249</c:v>
                </c:pt>
                <c:pt idx="19">
                  <c:v>105.08471041343687</c:v>
                </c:pt>
                <c:pt idx="20">
                  <c:v>85.607599589838827</c:v>
                </c:pt>
                <c:pt idx="21">
                  <c:v>163.56367789834385</c:v>
                </c:pt>
                <c:pt idx="22">
                  <c:v>15.175240241100934</c:v>
                </c:pt>
                <c:pt idx="23">
                  <c:v>9.2617041823204982</c:v>
                </c:pt>
                <c:pt idx="24">
                  <c:v>5.2568338362739873</c:v>
                </c:pt>
                <c:pt idx="25">
                  <c:v>3.3797492450609585</c:v>
                </c:pt>
                <c:pt idx="26">
                  <c:v>1.9369721687849959</c:v>
                </c:pt>
                <c:pt idx="27">
                  <c:v>-3.8638577935425831</c:v>
                </c:pt>
                <c:pt idx="28">
                  <c:v>-2.0689083746518633</c:v>
                </c:pt>
                <c:pt idx="29">
                  <c:v>-7.869298718875462</c:v>
                </c:pt>
                <c:pt idx="30">
                  <c:v>1.3174333919084946</c:v>
                </c:pt>
                <c:pt idx="31">
                  <c:v>6.1417442184611142</c:v>
                </c:pt>
                <c:pt idx="32">
                  <c:v>9.720558490269628</c:v>
                </c:pt>
                <c:pt idx="33">
                  <c:v>-17.205192651517116</c:v>
                </c:pt>
                <c:pt idx="34">
                  <c:v>1.4722060280406217</c:v>
                </c:pt>
                <c:pt idx="35">
                  <c:v>-5.2222878161754736</c:v>
                </c:pt>
                <c:pt idx="36">
                  <c:v>113.66867140513939</c:v>
                </c:pt>
                <c:pt idx="37">
                  <c:v>3.2351389432483035</c:v>
                </c:pt>
                <c:pt idx="38">
                  <c:v>10.703075023036003</c:v>
                </c:pt>
                <c:pt idx="39">
                  <c:v>20.91303860448442</c:v>
                </c:pt>
                <c:pt idx="40">
                  <c:v>0.33386142679754705</c:v>
                </c:pt>
                <c:pt idx="41">
                  <c:v>0</c:v>
                </c:pt>
                <c:pt idx="42">
                  <c:v>4.6511627906976738</c:v>
                </c:pt>
                <c:pt idx="43">
                  <c:v>0</c:v>
                </c:pt>
                <c:pt idx="44">
                  <c:v>17.78053383515736</c:v>
                </c:pt>
                <c:pt idx="45">
                  <c:v>-13.932337240566536</c:v>
                </c:pt>
                <c:pt idx="46">
                  <c:v>-4.9355291467760463</c:v>
                </c:pt>
                <c:pt idx="47">
                  <c:v>12.185623435502032</c:v>
                </c:pt>
                <c:pt idx="48">
                  <c:v>29.842393965335543</c:v>
                </c:pt>
                <c:pt idx="49">
                  <c:v>158.44536285357319</c:v>
                </c:pt>
                <c:pt idx="50">
                  <c:v>16.700112730557969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-18.239697220831129</c:v>
                </c:pt>
                <c:pt idx="57">
                  <c:v>8.3563381891251307</c:v>
                </c:pt>
                <c:pt idx="58">
                  <c:v>7.4310872690910328</c:v>
                </c:pt>
                <c:pt idx="59">
                  <c:v>0</c:v>
                </c:pt>
                <c:pt idx="60">
                  <c:v>-31.302616711156286</c:v>
                </c:pt>
                <c:pt idx="61">
                  <c:v>7.7056651397207103</c:v>
                </c:pt>
                <c:pt idx="62">
                  <c:v>6.0366839355955841</c:v>
                </c:pt>
                <c:pt idx="63">
                  <c:v>0</c:v>
                </c:pt>
                <c:pt idx="64">
                  <c:v>13.113501412604322</c:v>
                </c:pt>
                <c:pt idx="65">
                  <c:v>-8.209574329205191</c:v>
                </c:pt>
                <c:pt idx="66">
                  <c:v>24.164299783909513</c:v>
                </c:pt>
                <c:pt idx="67">
                  <c:v>89.91715141900228</c:v>
                </c:pt>
                <c:pt idx="68">
                  <c:v>15.011326632109528</c:v>
                </c:pt>
                <c:pt idx="69">
                  <c:v>74.020045962999021</c:v>
                </c:pt>
                <c:pt idx="70">
                  <c:v>31.249999999999996</c:v>
                </c:pt>
                <c:pt idx="71">
                  <c:v>0</c:v>
                </c:pt>
                <c:pt idx="72">
                  <c:v>32.63759624190056</c:v>
                </c:pt>
                <c:pt idx="73">
                  <c:v>41.614984624927452</c:v>
                </c:pt>
                <c:pt idx="74">
                  <c:v>0</c:v>
                </c:pt>
                <c:pt idx="75">
                  <c:v>30.160959828306826</c:v>
                </c:pt>
                <c:pt idx="76">
                  <c:v>-1.0492961731181396</c:v>
                </c:pt>
                <c:pt idx="77">
                  <c:v>36.44558823529411</c:v>
                </c:pt>
                <c:pt idx="78">
                  <c:v>30.052013305249528</c:v>
                </c:pt>
                <c:pt idx="79">
                  <c:v>-5.6302805001689658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Oranı,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'2.13.Tablo'!$D$3:$E$3</c:f>
              <c:strCache>
                <c:ptCount val="1"/>
                <c:pt idx="0">
                  <c:v>Sulama Oranı                                </c:v>
                </c:pt>
              </c:strCache>
            </c:strRef>
          </c:tx>
          <c:invertIfNegative val="0"/>
          <c:dLbls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C8-422D-A53D-7BC878ADEB7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'2.13.Tablo'!$E$5:$E$85</c:f>
              <c:numCache>
                <c:formatCode>0.00</c:formatCode>
                <c:ptCount val="81"/>
                <c:pt idx="1">
                  <c:v>0.30222844112769487</c:v>
                </c:pt>
                <c:pt idx="2">
                  <c:v>0.58620768007271074</c:v>
                </c:pt>
                <c:pt idx="3">
                  <c:v>0.30964652556932415</c:v>
                </c:pt>
                <c:pt idx="4">
                  <c:v>0.73276568001043163</c:v>
                </c:pt>
                <c:pt idx="5">
                  <c:v>0.69273020278436814</c:v>
                </c:pt>
                <c:pt idx="6">
                  <c:v>0.585164913616677</c:v>
                </c:pt>
                <c:pt idx="7">
                  <c:v>1.0224786686338641</c:v>
                </c:pt>
                <c:pt idx="8">
                  <c:v>0.6986670174515478</c:v>
                </c:pt>
                <c:pt idx="9">
                  <c:v>0.57275953859804796</c:v>
                </c:pt>
                <c:pt idx="10">
                  <c:v>0.35276998777568902</c:v>
                </c:pt>
                <c:pt idx="11">
                  <c:v>0.40328923413035561</c:v>
                </c:pt>
                <c:pt idx="12">
                  <c:v>0.3193877996594035</c:v>
                </c:pt>
                <c:pt idx="13">
                  <c:v>0.35516480282519131</c:v>
                </c:pt>
                <c:pt idx="14">
                  <c:v>0.60960328894198668</c:v>
                </c:pt>
                <c:pt idx="15">
                  <c:v>0.67443352394567546</c:v>
                </c:pt>
                <c:pt idx="16">
                  <c:v>0.15771308523409364</c:v>
                </c:pt>
                <c:pt idx="17">
                  <c:v>0.25737919024814976</c:v>
                </c:pt>
                <c:pt idx="18">
                  <c:v>0.45446658404042328</c:v>
                </c:pt>
                <c:pt idx="19">
                  <c:v>5.3636363636363635E-2</c:v>
                </c:pt>
                <c:pt idx="20">
                  <c:v>0.19792655250670518</c:v>
                </c:pt>
                <c:pt idx="21">
                  <c:v>0.3155339805825243</c:v>
                </c:pt>
                <c:pt idx="22">
                  <c:v>0.5522336541652838</c:v>
                </c:pt>
                <c:pt idx="23">
                  <c:v>0.87360023191423908</c:v>
                </c:pt>
                <c:pt idx="24">
                  <c:v>0.73936870421245426</c:v>
                </c:pt>
                <c:pt idx="25">
                  <c:v>0.62191556570058337</c:v>
                </c:pt>
                <c:pt idx="26">
                  <c:v>0.37028848706527834</c:v>
                </c:pt>
                <c:pt idx="27">
                  <c:v>0.55053374059262528</c:v>
                </c:pt>
                <c:pt idx="28">
                  <c:v>0.96466308380032573</c:v>
                </c:pt>
                <c:pt idx="29">
                  <c:v>0.7051677105383759</c:v>
                </c:pt>
                <c:pt idx="30">
                  <c:v>0.79355582958749349</c:v>
                </c:pt>
                <c:pt idx="31">
                  <c:v>0.73181367919095119</c:v>
                </c:pt>
                <c:pt idx="32">
                  <c:v>0.79509054039631433</c:v>
                </c:pt>
                <c:pt idx="33">
                  <c:v>0.38971825832418588</c:v>
                </c:pt>
                <c:pt idx="34">
                  <c:v>0.65582089552238809</c:v>
                </c:pt>
                <c:pt idx="35">
                  <c:v>0.56861463015937885</c:v>
                </c:pt>
                <c:pt idx="36">
                  <c:v>0.18190845616757176</c:v>
                </c:pt>
                <c:pt idx="37">
                  <c:v>0.22199269692227439</c:v>
                </c:pt>
                <c:pt idx="38">
                  <c:v>0.84341108360170514</c:v>
                </c:pt>
                <c:pt idx="39">
                  <c:v>0.38154578447285392</c:v>
                </c:pt>
                <c:pt idx="40">
                  <c:v>0.22674871973929236</c:v>
                </c:pt>
                <c:pt idx="42">
                  <c:v>4.3960923623445829E-2</c:v>
                </c:pt>
                <c:pt idx="44">
                  <c:v>0.3534861725872962</c:v>
                </c:pt>
                <c:pt idx="45">
                  <c:v>0.35130551677782951</c:v>
                </c:pt>
                <c:pt idx="46">
                  <c:v>0.2979466426858513</c:v>
                </c:pt>
                <c:pt idx="47">
                  <c:v>0.61460422548924154</c:v>
                </c:pt>
                <c:pt idx="48">
                  <c:v>0.66279953310598949</c:v>
                </c:pt>
                <c:pt idx="49">
                  <c:v>0.63199819981998195</c:v>
                </c:pt>
                <c:pt idx="50">
                  <c:v>0.72775090990676572</c:v>
                </c:pt>
                <c:pt idx="56">
                  <c:v>0.12134495641344957</c:v>
                </c:pt>
                <c:pt idx="57">
                  <c:v>0.42362362080612476</c:v>
                </c:pt>
                <c:pt idx="58">
                  <c:v>0.42189694702546154</c:v>
                </c:pt>
                <c:pt idx="60">
                  <c:v>0.10212700051626226</c:v>
                </c:pt>
                <c:pt idx="61">
                  <c:v>0.43666182873730042</c:v>
                </c:pt>
                <c:pt idx="62">
                  <c:v>0.66239180728349323</c:v>
                </c:pt>
                <c:pt idx="64">
                  <c:v>0.61323384093039757</c:v>
                </c:pt>
                <c:pt idx="65">
                  <c:v>0.28830091144062031</c:v>
                </c:pt>
                <c:pt idx="66">
                  <c:v>0.24988962472406182</c:v>
                </c:pt>
                <c:pt idx="67">
                  <c:v>0.35324590163934427</c:v>
                </c:pt>
                <c:pt idx="68">
                  <c:v>0.24103897354420933</c:v>
                </c:pt>
                <c:pt idx="69">
                  <c:v>0.2109716796875</c:v>
                </c:pt>
                <c:pt idx="70">
                  <c:v>0.35</c:v>
                </c:pt>
                <c:pt idx="72">
                  <c:v>0.81678589859589157</c:v>
                </c:pt>
                <c:pt idx="73">
                  <c:v>0.55952804037245008</c:v>
                </c:pt>
                <c:pt idx="74">
                  <c:v>1</c:v>
                </c:pt>
                <c:pt idx="75">
                  <c:v>1.1764552482071342</c:v>
                </c:pt>
                <c:pt idx="76">
                  <c:v>0.64607364229711428</c:v>
                </c:pt>
                <c:pt idx="77">
                  <c:v>0.49075630252100838</c:v>
                </c:pt>
                <c:pt idx="78">
                  <c:v>0.67010549629888672</c:v>
                </c:pt>
                <c:pt idx="79">
                  <c:v>0.47765993841943211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1419225</xdr:colOff>
      <xdr:row>1</xdr:row>
      <xdr:rowOff>9525</xdr:rowOff>
    </xdr:from>
    <xdr:to>
      <xdr:col>4</xdr:col>
      <xdr:colOff>1800225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69057</xdr:colOff>
      <xdr:row>119</xdr:row>
      <xdr:rowOff>147638</xdr:rowOff>
    </xdr:from>
    <xdr:to>
      <xdr:col>29</xdr:col>
      <xdr:colOff>595312</xdr:colOff>
      <xdr:row>148</xdr:row>
      <xdr:rowOff>35720</xdr:rowOff>
    </xdr:to>
    <xdr:graphicFrame macro="">
      <xdr:nvGraphicFramePr>
        <xdr:cNvPr id="15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154781</xdr:colOff>
      <xdr:row>89</xdr:row>
      <xdr:rowOff>35720</xdr:rowOff>
    </xdr:from>
    <xdr:to>
      <xdr:col>29</xdr:col>
      <xdr:colOff>583406</xdr:colOff>
      <xdr:row>119</xdr:row>
      <xdr:rowOff>23813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0.03402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068" y="73286"/>
          <a:ext cx="552500" cy="41254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0.03326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664" y="77220"/>
          <a:ext cx="537617" cy="43469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5"/>
  <sheetViews>
    <sheetView tabSelected="1" zoomScale="80" zoomScaleNormal="80" workbookViewId="0">
      <selection activeCell="H15" sqref="H15"/>
    </sheetView>
  </sheetViews>
  <sheetFormatPr defaultRowHeight="15" x14ac:dyDescent="0.25"/>
  <cols>
    <col min="1" max="1" width="2.5703125" customWidth="1"/>
    <col min="2" max="2" width="17.42578125" customWidth="1"/>
    <col min="3" max="3" width="27.140625" customWidth="1"/>
    <col min="4" max="5" width="27.7109375" customWidth="1"/>
    <col min="7" max="7" width="9.140625" style="24" customWidth="1"/>
  </cols>
  <sheetData>
    <row r="1" spans="2:8" s="1" customFormat="1" ht="15" customHeight="1" thickBot="1" x14ac:dyDescent="0.3">
      <c r="C1" s="5"/>
      <c r="D1" s="5"/>
      <c r="E1" s="5"/>
      <c r="G1" s="23"/>
    </row>
    <row r="2" spans="2:8" s="1" customFormat="1" ht="24.75" customHeight="1" thickBot="1" x14ac:dyDescent="0.3">
      <c r="B2" s="28" t="s">
        <v>172</v>
      </c>
      <c r="C2" s="29"/>
      <c r="D2" s="29"/>
      <c r="E2" s="30"/>
      <c r="G2" s="23"/>
      <c r="H2" s="14"/>
    </row>
    <row r="3" spans="2:8" ht="48.75" customHeight="1" thickBot="1" x14ac:dyDescent="0.3">
      <c r="B3" s="13" t="s">
        <v>4</v>
      </c>
      <c r="C3" s="13" t="s">
        <v>0</v>
      </c>
      <c r="D3" s="31" t="s">
        <v>2</v>
      </c>
      <c r="E3" s="32"/>
    </row>
    <row r="4" spans="2:8" ht="22.5" customHeight="1" thickBot="1" x14ac:dyDescent="0.3">
      <c r="B4" s="13" t="s">
        <v>5</v>
      </c>
      <c r="C4" s="13" t="s">
        <v>3</v>
      </c>
      <c r="D4" s="6">
        <v>2019</v>
      </c>
      <c r="E4" s="6">
        <v>2020</v>
      </c>
      <c r="G4" s="24" t="s">
        <v>1</v>
      </c>
    </row>
    <row r="5" spans="2:8" ht="22.5" customHeight="1" x14ac:dyDescent="0.25">
      <c r="B5" s="21" t="s">
        <v>6</v>
      </c>
      <c r="C5" s="22" t="s">
        <v>7</v>
      </c>
      <c r="D5" s="15"/>
      <c r="E5" s="16"/>
      <c r="G5" s="25" t="e">
        <f>((E5-D5)*100)/D5</f>
        <v>#DIV/0!</v>
      </c>
    </row>
    <row r="6" spans="2:8" ht="22.5" customHeight="1" x14ac:dyDescent="0.25">
      <c r="B6" s="7" t="s">
        <v>8</v>
      </c>
      <c r="C6" s="11" t="s">
        <v>9</v>
      </c>
      <c r="D6" s="17">
        <v>0.50902777777777775</v>
      </c>
      <c r="E6" s="18">
        <v>0.30222844112769487</v>
      </c>
      <c r="G6" s="25">
        <f t="shared" ref="G6:G69" si="0">((E6-D6)*100)/D6</f>
        <v>-40.626336258679316</v>
      </c>
    </row>
    <row r="7" spans="2:8" ht="22.5" customHeight="1" x14ac:dyDescent="0.25">
      <c r="B7" s="7" t="s">
        <v>10</v>
      </c>
      <c r="C7" s="11" t="s">
        <v>11</v>
      </c>
      <c r="D7" s="17">
        <v>0.64027114157005915</v>
      </c>
      <c r="E7" s="18">
        <v>0.58620768007271074</v>
      </c>
      <c r="G7" s="25">
        <f t="shared" si="0"/>
        <v>-8.4438385532690354</v>
      </c>
    </row>
    <row r="8" spans="2:8" ht="22.5" customHeight="1" x14ac:dyDescent="0.25">
      <c r="B8" s="7" t="s">
        <v>12</v>
      </c>
      <c r="C8" s="11" t="s">
        <v>13</v>
      </c>
      <c r="D8" s="17">
        <v>0.50350766489736831</v>
      </c>
      <c r="E8" s="18">
        <v>0.30964652556932415</v>
      </c>
      <c r="G8" s="25">
        <f t="shared" si="0"/>
        <v>-38.502122776534009</v>
      </c>
    </row>
    <row r="9" spans="2:8" ht="22.5" customHeight="1" x14ac:dyDescent="0.25">
      <c r="B9" s="7" t="s">
        <v>14</v>
      </c>
      <c r="C9" s="11" t="s">
        <v>15</v>
      </c>
      <c r="D9" s="17">
        <v>0.70125616894752896</v>
      </c>
      <c r="E9" s="18">
        <v>0.73276568001043163</v>
      </c>
      <c r="G9" s="25">
        <f t="shared" si="0"/>
        <v>4.4932953830828053</v>
      </c>
    </row>
    <row r="10" spans="2:8" ht="22.5" customHeight="1" x14ac:dyDescent="0.25">
      <c r="B10" s="7" t="s">
        <v>16</v>
      </c>
      <c r="C10" s="11" t="s">
        <v>17</v>
      </c>
      <c r="D10" s="17">
        <v>0.70165480851876605</v>
      </c>
      <c r="E10" s="18">
        <v>0.69273020278436814</v>
      </c>
      <c r="G10" s="25">
        <f t="shared" si="0"/>
        <v>-1.2719368022629625</v>
      </c>
    </row>
    <row r="11" spans="2:8" ht="22.5" customHeight="1" x14ac:dyDescent="0.25">
      <c r="B11" s="7" t="s">
        <v>18</v>
      </c>
      <c r="C11" s="11" t="s">
        <v>19</v>
      </c>
      <c r="D11" s="17">
        <v>0.65037824352249263</v>
      </c>
      <c r="E11" s="18">
        <v>0.585164913616677</v>
      </c>
      <c r="G11" s="25">
        <f t="shared" si="0"/>
        <v>-10.026985151381419</v>
      </c>
    </row>
    <row r="12" spans="2:8" ht="22.5" customHeight="1" x14ac:dyDescent="0.25">
      <c r="B12" s="7" t="s">
        <v>20</v>
      </c>
      <c r="C12" s="11" t="s">
        <v>21</v>
      </c>
      <c r="D12" s="17">
        <v>0.97319481030483768</v>
      </c>
      <c r="E12" s="18">
        <v>1.0224786686338641</v>
      </c>
      <c r="G12" s="25">
        <f t="shared" si="0"/>
        <v>5.0641308201786446</v>
      </c>
    </row>
    <row r="13" spans="2:8" ht="22.5" customHeight="1" x14ac:dyDescent="0.25">
      <c r="B13" s="7" t="s">
        <v>22</v>
      </c>
      <c r="C13" s="11" t="s">
        <v>23</v>
      </c>
      <c r="D13" s="17">
        <v>0.72456380040142288</v>
      </c>
      <c r="E13" s="18">
        <v>0.6986670174515478</v>
      </c>
      <c r="G13" s="25">
        <f t="shared" si="0"/>
        <v>-3.5741204481272368</v>
      </c>
    </row>
    <row r="14" spans="2:8" ht="22.5" customHeight="1" x14ac:dyDescent="0.25">
      <c r="B14" s="8" t="s">
        <v>24</v>
      </c>
      <c r="C14" s="11" t="s">
        <v>25</v>
      </c>
      <c r="D14" s="17">
        <v>0.51495250573206686</v>
      </c>
      <c r="E14" s="18">
        <v>0.57275953859804796</v>
      </c>
      <c r="G14" s="25">
        <f t="shared" si="0"/>
        <v>11.225701831240039</v>
      </c>
    </row>
    <row r="15" spans="2:8" ht="22.5" customHeight="1" x14ac:dyDescent="0.25">
      <c r="B15" s="8" t="s">
        <v>26</v>
      </c>
      <c r="C15" s="11" t="s">
        <v>27</v>
      </c>
      <c r="D15" s="17">
        <v>0.38377083740598605</v>
      </c>
      <c r="E15" s="18">
        <v>0.35276998777568902</v>
      </c>
      <c r="G15" s="25">
        <f t="shared" si="0"/>
        <v>-8.0779586692517871</v>
      </c>
    </row>
    <row r="16" spans="2:8" ht="22.5" customHeight="1" x14ac:dyDescent="0.25">
      <c r="B16" s="8" t="s">
        <v>28</v>
      </c>
      <c r="C16" s="11" t="s">
        <v>29</v>
      </c>
      <c r="D16" s="17">
        <v>0.36304448206864703</v>
      </c>
      <c r="E16" s="18">
        <v>0.40328923413035561</v>
      </c>
      <c r="G16" s="25">
        <f t="shared" si="0"/>
        <v>11.085350156650726</v>
      </c>
    </row>
    <row r="17" spans="2:13" ht="22.5" customHeight="1" x14ac:dyDescent="0.25">
      <c r="B17" s="8" t="s">
        <v>30</v>
      </c>
      <c r="C17" s="11" t="s">
        <v>31</v>
      </c>
      <c r="D17" s="17">
        <v>0.24142895506746428</v>
      </c>
      <c r="E17" s="18">
        <v>0.3193877996594035</v>
      </c>
      <c r="G17" s="25">
        <f t="shared" si="0"/>
        <v>32.290594378025041</v>
      </c>
    </row>
    <row r="18" spans="2:13" ht="22.5" customHeight="1" x14ac:dyDescent="0.25">
      <c r="B18" s="8" t="s">
        <v>32</v>
      </c>
      <c r="C18" s="11" t="s">
        <v>33</v>
      </c>
      <c r="D18" s="17">
        <v>0.25830427601394751</v>
      </c>
      <c r="E18" s="18">
        <v>0.35516480282519131</v>
      </c>
      <c r="G18" s="25">
        <f t="shared" si="0"/>
        <v>37.498615317546538</v>
      </c>
    </row>
    <row r="19" spans="2:13" ht="22.5" customHeight="1" x14ac:dyDescent="0.25">
      <c r="B19" s="8" t="s">
        <v>34</v>
      </c>
      <c r="C19" s="11" t="s">
        <v>35</v>
      </c>
      <c r="D19" s="17">
        <v>0.54693853099904766</v>
      </c>
      <c r="E19" s="18">
        <v>0.60960328894198668</v>
      </c>
      <c r="G19" s="25">
        <f t="shared" si="0"/>
        <v>11.457367581778239</v>
      </c>
    </row>
    <row r="20" spans="2:13" ht="22.5" customHeight="1" x14ac:dyDescent="0.25">
      <c r="B20" s="8" t="s">
        <v>36</v>
      </c>
      <c r="C20" s="11" t="s">
        <v>37</v>
      </c>
      <c r="D20" s="17">
        <v>0.69099962202819687</v>
      </c>
      <c r="E20" s="18">
        <v>0.67443352394567546</v>
      </c>
      <c r="G20" s="25">
        <f t="shared" si="0"/>
        <v>-2.3974105852470946</v>
      </c>
    </row>
    <row r="21" spans="2:13" ht="22.5" customHeight="1" x14ac:dyDescent="0.25">
      <c r="B21" s="8" t="s">
        <v>38</v>
      </c>
      <c r="C21" s="11" t="s">
        <v>39</v>
      </c>
      <c r="D21" s="17">
        <v>0.41260673985971325</v>
      </c>
      <c r="E21" s="18">
        <v>0.15771308523409364</v>
      </c>
      <c r="G21" s="25">
        <f t="shared" si="0"/>
        <v>-61.776415652416091</v>
      </c>
    </row>
    <row r="22" spans="2:13" ht="22.5" customHeight="1" x14ac:dyDescent="0.25">
      <c r="B22" s="8" t="s">
        <v>40</v>
      </c>
      <c r="C22" s="11" t="s">
        <v>41</v>
      </c>
      <c r="D22" s="17">
        <v>0.49642207398423288</v>
      </c>
      <c r="E22" s="18">
        <v>0.25737919024814976</v>
      </c>
      <c r="G22" s="25">
        <f t="shared" si="0"/>
        <v>-48.153153589152346</v>
      </c>
    </row>
    <row r="23" spans="2:13" ht="22.5" customHeight="1" x14ac:dyDescent="0.25">
      <c r="B23" s="8" t="s">
        <v>42</v>
      </c>
      <c r="C23" s="11" t="s">
        <v>43</v>
      </c>
      <c r="D23" s="17">
        <v>0.44217279602196213</v>
      </c>
      <c r="E23" s="18">
        <v>0.45446658404042328</v>
      </c>
      <c r="G23" s="25">
        <f t="shared" si="0"/>
        <v>2.7803130651779249</v>
      </c>
    </row>
    <row r="24" spans="2:13" ht="22.5" customHeight="1" x14ac:dyDescent="0.25">
      <c r="B24" s="8" t="s">
        <v>44</v>
      </c>
      <c r="C24" s="11" t="s">
        <v>45</v>
      </c>
      <c r="D24" s="17">
        <v>2.6153272727272726E-2</v>
      </c>
      <c r="E24" s="18">
        <v>5.3636363636363635E-2</v>
      </c>
      <c r="G24" s="25">
        <f t="shared" si="0"/>
        <v>105.08471041343687</v>
      </c>
    </row>
    <row r="25" spans="2:13" ht="22.5" customHeight="1" x14ac:dyDescent="0.25">
      <c r="B25" s="8" t="s">
        <v>46</v>
      </c>
      <c r="C25" s="11" t="s">
        <v>47</v>
      </c>
      <c r="D25" s="17">
        <v>0.10663709511037756</v>
      </c>
      <c r="E25" s="18">
        <v>0.19792655250670518</v>
      </c>
      <c r="G25" s="25">
        <f t="shared" si="0"/>
        <v>85.607599589838827</v>
      </c>
      <c r="M25" t="s">
        <v>170</v>
      </c>
    </row>
    <row r="26" spans="2:13" ht="22.5" customHeight="1" x14ac:dyDescent="0.25">
      <c r="B26" s="8" t="s">
        <v>48</v>
      </c>
      <c r="C26" s="11" t="s">
        <v>49</v>
      </c>
      <c r="D26" s="17">
        <v>0.11971830985915492</v>
      </c>
      <c r="E26" s="18">
        <v>0.3155339805825243</v>
      </c>
      <c r="G26" s="25">
        <f t="shared" si="0"/>
        <v>163.56367789834385</v>
      </c>
    </row>
    <row r="27" spans="2:13" ht="22.5" customHeight="1" x14ac:dyDescent="0.25">
      <c r="B27" s="8" t="s">
        <v>50</v>
      </c>
      <c r="C27" s="11" t="s">
        <v>51</v>
      </c>
      <c r="D27" s="17">
        <v>0.47947254375964055</v>
      </c>
      <c r="E27" s="18">
        <v>0.5522336541652838</v>
      </c>
      <c r="G27" s="25">
        <f t="shared" si="0"/>
        <v>15.175240241100934</v>
      </c>
    </row>
    <row r="28" spans="2:13" ht="22.5" customHeight="1" x14ac:dyDescent="0.25">
      <c r="B28" s="8" t="s">
        <v>52</v>
      </c>
      <c r="C28" s="11" t="s">
        <v>53</v>
      </c>
      <c r="D28" s="17">
        <v>0.79954842225094569</v>
      </c>
      <c r="E28" s="18">
        <v>0.87360023191423908</v>
      </c>
      <c r="G28" s="25">
        <f t="shared" si="0"/>
        <v>9.2617041823204982</v>
      </c>
    </row>
    <row r="29" spans="2:13" ht="22.5" customHeight="1" x14ac:dyDescent="0.25">
      <c r="B29" s="8" t="s">
        <v>54</v>
      </c>
      <c r="C29" s="11" t="s">
        <v>55</v>
      </c>
      <c r="D29" s="17">
        <v>0.70244247073072263</v>
      </c>
      <c r="E29" s="18">
        <v>0.73936870421245426</v>
      </c>
      <c r="G29" s="25">
        <f t="shared" si="0"/>
        <v>5.2568338362739873</v>
      </c>
    </row>
    <row r="30" spans="2:13" ht="22.5" customHeight="1" x14ac:dyDescent="0.25">
      <c r="B30" s="8" t="s">
        <v>56</v>
      </c>
      <c r="C30" s="11" t="s">
        <v>57</v>
      </c>
      <c r="D30" s="17">
        <v>0.60158355020414778</v>
      </c>
      <c r="E30" s="18">
        <v>0.62191556570058337</v>
      </c>
      <c r="G30" s="25">
        <f t="shared" si="0"/>
        <v>3.3797492450609585</v>
      </c>
    </row>
    <row r="31" spans="2:13" ht="22.5" customHeight="1" x14ac:dyDescent="0.25">
      <c r="B31" s="8" t="s">
        <v>58</v>
      </c>
      <c r="C31" s="11" t="s">
        <v>59</v>
      </c>
      <c r="D31" s="17">
        <v>0.36325238938053095</v>
      </c>
      <c r="E31" s="18">
        <v>0.37028848706527834</v>
      </c>
      <c r="G31" s="25">
        <f t="shared" si="0"/>
        <v>1.9369721687849959</v>
      </c>
    </row>
    <row r="32" spans="2:13" ht="22.5" customHeight="1" x14ac:dyDescent="0.25">
      <c r="B32" s="8" t="s">
        <v>60</v>
      </c>
      <c r="C32" s="11" t="s">
        <v>61</v>
      </c>
      <c r="D32" s="17">
        <v>0.57266052907586529</v>
      </c>
      <c r="E32" s="18">
        <v>0.55053374059262528</v>
      </c>
      <c r="G32" s="25">
        <f t="shared" si="0"/>
        <v>-3.8638577935425831</v>
      </c>
    </row>
    <row r="33" spans="2:7" ht="22.5" customHeight="1" x14ac:dyDescent="0.25">
      <c r="B33" s="8" t="s">
        <v>62</v>
      </c>
      <c r="C33" s="11" t="s">
        <v>63</v>
      </c>
      <c r="D33" s="17">
        <v>0.98504271502538399</v>
      </c>
      <c r="E33" s="18">
        <v>0.96466308380032573</v>
      </c>
      <c r="G33" s="25">
        <f t="shared" si="0"/>
        <v>-2.0689083746518633</v>
      </c>
    </row>
    <row r="34" spans="2:7" ht="22.5" customHeight="1" x14ac:dyDescent="0.25">
      <c r="B34" s="8" t="s">
        <v>64</v>
      </c>
      <c r="C34" s="11" t="s">
        <v>65</v>
      </c>
      <c r="D34" s="17">
        <v>0.76539926510127254</v>
      </c>
      <c r="E34" s="18">
        <v>0.7051677105383759</v>
      </c>
      <c r="G34" s="25">
        <f t="shared" si="0"/>
        <v>-7.869298718875462</v>
      </c>
    </row>
    <row r="35" spans="2:7" ht="22.5" customHeight="1" x14ac:dyDescent="0.25">
      <c r="B35" s="8" t="s">
        <v>66</v>
      </c>
      <c r="C35" s="11" t="s">
        <v>67</v>
      </c>
      <c r="D35" s="17">
        <v>0.78323720116154183</v>
      </c>
      <c r="E35" s="18">
        <v>0.79355582958749349</v>
      </c>
      <c r="G35" s="25">
        <f t="shared" si="0"/>
        <v>1.3174333919084946</v>
      </c>
    </row>
    <row r="36" spans="2:7" ht="22.5" customHeight="1" x14ac:dyDescent="0.25">
      <c r="B36" s="8" t="s">
        <v>68</v>
      </c>
      <c r="C36" s="11" t="s">
        <v>69</v>
      </c>
      <c r="D36" s="17">
        <v>0.68946829975276369</v>
      </c>
      <c r="E36" s="18">
        <v>0.73181367919095119</v>
      </c>
      <c r="G36" s="25">
        <f t="shared" si="0"/>
        <v>6.1417442184611142</v>
      </c>
    </row>
    <row r="37" spans="2:7" ht="22.5" customHeight="1" x14ac:dyDescent="0.25">
      <c r="B37" s="8" t="s">
        <v>70</v>
      </c>
      <c r="C37" s="11" t="s">
        <v>71</v>
      </c>
      <c r="D37" s="17">
        <v>0.72465046782169407</v>
      </c>
      <c r="E37" s="18">
        <v>0.79509054039631433</v>
      </c>
      <c r="G37" s="25">
        <f t="shared" si="0"/>
        <v>9.720558490269628</v>
      </c>
    </row>
    <row r="38" spans="2:7" ht="22.5" customHeight="1" x14ac:dyDescent="0.25">
      <c r="B38" s="8" t="s">
        <v>72</v>
      </c>
      <c r="C38" s="11" t="s">
        <v>73</v>
      </c>
      <c r="D38" s="17">
        <v>0.4707037443590682</v>
      </c>
      <c r="E38" s="18">
        <v>0.38971825832418588</v>
      </c>
      <c r="G38" s="25">
        <f t="shared" si="0"/>
        <v>-17.205192651517116</v>
      </c>
    </row>
    <row r="39" spans="2:7" ht="22.5" customHeight="1" x14ac:dyDescent="0.25">
      <c r="B39" s="8" t="s">
        <v>74</v>
      </c>
      <c r="C39" s="11" t="s">
        <v>75</v>
      </c>
      <c r="D39" s="17">
        <v>0.64630594050666434</v>
      </c>
      <c r="E39" s="18">
        <v>0.65582089552238809</v>
      </c>
      <c r="G39" s="25">
        <f t="shared" si="0"/>
        <v>1.4722060280406217</v>
      </c>
    </row>
    <row r="40" spans="2:7" ht="22.5" customHeight="1" x14ac:dyDescent="0.25">
      <c r="B40" s="8" t="s">
        <v>76</v>
      </c>
      <c r="C40" s="11" t="s">
        <v>77</v>
      </c>
      <c r="D40" s="17">
        <v>0.59994551151069342</v>
      </c>
      <c r="E40" s="18">
        <v>0.56861463015937885</v>
      </c>
      <c r="G40" s="25">
        <f t="shared" si="0"/>
        <v>-5.2222878161754736</v>
      </c>
    </row>
    <row r="41" spans="2:7" ht="22.5" customHeight="1" x14ac:dyDescent="0.25">
      <c r="B41" s="8" t="s">
        <v>78</v>
      </c>
      <c r="C41" s="11" t="s">
        <v>79</v>
      </c>
      <c r="D41" s="17">
        <v>8.5135764158262225E-2</v>
      </c>
      <c r="E41" s="18">
        <v>0.18190845616757176</v>
      </c>
      <c r="G41" s="25">
        <f t="shared" si="0"/>
        <v>113.66867140513939</v>
      </c>
    </row>
    <row r="42" spans="2:7" ht="22.5" customHeight="1" x14ac:dyDescent="0.25">
      <c r="B42" s="8" t="s">
        <v>80</v>
      </c>
      <c r="C42" s="11" t="s">
        <v>81</v>
      </c>
      <c r="D42" s="17">
        <v>0.21503598405995361</v>
      </c>
      <c r="E42" s="18">
        <v>0.22199269692227439</v>
      </c>
      <c r="G42" s="25">
        <f t="shared" si="0"/>
        <v>3.2351389432483035</v>
      </c>
    </row>
    <row r="43" spans="2:7" ht="22.5" customHeight="1" x14ac:dyDescent="0.25">
      <c r="B43" s="8" t="s">
        <v>82</v>
      </c>
      <c r="C43" s="11" t="s">
        <v>83</v>
      </c>
      <c r="D43" s="17">
        <v>0.76186780125683162</v>
      </c>
      <c r="E43" s="18">
        <v>0.84341108360170514</v>
      </c>
      <c r="G43" s="25">
        <f t="shared" si="0"/>
        <v>10.703075023036003</v>
      </c>
    </row>
    <row r="44" spans="2:7" ht="22.5" customHeight="1" x14ac:dyDescent="0.25">
      <c r="B44" s="8" t="s">
        <v>84</v>
      </c>
      <c r="C44" s="11" t="s">
        <v>85</v>
      </c>
      <c r="D44" s="17">
        <v>0.31555387977711707</v>
      </c>
      <c r="E44" s="18">
        <v>0.38154578447285392</v>
      </c>
      <c r="G44" s="25">
        <f t="shared" si="0"/>
        <v>20.91303860448442</v>
      </c>
    </row>
    <row r="45" spans="2:7" ht="22.5" customHeight="1" x14ac:dyDescent="0.25">
      <c r="B45" s="8" t="s">
        <v>86</v>
      </c>
      <c r="C45" s="11" t="s">
        <v>87</v>
      </c>
      <c r="D45" s="17">
        <v>0.22599421223783525</v>
      </c>
      <c r="E45" s="18">
        <v>0.22674871973929236</v>
      </c>
      <c r="G45" s="25">
        <f t="shared" si="0"/>
        <v>0.33386142679754705</v>
      </c>
    </row>
    <row r="46" spans="2:7" ht="22.5" customHeight="1" x14ac:dyDescent="0.25">
      <c r="B46" s="8" t="s">
        <v>88</v>
      </c>
      <c r="C46" s="11" t="s">
        <v>89</v>
      </c>
      <c r="D46" s="17"/>
      <c r="E46" s="18"/>
      <c r="G46" s="25" t="e">
        <f t="shared" si="0"/>
        <v>#DIV/0!</v>
      </c>
    </row>
    <row r="47" spans="2:7" ht="22.5" customHeight="1" x14ac:dyDescent="0.25">
      <c r="B47" s="8" t="s">
        <v>90</v>
      </c>
      <c r="C47" s="11" t="s">
        <v>91</v>
      </c>
      <c r="D47" s="17">
        <v>4.2007104795737125E-2</v>
      </c>
      <c r="E47" s="18">
        <v>4.3960923623445829E-2</v>
      </c>
      <c r="G47" s="25">
        <f t="shared" si="0"/>
        <v>4.6511627906976738</v>
      </c>
    </row>
    <row r="48" spans="2:7" ht="22.5" customHeight="1" x14ac:dyDescent="0.25">
      <c r="B48" s="8" t="s">
        <v>92</v>
      </c>
      <c r="C48" s="11" t="s">
        <v>93</v>
      </c>
      <c r="D48" s="17"/>
      <c r="E48" s="18"/>
      <c r="G48" s="25" t="e">
        <f t="shared" si="0"/>
        <v>#DIV/0!</v>
      </c>
    </row>
    <row r="49" spans="2:7" ht="22.5" customHeight="1" x14ac:dyDescent="0.25">
      <c r="B49" s="8" t="s">
        <v>94</v>
      </c>
      <c r="C49" s="11" t="s">
        <v>95</v>
      </c>
      <c r="D49" s="17">
        <v>0.30012274615941753</v>
      </c>
      <c r="E49" s="18">
        <v>0.3534861725872962</v>
      </c>
      <c r="G49" s="25">
        <f t="shared" si="0"/>
        <v>17.78053383515736</v>
      </c>
    </row>
    <row r="50" spans="2:7" ht="22.5" customHeight="1" x14ac:dyDescent="0.25">
      <c r="B50" s="8" t="s">
        <v>96</v>
      </c>
      <c r="C50" s="11" t="s">
        <v>97</v>
      </c>
      <c r="D50" s="17">
        <v>0.40817364561154484</v>
      </c>
      <c r="E50" s="18">
        <v>0.35130551677782951</v>
      </c>
      <c r="G50" s="25">
        <f t="shared" si="0"/>
        <v>-13.932337240566536</v>
      </c>
    </row>
    <row r="51" spans="2:7" ht="22.5" customHeight="1" x14ac:dyDescent="0.25">
      <c r="B51" s="8" t="s">
        <v>98</v>
      </c>
      <c r="C51" s="11" t="s">
        <v>99</v>
      </c>
      <c r="D51" s="17">
        <v>0.31341534856473346</v>
      </c>
      <c r="E51" s="18">
        <v>0.2979466426858513</v>
      </c>
      <c r="G51" s="25">
        <f t="shared" si="0"/>
        <v>-4.9355291467760463</v>
      </c>
    </row>
    <row r="52" spans="2:7" ht="22.5" customHeight="1" x14ac:dyDescent="0.25">
      <c r="B52" s="8" t="s">
        <v>100</v>
      </c>
      <c r="C52" s="11" t="s">
        <v>101</v>
      </c>
      <c r="D52" s="17">
        <v>0.54784579937071076</v>
      </c>
      <c r="E52" s="18">
        <v>0.61460422548924154</v>
      </c>
      <c r="G52" s="25">
        <f t="shared" si="0"/>
        <v>12.185623435502032</v>
      </c>
    </row>
    <row r="53" spans="2:7" ht="22.5" customHeight="1" x14ac:dyDescent="0.25">
      <c r="B53" s="8" t="s">
        <v>102</v>
      </c>
      <c r="C53" s="11" t="s">
        <v>103</v>
      </c>
      <c r="D53" s="17">
        <v>0.51046465862524015</v>
      </c>
      <c r="E53" s="18">
        <v>0.66279953310598949</v>
      </c>
      <c r="G53" s="25">
        <f t="shared" si="0"/>
        <v>29.842393965335543</v>
      </c>
    </row>
    <row r="54" spans="2:7" ht="22.5" customHeight="1" x14ac:dyDescent="0.25">
      <c r="B54" s="8" t="s">
        <v>104</v>
      </c>
      <c r="C54" s="11" t="s">
        <v>105</v>
      </c>
      <c r="D54" s="17">
        <v>0.24453841726618702</v>
      </c>
      <c r="E54" s="18">
        <v>0.63199819981998195</v>
      </c>
      <c r="G54" s="25">
        <f t="shared" si="0"/>
        <v>158.44536285357319</v>
      </c>
    </row>
    <row r="55" spans="2:7" ht="22.5" customHeight="1" x14ac:dyDescent="0.25">
      <c r="B55" s="8" t="s">
        <v>106</v>
      </c>
      <c r="C55" s="11" t="s">
        <v>107</v>
      </c>
      <c r="D55" s="17">
        <v>0.62360771800368953</v>
      </c>
      <c r="E55" s="18">
        <v>0.72775090990676572</v>
      </c>
      <c r="G55" s="25">
        <f t="shared" si="0"/>
        <v>16.700112730557969</v>
      </c>
    </row>
    <row r="56" spans="2:7" ht="22.5" customHeight="1" x14ac:dyDescent="0.25">
      <c r="B56" s="8" t="s">
        <v>108</v>
      </c>
      <c r="C56" s="11" t="s">
        <v>109</v>
      </c>
      <c r="D56" s="17"/>
      <c r="E56" s="18"/>
      <c r="G56" s="25" t="e">
        <f t="shared" si="0"/>
        <v>#DIV/0!</v>
      </c>
    </row>
    <row r="57" spans="2:7" ht="22.5" customHeight="1" x14ac:dyDescent="0.25">
      <c r="B57" s="8" t="s">
        <v>110</v>
      </c>
      <c r="C57" s="11" t="s">
        <v>111</v>
      </c>
      <c r="D57" s="17"/>
      <c r="E57" s="18"/>
      <c r="G57" s="25" t="e">
        <f t="shared" si="0"/>
        <v>#DIV/0!</v>
      </c>
    </row>
    <row r="58" spans="2:7" ht="22.5" customHeight="1" x14ac:dyDescent="0.25">
      <c r="B58" s="8" t="s">
        <v>112</v>
      </c>
      <c r="C58" s="11" t="s">
        <v>113</v>
      </c>
      <c r="D58" s="17"/>
      <c r="E58" s="18"/>
      <c r="G58" s="25" t="e">
        <f t="shared" si="0"/>
        <v>#DIV/0!</v>
      </c>
    </row>
    <row r="59" spans="2:7" ht="22.5" customHeight="1" x14ac:dyDescent="0.25">
      <c r="B59" s="8" t="s">
        <v>114</v>
      </c>
      <c r="C59" s="11" t="s">
        <v>115</v>
      </c>
      <c r="D59" s="17"/>
      <c r="E59" s="18"/>
      <c r="G59" s="25" t="e">
        <f t="shared" si="0"/>
        <v>#DIV/0!</v>
      </c>
    </row>
    <row r="60" spans="2:7" ht="22.5" customHeight="1" x14ac:dyDescent="0.25">
      <c r="B60" s="8" t="s">
        <v>116</v>
      </c>
      <c r="C60" s="11" t="s">
        <v>117</v>
      </c>
      <c r="D60" s="17"/>
      <c r="E60" s="18"/>
      <c r="G60" s="25" t="e">
        <f t="shared" si="0"/>
        <v>#DIV/0!</v>
      </c>
    </row>
    <row r="61" spans="2:7" ht="22.5" customHeight="1" x14ac:dyDescent="0.25">
      <c r="B61" s="8" t="s">
        <v>118</v>
      </c>
      <c r="C61" s="11" t="s">
        <v>119</v>
      </c>
      <c r="D61" s="17">
        <v>0.14841549295774648</v>
      </c>
      <c r="E61" s="18">
        <v>0.12134495641344957</v>
      </c>
      <c r="G61" s="25">
        <f t="shared" si="0"/>
        <v>-18.239697220831129</v>
      </c>
    </row>
    <row r="62" spans="2:7" ht="22.5" customHeight="1" x14ac:dyDescent="0.25">
      <c r="B62" s="8" t="s">
        <v>120</v>
      </c>
      <c r="C62" s="11" t="s">
        <v>121</v>
      </c>
      <c r="D62" s="17">
        <v>0.3909541683355266</v>
      </c>
      <c r="E62" s="18">
        <v>0.42362362080612476</v>
      </c>
      <c r="G62" s="25">
        <f t="shared" si="0"/>
        <v>8.3563381891251307</v>
      </c>
    </row>
    <row r="63" spans="2:7" ht="22.5" customHeight="1" x14ac:dyDescent="0.25">
      <c r="B63" s="8" t="s">
        <v>122</v>
      </c>
      <c r="C63" s="11" t="s">
        <v>123</v>
      </c>
      <c r="D63" s="17">
        <v>0.39271402510215997</v>
      </c>
      <c r="E63" s="18">
        <v>0.42189694702546154</v>
      </c>
      <c r="G63" s="25">
        <f t="shared" si="0"/>
        <v>7.4310872690910328</v>
      </c>
    </row>
    <row r="64" spans="2:7" ht="22.5" customHeight="1" x14ac:dyDescent="0.25">
      <c r="B64" s="8" t="s">
        <v>124</v>
      </c>
      <c r="C64" s="11" t="s">
        <v>125</v>
      </c>
      <c r="D64" s="17"/>
      <c r="E64" s="18"/>
      <c r="G64" s="25" t="e">
        <f t="shared" si="0"/>
        <v>#DIV/0!</v>
      </c>
    </row>
    <row r="65" spans="2:7" ht="22.5" customHeight="1" x14ac:dyDescent="0.25">
      <c r="B65" s="8" t="s">
        <v>126</v>
      </c>
      <c r="C65" s="11" t="s">
        <v>127</v>
      </c>
      <c r="D65" s="17">
        <v>0.14866214057507987</v>
      </c>
      <c r="E65" s="18">
        <v>0.10212700051626226</v>
      </c>
      <c r="G65" s="25">
        <f t="shared" si="0"/>
        <v>-31.302616711156286</v>
      </c>
    </row>
    <row r="66" spans="2:7" ht="22.5" customHeight="1" x14ac:dyDescent="0.25">
      <c r="B66" s="8" t="s">
        <v>128</v>
      </c>
      <c r="C66" s="11" t="s">
        <v>129</v>
      </c>
      <c r="D66" s="17">
        <v>0.40542141230068329</v>
      </c>
      <c r="E66" s="18">
        <v>0.43666182873730042</v>
      </c>
      <c r="G66" s="25">
        <f t="shared" si="0"/>
        <v>7.7056651397207103</v>
      </c>
    </row>
    <row r="67" spans="2:7" ht="22.5" customHeight="1" x14ac:dyDescent="0.25">
      <c r="B67" s="8" t="s">
        <v>130</v>
      </c>
      <c r="C67" s="11" t="s">
        <v>131</v>
      </c>
      <c r="D67" s="17">
        <v>0.62468174474959615</v>
      </c>
      <c r="E67" s="18">
        <v>0.66239180728349323</v>
      </c>
      <c r="G67" s="25">
        <f t="shared" si="0"/>
        <v>6.0366839355955841</v>
      </c>
    </row>
    <row r="68" spans="2:7" ht="22.5" customHeight="1" x14ac:dyDescent="0.25">
      <c r="B68" s="8" t="s">
        <v>132</v>
      </c>
      <c r="C68" s="11" t="s">
        <v>133</v>
      </c>
      <c r="D68" s="17"/>
      <c r="E68" s="18"/>
      <c r="G68" s="25" t="e">
        <f t="shared" si="0"/>
        <v>#DIV/0!</v>
      </c>
    </row>
    <row r="69" spans="2:7" ht="22.5" customHeight="1" x14ac:dyDescent="0.25">
      <c r="B69" s="8" t="s">
        <v>134</v>
      </c>
      <c r="C69" s="11" t="s">
        <v>135</v>
      </c>
      <c r="D69" s="17">
        <v>0.54214026908556512</v>
      </c>
      <c r="E69" s="18">
        <v>0.61323384093039757</v>
      </c>
      <c r="G69" s="25">
        <f t="shared" si="0"/>
        <v>13.113501412604322</v>
      </c>
    </row>
    <row r="70" spans="2:7" ht="22.5" customHeight="1" x14ac:dyDescent="0.25">
      <c r="B70" s="8" t="s">
        <v>136</v>
      </c>
      <c r="C70" s="11" t="s">
        <v>137</v>
      </c>
      <c r="D70" s="17">
        <v>0.31408603820469017</v>
      </c>
      <c r="E70" s="18">
        <v>0.28830091144062031</v>
      </c>
      <c r="G70" s="25">
        <f t="shared" ref="G70:G85" si="1">((E70-D70)*100)/D70</f>
        <v>-8.209574329205191</v>
      </c>
    </row>
    <row r="71" spans="2:7" ht="22.5" customHeight="1" x14ac:dyDescent="0.25">
      <c r="B71" s="8" t="s">
        <v>138</v>
      </c>
      <c r="C71" s="11" t="s">
        <v>139</v>
      </c>
      <c r="D71" s="17">
        <v>0.201257225433526</v>
      </c>
      <c r="E71" s="18">
        <v>0.24988962472406182</v>
      </c>
      <c r="G71" s="25">
        <f t="shared" si="1"/>
        <v>24.164299783909513</v>
      </c>
    </row>
    <row r="72" spans="2:7" ht="22.5" customHeight="1" x14ac:dyDescent="0.25">
      <c r="B72" s="8" t="s">
        <v>140</v>
      </c>
      <c r="C72" s="11" t="s">
        <v>141</v>
      </c>
      <c r="D72" s="17">
        <v>0.18600000000000003</v>
      </c>
      <c r="E72" s="18">
        <v>0.35324590163934427</v>
      </c>
      <c r="G72" s="25">
        <f t="shared" si="1"/>
        <v>89.91715141900228</v>
      </c>
    </row>
    <row r="73" spans="2:7" ht="22.5" customHeight="1" x14ac:dyDescent="0.25">
      <c r="B73" s="8" t="s">
        <v>142</v>
      </c>
      <c r="C73" s="11" t="s">
        <v>143</v>
      </c>
      <c r="D73" s="17">
        <v>0.20957846553255449</v>
      </c>
      <c r="E73" s="18">
        <v>0.24103897354420933</v>
      </c>
      <c r="G73" s="25">
        <f t="shared" si="1"/>
        <v>15.011326632109528</v>
      </c>
    </row>
    <row r="74" spans="2:7" ht="22.5" customHeight="1" x14ac:dyDescent="0.25">
      <c r="B74" s="8" t="s">
        <v>144</v>
      </c>
      <c r="C74" s="11" t="s">
        <v>145</v>
      </c>
      <c r="D74" s="17">
        <v>0.12123412479293208</v>
      </c>
      <c r="E74" s="18">
        <v>0.2109716796875</v>
      </c>
      <c r="G74" s="25">
        <f t="shared" si="1"/>
        <v>74.020045962999021</v>
      </c>
    </row>
    <row r="75" spans="2:7" ht="22.5" customHeight="1" x14ac:dyDescent="0.25">
      <c r="B75" s="8" t="s">
        <v>146</v>
      </c>
      <c r="C75" s="11" t="s">
        <v>147</v>
      </c>
      <c r="D75" s="17">
        <v>0.26666666666666666</v>
      </c>
      <c r="E75" s="18">
        <v>0.35</v>
      </c>
      <c r="G75" s="25">
        <f t="shared" si="1"/>
        <v>31.249999999999996</v>
      </c>
    </row>
    <row r="76" spans="2:7" ht="22.5" customHeight="1" x14ac:dyDescent="0.25">
      <c r="B76" s="8" t="s">
        <v>148</v>
      </c>
      <c r="C76" s="11" t="s">
        <v>149</v>
      </c>
      <c r="D76" s="17"/>
      <c r="E76" s="18"/>
      <c r="G76" s="25" t="e">
        <f t="shared" si="1"/>
        <v>#DIV/0!</v>
      </c>
    </row>
    <row r="77" spans="2:7" ht="22.5" customHeight="1" x14ac:dyDescent="0.25">
      <c r="B77" s="8" t="s">
        <v>150</v>
      </c>
      <c r="C77" s="11" t="s">
        <v>151</v>
      </c>
      <c r="D77" s="17">
        <v>0.61580269979128799</v>
      </c>
      <c r="E77" s="18">
        <v>0.81678589859589157</v>
      </c>
      <c r="G77" s="25">
        <f t="shared" si="1"/>
        <v>32.63759624190056</v>
      </c>
    </row>
    <row r="78" spans="2:7" ht="22.5" customHeight="1" x14ac:dyDescent="0.25">
      <c r="B78" s="8" t="s">
        <v>152</v>
      </c>
      <c r="C78" s="11" t="s">
        <v>153</v>
      </c>
      <c r="D78" s="17">
        <v>0.39510510971305818</v>
      </c>
      <c r="E78" s="18">
        <v>0.55952804037245008</v>
      </c>
      <c r="G78" s="25">
        <f t="shared" si="1"/>
        <v>41.614984624927452</v>
      </c>
    </row>
    <row r="79" spans="2:7" ht="22.5" customHeight="1" x14ac:dyDescent="0.25">
      <c r="B79" s="8" t="s">
        <v>154</v>
      </c>
      <c r="C79" s="11" t="s">
        <v>155</v>
      </c>
      <c r="D79" s="17">
        <v>1</v>
      </c>
      <c r="E79" s="18">
        <v>1</v>
      </c>
      <c r="G79" s="25">
        <f t="shared" si="1"/>
        <v>0</v>
      </c>
    </row>
    <row r="80" spans="2:7" ht="22.5" customHeight="1" x14ac:dyDescent="0.25">
      <c r="B80" s="8" t="s">
        <v>156</v>
      </c>
      <c r="C80" s="11" t="s">
        <v>157</v>
      </c>
      <c r="D80" s="17">
        <v>0.90384647574739529</v>
      </c>
      <c r="E80" s="18">
        <v>1.1764552482071342</v>
      </c>
      <c r="G80" s="25">
        <f t="shared" si="1"/>
        <v>30.160959828306826</v>
      </c>
    </row>
    <row r="81" spans="2:7" ht="22.5" customHeight="1" x14ac:dyDescent="0.25">
      <c r="B81" s="8" t="s">
        <v>158</v>
      </c>
      <c r="C81" s="11" t="s">
        <v>159</v>
      </c>
      <c r="D81" s="17">
        <v>0.65292475678338324</v>
      </c>
      <c r="E81" s="18">
        <v>0.64607364229711428</v>
      </c>
      <c r="G81" s="25">
        <f t="shared" si="1"/>
        <v>-1.0492961731181396</v>
      </c>
    </row>
    <row r="82" spans="2:7" ht="22.5" customHeight="1" x14ac:dyDescent="0.25">
      <c r="B82" s="8" t="s">
        <v>160</v>
      </c>
      <c r="C82" s="11" t="s">
        <v>161</v>
      </c>
      <c r="D82" s="17">
        <v>0.35967179948297179</v>
      </c>
      <c r="E82" s="18">
        <v>0.49075630252100838</v>
      </c>
      <c r="G82" s="25">
        <f t="shared" si="1"/>
        <v>36.44558823529411</v>
      </c>
    </row>
    <row r="83" spans="2:7" ht="22.5" customHeight="1" x14ac:dyDescent="0.25">
      <c r="B83" s="8" t="s">
        <v>162</v>
      </c>
      <c r="C83" s="11" t="s">
        <v>163</v>
      </c>
      <c r="D83" s="17">
        <v>0.51525960980400909</v>
      </c>
      <c r="E83" s="18">
        <v>0.67010549629888672</v>
      </c>
      <c r="G83" s="25">
        <f t="shared" si="1"/>
        <v>30.052013305249528</v>
      </c>
    </row>
    <row r="84" spans="2:7" ht="22.5" customHeight="1" x14ac:dyDescent="0.25">
      <c r="B84" s="8" t="s">
        <v>164</v>
      </c>
      <c r="C84" s="11" t="s">
        <v>165</v>
      </c>
      <c r="D84" s="17">
        <v>0.50615805679096815</v>
      </c>
      <c r="E84" s="18">
        <v>0.47765993841943211</v>
      </c>
      <c r="G84" s="25">
        <f t="shared" si="1"/>
        <v>-5.6302805001689658</v>
      </c>
    </row>
    <row r="85" spans="2:7" ht="22.5" customHeight="1" thickBot="1" x14ac:dyDescent="0.3">
      <c r="B85" s="9" t="s">
        <v>166</v>
      </c>
      <c r="C85" s="12" t="s">
        <v>167</v>
      </c>
      <c r="D85" s="19"/>
      <c r="E85" s="20"/>
      <c r="G85" s="25" t="e">
        <f t="shared" si="1"/>
        <v>#DIV/0!</v>
      </c>
    </row>
    <row r="86" spans="2:7" ht="21" customHeight="1" x14ac:dyDescent="0.25">
      <c r="B86" s="10"/>
    </row>
    <row r="87" spans="2:7" ht="21" customHeight="1" x14ac:dyDescent="0.25">
      <c r="B87" s="10" t="s">
        <v>168</v>
      </c>
    </row>
    <row r="88" spans="2:7" ht="21" customHeight="1" x14ac:dyDescent="0.25">
      <c r="B88" s="10" t="s">
        <v>169</v>
      </c>
    </row>
    <row r="89" spans="2:7" ht="78.75" customHeight="1" x14ac:dyDescent="0.25">
      <c r="B89" s="26" t="s">
        <v>171</v>
      </c>
      <c r="C89" s="27"/>
      <c r="D89" s="27"/>
      <c r="E89" s="27"/>
    </row>
    <row r="94" spans="2:7" ht="15" customHeight="1" x14ac:dyDescent="0.25">
      <c r="C94" s="3"/>
      <c r="D94" s="3"/>
      <c r="E94" s="3"/>
      <c r="F94" s="4"/>
    </row>
    <row r="95" spans="2:7" x14ac:dyDescent="0.25">
      <c r="C95" s="2"/>
      <c r="D95" s="2"/>
      <c r="E95" s="2"/>
    </row>
  </sheetData>
  <mergeCells count="3">
    <mergeCell ref="B89:E89"/>
    <mergeCell ref="B2:E2"/>
    <mergeCell ref="D3:E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2.13.Tablo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2021-11-25T08:02:28Z</dcterms:modified>
</cp:coreProperties>
</file>