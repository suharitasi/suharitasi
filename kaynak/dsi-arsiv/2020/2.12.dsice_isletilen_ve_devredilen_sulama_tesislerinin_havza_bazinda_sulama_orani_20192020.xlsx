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/>
  </bookViews>
  <sheets>
    <sheet name="2.12.Tabl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</calcChain>
</file>

<file path=xl/sharedStrings.xml><?xml version="1.0" encoding="utf-8"?>
<sst xmlns="http://schemas.openxmlformats.org/spreadsheetml/2006/main" count="41" uniqueCount="41">
  <si>
    <t>Havza No</t>
  </si>
  <si>
    <t>Havza Adı</t>
  </si>
  <si>
    <t>01</t>
  </si>
  <si>
    <t>Meriç Ergene</t>
  </si>
  <si>
    <t>02</t>
  </si>
  <si>
    <t xml:space="preserve">Marmara </t>
  </si>
  <si>
    <t>03</t>
  </si>
  <si>
    <t xml:space="preserve">Susurluk </t>
  </si>
  <si>
    <t>04</t>
  </si>
  <si>
    <t xml:space="preserve">Kuzey Ege </t>
  </si>
  <si>
    <t>05</t>
  </si>
  <si>
    <t xml:space="preserve">Gediz </t>
  </si>
  <si>
    <t>06</t>
  </si>
  <si>
    <t xml:space="preserve">Küçük Menderes </t>
  </si>
  <si>
    <t>07</t>
  </si>
  <si>
    <t xml:space="preserve">Büyük Menderes </t>
  </si>
  <si>
    <t>08</t>
  </si>
  <si>
    <t xml:space="preserve">Batı Akdeniz </t>
  </si>
  <si>
    <t>09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</si>
  <si>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</si>
  <si>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</si>
  <si>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</si>
  <si>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</si>
  <si>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</si>
  <si>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</si>
  <si>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</si>
  <si>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</si>
  <si>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</si>
  <si>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</si>
  <si>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</si>
  <si>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</si>
  <si>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Fırat - Dicle </t>
  </si>
  <si>
    <t xml:space="preserve">Doğu Karadeniz </t>
  </si>
  <si>
    <t xml:space="preserve">Çoruh </t>
  </si>
  <si>
    <t xml:space="preserve">Aras </t>
  </si>
  <si>
    <t xml:space="preserve">Van Gölü </t>
  </si>
  <si>
    <t>* Ulusal Havza Kodlaması Kullanılmıştır.</t>
  </si>
  <si>
    <t>Sulama Oranı Değişimi</t>
  </si>
  <si>
    <t xml:space="preserve">Sulama Oranı                               </t>
  </si>
  <si>
    <r>
      <rPr>
        <b/>
        <sz val="11"/>
        <color theme="1"/>
        <rFont val="Calibri"/>
        <family val="2"/>
        <charset val="162"/>
        <scheme val="minor"/>
      </rPr>
      <t xml:space="preserve">NOT: </t>
    </r>
    <r>
      <rPr>
        <sz val="11"/>
        <color theme="1"/>
        <rFont val="Calibri"/>
        <family val="2"/>
        <scheme val="minor"/>
      </rPr>
      <t>Tabloda belirtilen oranlar DSİ ce işletilmiş ve devredilmiş sulamalara ait verilerdir.
Sulama Oranı Mevisimsel yağışlara göre gölet,baraj ve depolama tesislerinin su doluluk oranına göre değişkenlik gösterebilmektedir. 
Sulama Oranı= Sulanan Alan (Sulama Sahası İçi + Sulama Sahası Dışı) / Sulama Alanı   olarak tanımlanmıştır.</t>
    </r>
  </si>
  <si>
    <t>2.12.DSİ'ce İşletilen ve Devredilen Sulama Tesislerinin Havza Bazında Sulama Oranı, 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</si>
</sst>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4" fillId="2" borderId="0" xfId="0" applyNumberFormat="1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6" fillId="3" borderId="8" xfId="0" quotePrefix="1" applyFont="1" applyFill="1" applyBorder="1" applyAlignment="1">
      <alignment horizontal="center" vertical="center"/>
    </xf>
    <xf numFmtId="0" fontId="6" fillId="3" borderId="9" xfId="0" quotePrefix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0" fillId="2" borderId="0" xfId="0" applyFill="1" applyAlignment="1">
      <alignment horizontal="right" vertical="center"/>
    </xf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" xfId="0" applyNumberFormat="1" applyBorder="1"/>
    <xf numFmtId="0" fontId="7" fillId="2" borderId="0" xfId="0" applyFont="1" applyFill="1"/>
    <xf numFmtId="0" fontId="7" fillId="0" borderId="0" xfId="0" applyFont="1"/>
    <xf numFmtId="2" fontId="7" fillId="0" borderId="0" xfId="0" applyNumberFormat="1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64" fontId="4" fillId="2" borderId="2" xfId="0" applyNumberFormat="1" applyFont="1" applyFill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left" vertical="center" wrapText="1"/>
    </xf>
    <xf numFmtId="164" fontId="4" fillId="2" borderId="4" xfId="0" applyNumberFormat="1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2.12.DSİ'ce İşletilen ve Devredilen Sulama Tesislerinin Sulama Oranı Değişimi, (%), 2019-2020</a:t>
            </a:r>
          </a:p>
        </c:rich>
      </c:tx>
      <c:layout>
        <c:manualLayout>
          <c:xMode val="edge"/>
          <c:yMode val="edge"/>
          <c:x val="0.11777096688608985"/>
          <c:y val="1.40783086519520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9823896428601248E-2"/>
          <c:y val="0.15423858705512453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'2.12.Tablo'!$G$4</c:f>
              <c:strCache>
                <c:ptCount val="1"/>
                <c:pt idx="0">
                  <c:v>Sulama Oranı Değişimi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2.5240577985386498E-3"/>
                  <c:y val="0.119665993051006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14B-41C5-956D-05C67C1F7535}"/>
                </c:ext>
              </c:extLst>
            </c:dLbl>
            <c:dLbl>
              <c:idx val="3"/>
              <c:layout>
                <c:manualLayout>
                  <c:x val="1.2620288992693249E-3"/>
                  <c:y val="0.138437071253608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14B-41C5-956D-05C67C1F7535}"/>
                </c:ext>
              </c:extLst>
            </c:dLbl>
            <c:dLbl>
              <c:idx val="4"/>
              <c:layout>
                <c:manualLayout>
                  <c:x val="1.5515850404332154E-3"/>
                  <c:y val="-2.34583051120514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14B-41C5-956D-05C67C1F7535}"/>
                </c:ext>
              </c:extLst>
            </c:dLbl>
            <c:dLbl>
              <c:idx val="5"/>
              <c:layout>
                <c:manualLayout>
                  <c:x val="2.5240577985386498E-3"/>
                  <c:y val="0.173632842883488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14B-41C5-956D-05C67C1F7535}"/>
                </c:ext>
              </c:extLst>
            </c:dLbl>
            <c:dLbl>
              <c:idx val="6"/>
              <c:layout>
                <c:manualLayout>
                  <c:x val="-1.2620451573926875E-3"/>
                  <c:y val="-2.34601526591186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14B-41C5-956D-05C67C1F7535}"/>
                </c:ext>
              </c:extLst>
            </c:dLbl>
            <c:dLbl>
              <c:idx val="7"/>
              <c:layout>
                <c:manualLayout>
                  <c:x val="1.2620288992693249E-3"/>
                  <c:y val="0.133744116948251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14B-41C5-956D-05C67C1F7535}"/>
                </c:ext>
              </c:extLst>
            </c:dLbl>
            <c:dLbl>
              <c:idx val="16"/>
              <c:layout>
                <c:manualLayout>
                  <c:x val="3.3999599324523182E-3"/>
                  <c:y val="-2.34601526591190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D14B-41C5-956D-05C67C1F7535}"/>
                </c:ext>
              </c:extLst>
            </c:dLbl>
            <c:dLbl>
              <c:idx val="17"/>
              <c:layout>
                <c:manualLayout>
                  <c:x val="1.165501272461166E-3"/>
                  <c:y val="-7.03878481656259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14B-41C5-956D-05C67C1F7535}"/>
                </c:ext>
              </c:extLst>
            </c:dLbl>
            <c:dLbl>
              <c:idx val="21"/>
              <c:layout>
                <c:manualLayout>
                  <c:x val="-9.254771682729498E-17"/>
                  <c:y val="0.133744116948251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D14B-41C5-956D-05C67C1F7535}"/>
                </c:ext>
              </c:extLst>
            </c:dLbl>
            <c:dLbl>
              <c:idx val="22"/>
              <c:layout>
                <c:manualLayout>
                  <c:x val="-1.8509543365458996E-16"/>
                  <c:y val="0.466930570289743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4ED-41E8-AE15-6A7F30F92EB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'2.12.Tablo'!$C$5:$C$29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'2.12.Tablo'!$G$5:$G$29</c:f>
              <c:numCache>
                <c:formatCode>0.00</c:formatCode>
                <c:ptCount val="25"/>
                <c:pt idx="0">
                  <c:v>-19.790309265873375</c:v>
                </c:pt>
                <c:pt idx="1">
                  <c:v>13.3926066940593</c:v>
                </c:pt>
                <c:pt idx="2">
                  <c:v>6.2529606097176202</c:v>
                </c:pt>
                <c:pt idx="3">
                  <c:v>-16.90706894209513</c:v>
                </c:pt>
                <c:pt idx="4">
                  <c:v>-2.8372711485812232</c:v>
                </c:pt>
                <c:pt idx="5">
                  <c:v>-25.519252806393951</c:v>
                </c:pt>
                <c:pt idx="6">
                  <c:v>-3.0643936245531034</c:v>
                </c:pt>
                <c:pt idx="7">
                  <c:v>-21.79277545717737</c:v>
                </c:pt>
                <c:pt idx="8">
                  <c:v>1.8746386238814883</c:v>
                </c:pt>
                <c:pt idx="9">
                  <c:v>11.30209881469538</c:v>
                </c:pt>
                <c:pt idx="10">
                  <c:v>17.914649776000935</c:v>
                </c:pt>
                <c:pt idx="11">
                  <c:v>5.4018088134046334</c:v>
                </c:pt>
                <c:pt idx="12">
                  <c:v>34.385682532796977</c:v>
                </c:pt>
                <c:pt idx="13">
                  <c:v>31.897192763603467</c:v>
                </c:pt>
                <c:pt idx="14">
                  <c:v>6.1782622224855404</c:v>
                </c:pt>
                <c:pt idx="15">
                  <c:v>6.1071121565261697</c:v>
                </c:pt>
                <c:pt idx="16">
                  <c:v>-11.411882535852525</c:v>
                </c:pt>
                <c:pt idx="17">
                  <c:v>-2.5577978148659026</c:v>
                </c:pt>
                <c:pt idx="18">
                  <c:v>1.2253755282643204</c:v>
                </c:pt>
                <c:pt idx="19">
                  <c:v>2.0652549250203545</c:v>
                </c:pt>
                <c:pt idx="20">
                  <c:v>29.639624273813236</c:v>
                </c:pt>
                <c:pt idx="21">
                  <c:v>-23.59550561797753</c:v>
                </c:pt>
                <c:pt idx="22">
                  <c:v>-100</c:v>
                </c:pt>
                <c:pt idx="23">
                  <c:v>9.4992020704429265</c:v>
                </c:pt>
                <c:pt idx="24">
                  <c:v>14.940334888900372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'2.12.Tablo'!$C$5:$C$29</c15:sqref>
                        </c15:formulaRef>
                      </c:ext>
                    </c:extLst>
                    <c:strCache>
                      <c:ptCount val="25"/>
                      <c:pt idx="0">
                        <c:v>Meriç Ergene</c:v>
                      </c:pt>
                      <c:pt idx="1">
                        <c:v>Marmara </c:v>
                      </c:pt>
                      <c:pt idx="2">
                        <c:v>Susurluk </c:v>
                      </c:pt>
                      <c:pt idx="3">
                        <c:v>Kuzey Ege </c:v>
                      </c:pt>
                      <c:pt idx="4">
                        <c:v>Gediz </c:v>
                      </c:pt>
                      <c:pt idx="5">
                        <c:v>Küçük Menderes </c:v>
                      </c:pt>
                      <c:pt idx="6">
                        <c:v>Büyük Menderes </c:v>
                      </c:pt>
                      <c:pt idx="7">
                        <c:v>Batı Akdeniz </c:v>
                      </c:pt>
                      <c:pt idx="8">
                        <c:v>Antalya </c:v>
                      </c:pt>
                      <c:pt idx="9">
                        <c:v>Burdur Göller </c:v>
                      </c:pt>
                      <c:pt idx="10">
                        <c:v>Akarçay </c:v>
                      </c:pt>
                      <c:pt idx="11">
                        <c:v>Sakarya </c:v>
                      </c:pt>
                      <c:pt idx="12">
                        <c:v>Batı Karadeniz </c:v>
                      </c:pt>
                      <c:pt idx="13">
                        <c:v>Yeşilırmak </c:v>
                      </c:pt>
                      <c:pt idx="14">
                        <c:v>Kızılırmak </c:v>
                      </c:pt>
                      <c:pt idx="15">
                        <c:v>Konya Kapalı </c:v>
                      </c:pt>
                      <c:pt idx="16">
                        <c:v>Doğu Akdeniz </c:v>
                      </c:pt>
                      <c:pt idx="17">
                        <c:v>Seyhan </c:v>
                      </c:pt>
                      <c:pt idx="18">
                        <c:v>Asi </c:v>
                      </c:pt>
                      <c:pt idx="19">
                        <c:v>Ceyhan </c:v>
                      </c:pt>
                      <c:pt idx="20">
                        <c:v>Fırat - Dicle </c:v>
                      </c:pt>
                      <c:pt idx="21">
                        <c:v>Doğu Karadeniz </c:v>
                      </c:pt>
                      <c:pt idx="22">
                        <c:v>Çoruh </c:v>
                      </c:pt>
                      <c:pt idx="23">
                        <c:v>Aras </c:v>
                      </c:pt>
                      <c:pt idx="24">
                        <c:v>Van Gölü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1D-4C75-B207-5CB43DD1621D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'2.12.Tablo'!$C$5:$C$29</c15:sqref>
                        </c15:formulaRef>
                      </c:ext>
                    </c:extLst>
                    <c:strCache>
                      <c:ptCount val="25"/>
                      <c:pt idx="0">
                        <c:v>Meriç Ergene</c:v>
                      </c:pt>
                      <c:pt idx="1">
                        <c:v>Marmara </c:v>
                      </c:pt>
                      <c:pt idx="2">
                        <c:v>Susurluk </c:v>
                      </c:pt>
                      <c:pt idx="3">
                        <c:v>Kuzey Ege </c:v>
                      </c:pt>
                      <c:pt idx="4">
                        <c:v>Gediz </c:v>
                      </c:pt>
                      <c:pt idx="5">
                        <c:v>Küçük Menderes </c:v>
                      </c:pt>
                      <c:pt idx="6">
                        <c:v>Büyük Menderes </c:v>
                      </c:pt>
                      <c:pt idx="7">
                        <c:v>Batı Akdeniz </c:v>
                      </c:pt>
                      <c:pt idx="8">
                        <c:v>Antalya </c:v>
                      </c:pt>
                      <c:pt idx="9">
                        <c:v>Burdur Göller </c:v>
                      </c:pt>
                      <c:pt idx="10">
                        <c:v>Akarçay </c:v>
                      </c:pt>
                      <c:pt idx="11">
                        <c:v>Sakarya </c:v>
                      </c:pt>
                      <c:pt idx="12">
                        <c:v>Batı Karadeniz </c:v>
                      </c:pt>
                      <c:pt idx="13">
                        <c:v>Yeşilırmak </c:v>
                      </c:pt>
                      <c:pt idx="14">
                        <c:v>Kızılırmak </c:v>
                      </c:pt>
                      <c:pt idx="15">
                        <c:v>Konya Kapalı </c:v>
                      </c:pt>
                      <c:pt idx="16">
                        <c:v>Doğu Akdeniz </c:v>
                      </c:pt>
                      <c:pt idx="17">
                        <c:v>Seyhan </c:v>
                      </c:pt>
                      <c:pt idx="18">
                        <c:v>Asi </c:v>
                      </c:pt>
                      <c:pt idx="19">
                        <c:v>Ceyhan </c:v>
                      </c:pt>
                      <c:pt idx="20">
                        <c:v>Fırat - Dicle </c:v>
                      </c:pt>
                      <c:pt idx="21">
                        <c:v>Doğu Karadeniz </c:v>
                      </c:pt>
                      <c:pt idx="22">
                        <c:v>Çoruh </c:v>
                      </c:pt>
                      <c:pt idx="23">
                        <c:v>Aras </c:v>
                      </c:pt>
                      <c:pt idx="24">
                        <c:v>Van Gölü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1D-4C75-B207-5CB43DD1621D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2.12.DSİ'ce İşletilen ve Devredilen Sulama Tesislerinin Sulama Oranı, 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8658376320707176E-2"/>
          <c:y val="0.15423852253609258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'2.12.Tablo'!$D$3:$E$3</c:f>
              <c:strCache>
                <c:ptCount val="1"/>
                <c:pt idx="0">
                  <c:v>Sulama Oranı                             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'2.12.Tablo'!$C$5:$C$29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'2.12.Tablo'!$E$5:$E$29</c:f>
              <c:numCache>
                <c:formatCode>0.00</c:formatCode>
                <c:ptCount val="25"/>
                <c:pt idx="0">
                  <c:v>0.467565311743594</c:v>
                </c:pt>
                <c:pt idx="1">
                  <c:v>0.69771108923041791</c:v>
                </c:pt>
                <c:pt idx="2">
                  <c:v>0.57827750055037797</c:v>
                </c:pt>
                <c:pt idx="3">
                  <c:v>0.58135717914134066</c:v>
                </c:pt>
                <c:pt idx="4">
                  <c:v>0.42706366285764202</c:v>
                </c:pt>
                <c:pt idx="5">
                  <c:v>0.59033139534883716</c:v>
                </c:pt>
                <c:pt idx="6">
                  <c:v>0.82629182968704973</c:v>
                </c:pt>
                <c:pt idx="7">
                  <c:v>0.59166995772814368</c:v>
                </c:pt>
                <c:pt idx="8">
                  <c:v>0.58136541987369694</c:v>
                </c:pt>
                <c:pt idx="9">
                  <c:v>0.44563739692444843</c:v>
                </c:pt>
                <c:pt idx="10">
                  <c:v>0.40764316466830242</c:v>
                </c:pt>
                <c:pt idx="11">
                  <c:v>0.60370873680859161</c:v>
                </c:pt>
                <c:pt idx="12">
                  <c:v>0.13283093228237425</c:v>
                </c:pt>
                <c:pt idx="13">
                  <c:v>0.63593306022836227</c:v>
                </c:pt>
                <c:pt idx="14">
                  <c:v>0.48723807627547816</c:v>
                </c:pt>
                <c:pt idx="15">
                  <c:v>0.78495065571890954</c:v>
                </c:pt>
                <c:pt idx="16">
                  <c:v>0.67020570058112716</c:v>
                </c:pt>
                <c:pt idx="17">
                  <c:v>0.97022838545351631</c:v>
                </c:pt>
                <c:pt idx="18">
                  <c:v>0.79283479815283775</c:v>
                </c:pt>
                <c:pt idx="19">
                  <c:v>0.85561571301266237</c:v>
                </c:pt>
                <c:pt idx="20">
                  <c:v>0.82969359535240472</c:v>
                </c:pt>
                <c:pt idx="21">
                  <c:v>7.6404494382022473E-2</c:v>
                </c:pt>
                <c:pt idx="22">
                  <c:v>0</c:v>
                </c:pt>
                <c:pt idx="23">
                  <c:v>0.61699795451810857</c:v>
                </c:pt>
                <c:pt idx="24">
                  <c:v>0.24103897354420933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66C-87C2-DDD06FFE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/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1716882</xdr:colOff>
      <xdr:row>1</xdr:row>
      <xdr:rowOff>21431</xdr:rowOff>
    </xdr:from>
    <xdr:to>
      <xdr:col>4</xdr:col>
      <xdr:colOff>2097882</xdr:colOff>
      <xdr:row>1</xdr:row>
      <xdr:rowOff>307482</xdr:rowOff>
    </xdr:to>
    <xdr:pic>
      <xdr:nvPicPr>
        <xdr:cNvPr id="6" name="Resi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3695" y="211931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69057</xdr:colOff>
      <xdr:row>62</xdr:row>
      <xdr:rowOff>147638</xdr:rowOff>
    </xdr:from>
    <xdr:to>
      <xdr:col>12</xdr:col>
      <xdr:colOff>369093</xdr:colOff>
      <xdr:row>91</xdr:row>
      <xdr:rowOff>35720</xdr:rowOff>
    </xdr:to>
    <xdr:graphicFrame macro="">
      <xdr:nvGraphicFramePr>
        <xdr:cNvPr id="15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71436</xdr:colOff>
      <xdr:row>32</xdr:row>
      <xdr:rowOff>35720</xdr:rowOff>
    </xdr:from>
    <xdr:to>
      <xdr:col>12</xdr:col>
      <xdr:colOff>380999</xdr:colOff>
      <xdr:row>62</xdr:row>
      <xdr:rowOff>23813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tabSelected="1" zoomScale="80" zoomScaleNormal="80" workbookViewId="0">
      <selection activeCell="K13" sqref="K13"/>
    </sheetView>
  </sheetViews>
  <sheetFormatPr defaultRowHeight="15" x14ac:dyDescent="0.25"/>
  <cols>
    <col min="1" max="1" width="2.5703125" customWidth="1"/>
    <col min="3" max="3" width="31.140625" customWidth="1"/>
    <col min="4" max="5" width="32" customWidth="1"/>
    <col min="7" max="7" width="9.140625" style="23"/>
  </cols>
  <sheetData>
    <row r="1" spans="2:8" s="1" customFormat="1" ht="15" customHeight="1" thickBot="1" x14ac:dyDescent="0.3">
      <c r="C1" s="5"/>
      <c r="D1" s="5"/>
      <c r="E1" s="5"/>
      <c r="G1" s="22"/>
    </row>
    <row r="2" spans="2:8" s="1" customFormat="1" ht="24.75" customHeight="1" thickBot="1" x14ac:dyDescent="0.3">
      <c r="B2" s="27" t="s">
        <v>40</v>
      </c>
      <c r="C2" s="28"/>
      <c r="D2" s="28"/>
      <c r="E2" s="29"/>
      <c r="G2" s="22"/>
      <c r="H2" s="15"/>
    </row>
    <row r="3" spans="2:8" ht="48.75" customHeight="1" thickBot="1" x14ac:dyDescent="0.3">
      <c r="B3" s="30" t="s">
        <v>0</v>
      </c>
      <c r="C3" s="30" t="s">
        <v>1</v>
      </c>
      <c r="D3" s="32" t="s">
        <v>38</v>
      </c>
      <c r="E3" s="33"/>
    </row>
    <row r="4" spans="2:8" ht="22.5" customHeight="1" thickBot="1" x14ac:dyDescent="0.3">
      <c r="B4" s="31"/>
      <c r="C4" s="31"/>
      <c r="D4" s="6">
        <v>2019</v>
      </c>
      <c r="E4" s="6">
        <v>2020</v>
      </c>
      <c r="G4" s="23" t="s">
        <v>37</v>
      </c>
    </row>
    <row r="5" spans="2:8" ht="22.5" customHeight="1" x14ac:dyDescent="0.25">
      <c r="B5" s="7" t="s">
        <v>2</v>
      </c>
      <c r="C5" s="12" t="s">
        <v>3</v>
      </c>
      <c r="D5" s="16">
        <v>0.58292870532744756</v>
      </c>
      <c r="E5" s="17">
        <v>0.467565311743594</v>
      </c>
      <c r="G5" s="24">
        <f>((E5-D5)*100)/D5</f>
        <v>-19.790309265873375</v>
      </c>
    </row>
    <row r="6" spans="2:8" ht="22.5" customHeight="1" x14ac:dyDescent="0.25">
      <c r="B6" s="8" t="s">
        <v>4</v>
      </c>
      <c r="C6" s="13" t="s">
        <v>5</v>
      </c>
      <c r="D6" s="18">
        <v>0.61530562668242406</v>
      </c>
      <c r="E6" s="19">
        <v>0.69771108923041791</v>
      </c>
      <c r="G6" s="24">
        <f t="shared" ref="G6:G29" si="0">(E6-D6)*100/D6</f>
        <v>13.3926066940593</v>
      </c>
    </row>
    <row r="7" spans="2:8" ht="22.5" customHeight="1" x14ac:dyDescent="0.25">
      <c r="B7" s="8" t="s">
        <v>6</v>
      </c>
      <c r="C7" s="13" t="s">
        <v>7</v>
      </c>
      <c r="D7" s="18">
        <v>0.54424601181182541</v>
      </c>
      <c r="E7" s="19">
        <v>0.57827750055037797</v>
      </c>
      <c r="G7" s="24">
        <f t="shared" si="0"/>
        <v>6.2529606097176202</v>
      </c>
    </row>
    <row r="8" spans="2:8" ht="22.5" customHeight="1" x14ac:dyDescent="0.25">
      <c r="B8" s="8" t="s">
        <v>8</v>
      </c>
      <c r="C8" s="13" t="s">
        <v>9</v>
      </c>
      <c r="D8" s="18">
        <v>0.69964697566897838</v>
      </c>
      <c r="E8" s="19">
        <v>0.58135717914134066</v>
      </c>
      <c r="G8" s="24">
        <f t="shared" si="0"/>
        <v>-16.90706894209513</v>
      </c>
    </row>
    <row r="9" spans="2:8" ht="22.5" customHeight="1" x14ac:dyDescent="0.25">
      <c r="B9" s="8" t="s">
        <v>10</v>
      </c>
      <c r="C9" s="13" t="s">
        <v>11</v>
      </c>
      <c r="D9" s="18">
        <v>0.43953444690783405</v>
      </c>
      <c r="E9" s="19">
        <v>0.42706366285764202</v>
      </c>
      <c r="G9" s="24">
        <f t="shared" si="0"/>
        <v>-2.8372711485812232</v>
      </c>
    </row>
    <row r="10" spans="2:8" ht="22.5" customHeight="1" x14ac:dyDescent="0.25">
      <c r="B10" s="8" t="s">
        <v>12</v>
      </c>
      <c r="C10" s="13" t="s">
        <v>13</v>
      </c>
      <c r="D10" s="18">
        <v>0.7925959628389917</v>
      </c>
      <c r="E10" s="19">
        <v>0.59033139534883716</v>
      </c>
      <c r="G10" s="24">
        <f t="shared" si="0"/>
        <v>-25.519252806393951</v>
      </c>
    </row>
    <row r="11" spans="2:8" ht="22.5" customHeight="1" x14ac:dyDescent="0.25">
      <c r="B11" s="8" t="s">
        <v>14</v>
      </c>
      <c r="C11" s="13" t="s">
        <v>15</v>
      </c>
      <c r="D11" s="18">
        <v>0.85241312308574324</v>
      </c>
      <c r="E11" s="19">
        <v>0.82629182968704973</v>
      </c>
      <c r="G11" s="24">
        <f t="shared" si="0"/>
        <v>-3.0643936245531034</v>
      </c>
    </row>
    <row r="12" spans="2:8" ht="22.5" customHeight="1" x14ac:dyDescent="0.25">
      <c r="B12" s="8" t="s">
        <v>16</v>
      </c>
      <c r="C12" s="13" t="s">
        <v>17</v>
      </c>
      <c r="D12" s="18">
        <v>0.75654130572575529</v>
      </c>
      <c r="E12" s="19">
        <v>0.59166995772814368</v>
      </c>
      <c r="G12" s="24">
        <f t="shared" si="0"/>
        <v>-21.79277545717737</v>
      </c>
    </row>
    <row r="13" spans="2:8" ht="22.5" customHeight="1" x14ac:dyDescent="0.25">
      <c r="B13" s="8" t="s">
        <v>18</v>
      </c>
      <c r="C13" s="13" t="s">
        <v>19</v>
      </c>
      <c r="D13" s="18">
        <v>0.57066746712111827</v>
      </c>
      <c r="E13" s="19">
        <v>0.58136541987369694</v>
      </c>
      <c r="G13" s="24">
        <f t="shared" si="0"/>
        <v>1.8746386238814883</v>
      </c>
    </row>
    <row r="14" spans="2:8" ht="22.5" customHeight="1" x14ac:dyDescent="0.25">
      <c r="B14" s="9">
        <v>10</v>
      </c>
      <c r="C14" s="13" t="s">
        <v>20</v>
      </c>
      <c r="D14" s="18">
        <v>0.40038543897216272</v>
      </c>
      <c r="E14" s="19">
        <v>0.44563739692444843</v>
      </c>
      <c r="G14" s="24">
        <f t="shared" si="0"/>
        <v>11.30209881469538</v>
      </c>
    </row>
    <row r="15" spans="2:8" ht="22.5" customHeight="1" x14ac:dyDescent="0.25">
      <c r="B15" s="9">
        <v>11</v>
      </c>
      <c r="C15" s="13" t="s">
        <v>21</v>
      </c>
      <c r="D15" s="18">
        <v>0.34571036376115299</v>
      </c>
      <c r="E15" s="19">
        <v>0.40764316466830242</v>
      </c>
      <c r="G15" s="24">
        <f t="shared" si="0"/>
        <v>17.914649776000935</v>
      </c>
    </row>
    <row r="16" spans="2:8" ht="22.5" customHeight="1" x14ac:dyDescent="0.25">
      <c r="B16" s="9">
        <v>12</v>
      </c>
      <c r="C16" s="13" t="s">
        <v>22</v>
      </c>
      <c r="D16" s="18">
        <v>0.57276885814867917</v>
      </c>
      <c r="E16" s="19">
        <v>0.60370873680859161</v>
      </c>
      <c r="G16" s="24">
        <f t="shared" si="0"/>
        <v>5.4018088134046334</v>
      </c>
    </row>
    <row r="17" spans="2:7" ht="22.5" customHeight="1" x14ac:dyDescent="0.25">
      <c r="B17" s="9">
        <v>13</v>
      </c>
      <c r="C17" s="13" t="s">
        <v>23</v>
      </c>
      <c r="D17" s="18">
        <v>9.8843068531468528E-2</v>
      </c>
      <c r="E17" s="19">
        <v>0.13283093228237425</v>
      </c>
      <c r="G17" s="24">
        <f t="shared" si="0"/>
        <v>34.385682532796977</v>
      </c>
    </row>
    <row r="18" spans="2:7" ht="22.5" customHeight="1" x14ac:dyDescent="0.25">
      <c r="B18" s="9">
        <v>14</v>
      </c>
      <c r="C18" s="13" t="s">
        <v>24</v>
      </c>
      <c r="D18" s="18">
        <v>0.48214298341294615</v>
      </c>
      <c r="E18" s="19">
        <v>0.63593306022836227</v>
      </c>
      <c r="G18" s="24">
        <f t="shared" si="0"/>
        <v>31.897192763603467</v>
      </c>
    </row>
    <row r="19" spans="2:7" ht="22.5" customHeight="1" x14ac:dyDescent="0.25">
      <c r="B19" s="9">
        <v>15</v>
      </c>
      <c r="C19" s="13" t="s">
        <v>25</v>
      </c>
      <c r="D19" s="18">
        <v>0.45888684376329431</v>
      </c>
      <c r="E19" s="19">
        <v>0.48723807627547816</v>
      </c>
      <c r="G19" s="24">
        <f t="shared" si="0"/>
        <v>6.1782622224855404</v>
      </c>
    </row>
    <row r="20" spans="2:7" ht="22.5" customHeight="1" x14ac:dyDescent="0.25">
      <c r="B20" s="9">
        <v>16</v>
      </c>
      <c r="C20" s="13" t="s">
        <v>26</v>
      </c>
      <c r="D20" s="18">
        <v>0.73977195285550024</v>
      </c>
      <c r="E20" s="19">
        <v>0.78495065571890954</v>
      </c>
      <c r="G20" s="24">
        <f t="shared" si="0"/>
        <v>6.1071121565261697</v>
      </c>
    </row>
    <row r="21" spans="2:7" ht="22.5" customHeight="1" x14ac:dyDescent="0.25">
      <c r="B21" s="9">
        <v>17</v>
      </c>
      <c r="C21" s="13" t="s">
        <v>27</v>
      </c>
      <c r="D21" s="18">
        <v>0.75654130572575529</v>
      </c>
      <c r="E21" s="19">
        <v>0.67020570058112716</v>
      </c>
      <c r="G21" s="24">
        <f t="shared" si="0"/>
        <v>-11.411882535852525</v>
      </c>
    </row>
    <row r="22" spans="2:7" ht="22.5" customHeight="1" x14ac:dyDescent="0.25">
      <c r="B22" s="9">
        <v>18</v>
      </c>
      <c r="C22" s="13" t="s">
        <v>28</v>
      </c>
      <c r="D22" s="18">
        <v>0.99569628322863946</v>
      </c>
      <c r="E22" s="19">
        <v>0.97022838545351631</v>
      </c>
      <c r="G22" s="24">
        <f t="shared" si="0"/>
        <v>-2.5577978148659026</v>
      </c>
    </row>
    <row r="23" spans="2:7" ht="22.5" customHeight="1" x14ac:dyDescent="0.25">
      <c r="B23" s="9">
        <v>19</v>
      </c>
      <c r="C23" s="13" t="s">
        <v>29</v>
      </c>
      <c r="D23" s="18">
        <v>0.78323720116154183</v>
      </c>
      <c r="E23" s="19">
        <v>0.79283479815283775</v>
      </c>
      <c r="G23" s="24">
        <f t="shared" si="0"/>
        <v>1.2253755282643204</v>
      </c>
    </row>
    <row r="24" spans="2:7" ht="22.5" customHeight="1" x14ac:dyDescent="0.25">
      <c r="B24" s="9">
        <v>20</v>
      </c>
      <c r="C24" s="13" t="s">
        <v>30</v>
      </c>
      <c r="D24" s="18">
        <v>0.8383026267275957</v>
      </c>
      <c r="E24" s="19">
        <v>0.85561571301266237</v>
      </c>
      <c r="G24" s="24">
        <f t="shared" si="0"/>
        <v>2.0652549250203545</v>
      </c>
    </row>
    <row r="25" spans="2:7" ht="22.5" customHeight="1" x14ac:dyDescent="0.25">
      <c r="B25" s="9">
        <v>21</v>
      </c>
      <c r="C25" s="13" t="s">
        <v>31</v>
      </c>
      <c r="D25" s="18">
        <v>0.64</v>
      </c>
      <c r="E25" s="19">
        <v>0.82969359535240472</v>
      </c>
      <c r="G25" s="24">
        <f t="shared" si="0"/>
        <v>29.639624273813236</v>
      </c>
    </row>
    <row r="26" spans="2:7" ht="22.5" customHeight="1" x14ac:dyDescent="0.25">
      <c r="B26" s="9">
        <v>22</v>
      </c>
      <c r="C26" s="13" t="s">
        <v>32</v>
      </c>
      <c r="D26" s="18">
        <v>0.1</v>
      </c>
      <c r="E26" s="19">
        <v>7.6404494382022473E-2</v>
      </c>
      <c r="G26" s="24">
        <f t="shared" si="0"/>
        <v>-23.59550561797753</v>
      </c>
    </row>
    <row r="27" spans="2:7" ht="22.5" customHeight="1" x14ac:dyDescent="0.25">
      <c r="B27" s="9">
        <v>23</v>
      </c>
      <c r="C27" s="13" t="s">
        <v>33</v>
      </c>
      <c r="D27" s="18">
        <v>0.39819819819819818</v>
      </c>
      <c r="E27" s="19">
        <v>0</v>
      </c>
      <c r="G27" s="24">
        <f t="shared" si="0"/>
        <v>-100</v>
      </c>
    </row>
    <row r="28" spans="2:7" ht="22.5" customHeight="1" x14ac:dyDescent="0.25">
      <c r="B28" s="9">
        <v>24</v>
      </c>
      <c r="C28" s="13" t="s">
        <v>34</v>
      </c>
      <c r="D28" s="18">
        <v>0.56347255765496995</v>
      </c>
      <c r="E28" s="19">
        <v>0.61699795451810857</v>
      </c>
      <c r="G28" s="24">
        <f t="shared" si="0"/>
        <v>9.4992020704429265</v>
      </c>
    </row>
    <row r="29" spans="2:7" ht="22.5" customHeight="1" thickBot="1" x14ac:dyDescent="0.3">
      <c r="B29" s="10">
        <v>25</v>
      </c>
      <c r="C29" s="14" t="s">
        <v>35</v>
      </c>
      <c r="D29" s="20">
        <v>0.20970790956646684</v>
      </c>
      <c r="E29" s="21">
        <v>0.24103897354420933</v>
      </c>
      <c r="G29" s="24">
        <f t="shared" si="0"/>
        <v>14.940334888900372</v>
      </c>
    </row>
    <row r="31" spans="2:7" ht="21" customHeight="1" x14ac:dyDescent="0.25">
      <c r="B31" s="11" t="s">
        <v>36</v>
      </c>
    </row>
    <row r="32" spans="2:7" ht="78.75" customHeight="1" x14ac:dyDescent="0.25">
      <c r="B32" s="25" t="s">
        <v>39</v>
      </c>
      <c r="C32" s="26"/>
      <c r="D32" s="26"/>
      <c r="E32" s="26"/>
    </row>
    <row r="37" spans="3:6" ht="15" customHeight="1" x14ac:dyDescent="0.25">
      <c r="C37" s="3"/>
      <c r="D37" s="3"/>
      <c r="E37" s="3"/>
      <c r="F37" s="4"/>
    </row>
    <row r="38" spans="3:6" x14ac:dyDescent="0.25">
      <c r="C38" s="2"/>
      <c r="D38" s="2"/>
      <c r="E38" s="2"/>
    </row>
  </sheetData>
  <mergeCells count="5">
    <mergeCell ref="B32:E32"/>
    <mergeCell ref="B2:E2"/>
    <mergeCell ref="B3:B4"/>
    <mergeCell ref="C3:C4"/>
    <mergeCell ref="D3:E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2.12.Tablo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2021-11-25T08:02:52Z</dcterms:modified>
</cp:coreProperties>
</file>