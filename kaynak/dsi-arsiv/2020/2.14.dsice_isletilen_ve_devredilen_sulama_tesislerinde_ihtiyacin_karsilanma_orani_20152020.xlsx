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/>
  </bookViews>
  <sheets>
    <sheet name="2.14.Tabl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 l="1"/>
  <c r="K7" i="1"/>
  <c r="K8" i="1"/>
  <c r="K9" i="1"/>
  <c r="K10" i="1"/>
  <c r="K11" i="1"/>
  <c r="K12" i="1"/>
  <c r="K13" i="1"/>
  <c r="K14" i="1"/>
  <c r="K15" i="1"/>
  <c r="K16" i="1"/>
  <c r="K17" i="1"/>
  <c r="K19" i="1"/>
  <c r="K21" i="1"/>
  <c r="K22" i="1"/>
  <c r="K23" i="1"/>
  <c r="K24" i="1"/>
  <c r="K25" i="1"/>
  <c r="K26" i="1"/>
  <c r="K27" i="1"/>
  <c r="K28" i="1"/>
  <c r="K29" i="1"/>
</calcChain>
</file>

<file path=xl/sharedStrings.xml><?xml version="1.0" encoding="utf-8"?>
<sst xmlns="http://schemas.openxmlformats.org/spreadsheetml/2006/main" count="67" uniqueCount="67">
  <si>
    <t>01</t>
  </si>
  <si>
    <t>02</t>
  </si>
  <si>
    <t>03</t>
  </si>
  <si>
    <t>04</t>
  </si>
  <si>
    <t>05</t>
  </si>
  <si>
    <t>06</t>
  </si>
  <si>
    <t>07</t>
  </si>
  <si>
    <t>08</t>
  </si>
  <si>
    <t>09</t>
  </si>
  <si>
    <t>İhtiyacın Karşılanma Oranı Değişimi</t>
  </si>
  <si>
    <t>DSİ 01. (Bursa) Bölge Müdürlüğü</t>
  </si>
  <si>
    <t>DSİ 02. (İzmir) Bölge Müdürlüğü</t>
  </si>
  <si>
    <t>DSİ 03. (Eskişehir) Bölge Müdürlüğü</t>
  </si>
  <si>
    <t>DSİ 04. (Konya) Bölge Müdürlüğü</t>
  </si>
  <si>
    <t>DSİ 05. (Ankara) Bölge Müdürlüğü</t>
  </si>
  <si>
    <t>DSİ 06. (Adana) Bölge Müdürlüğü</t>
  </si>
  <si>
    <t>DSİ 07. (Samsun) Bölge Müdürlüğü</t>
  </si>
  <si>
    <t>DSİ 08. (Erzurum) Bölge Müdürlüğü</t>
  </si>
  <si>
    <t>DSİ 09. (Elazığ) Bölge Müdürlüğü</t>
  </si>
  <si>
    <t>DSİ 10. (Diyarbakır) Bölge Müdürlüğü</t>
  </si>
  <si>
    <t>DSİ 11. (Edirne) Bölge Müdürlüğü</t>
  </si>
  <si>
    <t>DSİ 12. (Kayseri) Bölge Müdürlüğü</t>
  </si>
  <si>
    <t>DSİ 13. (Antalya) Bölge Müdürlüğü</t>
  </si>
  <si>
    <t>DSİ 14. (İstanbul) Bölge Müdürlüğü</t>
  </si>
  <si>
    <t>DSİ 15. (Şanlıurfa) Bölge Müdürlüğü</t>
  </si>
  <si>
    <t>DSİ 16. (Mardin) Ilısu Bölge Müdürlüğü</t>
  </si>
  <si>
    <t>DSİ 17. (Van) Bölge Müdürlüğü</t>
  </si>
  <si>
    <t>DSİ 18. (Isparta) Bölge Müdürlüğü</t>
  </si>
  <si>
    <t>DSİ 19. (Sivas) Bölge Müdürlüğü</t>
  </si>
  <si>
    <t>DSİ 20. (Kahramanmaraş) Bölge Müdürlüğü</t>
  </si>
  <si>
    <t>DSİ 21. (Aydın) Bölge Müdürlüğü</t>
  </si>
  <si>
    <t>DSİ 22. (Trabzon) Bölge Müdürlüğü</t>
  </si>
  <si>
    <t>DSİ 23. (Kastamonu) Bölge Müdürlüğü</t>
  </si>
  <si>
    <t>DSİ 24. (Kars) Bölge Müdürlüğü</t>
  </si>
  <si>
    <t>DSİ 25. (Balıkesir) Bölge Müdürlüğü</t>
  </si>
  <si>
    <t>DSİ 26. (Artvin) Çoruh Bölge Müdürlüğü</t>
  </si>
  <si>
    <t>Bölge No</t>
  </si>
  <si>
    <t>Bölge Adı</t>
  </si>
  <si>
    <t xml:space="preserve">DSİ 01. (Bursa) Bölge </t>
  </si>
  <si>
    <t xml:space="preserve">DSİ 02. (İzmir) Bölge </t>
  </si>
  <si>
    <t xml:space="preserve">DSİ 03. (Eskişehir) Bölge </t>
  </si>
  <si>
    <t xml:space="preserve">DSİ 04. (Konya) Bölge </t>
  </si>
  <si>
    <t xml:space="preserve">DSİ 05. (Ankara) Bölge </t>
  </si>
  <si>
    <t xml:space="preserve">DSİ 06. (Adana) Bölge </t>
  </si>
  <si>
    <t xml:space="preserve">DSİ 07. (Samsun) Bölge </t>
  </si>
  <si>
    <t xml:space="preserve">DSİ 08. (Erzurum) Bölge </t>
  </si>
  <si>
    <t xml:space="preserve">DSİ 09. (Elazığ) Bölge </t>
  </si>
  <si>
    <t xml:space="preserve">DSİ 10. (Diyarbakır) Bölge </t>
  </si>
  <si>
    <t xml:space="preserve">DSİ 11. (Edirne) Bölge </t>
  </si>
  <si>
    <t xml:space="preserve">DSİ 12. (Kayseri) Bölge </t>
  </si>
  <si>
    <t xml:space="preserve">DSİ 13. (Antalya) Bölge </t>
  </si>
  <si>
    <t xml:space="preserve">DSİ 14. (İstanbul) Bölge </t>
  </si>
  <si>
    <t xml:space="preserve">DSİ 15. (Şanlıurfa) Bölge </t>
  </si>
  <si>
    <t xml:space="preserve">DSİ 16. (Mardin) Ilısu Bölge </t>
  </si>
  <si>
    <t xml:space="preserve">DSİ 17. (Van) Bölge </t>
  </si>
  <si>
    <t xml:space="preserve">DSİ 18. (Isparta) Bölge </t>
  </si>
  <si>
    <t xml:space="preserve">DSİ 19. (Sivas) Bölge </t>
  </si>
  <si>
    <t xml:space="preserve">DSİ 20. (Kahramanmaraş) Bölge </t>
  </si>
  <si>
    <t xml:space="preserve">DSİ 21. (Aydın) Bölge </t>
  </si>
  <si>
    <t xml:space="preserve">DSİ 22. (Trabzon) Bölge </t>
  </si>
  <si>
    <t xml:space="preserve">DSİ 23. (Kastamonu) Bölge </t>
  </si>
  <si>
    <t xml:space="preserve">DSİ 24. (Kars) Bölge </t>
  </si>
  <si>
    <t xml:space="preserve">DSİ 25. (Balıkesir) Bölge </t>
  </si>
  <si>
    <t xml:space="preserve">DSİ 26. (Artvin) Çoruh Bölge </t>
  </si>
  <si>
    <t>2.14.DSİ'ce İşletilen ve Devredilen Sulama Tesislerinde İhtiyacın Karşılanma Oranı, 2015-2020</t>
  </si>
  <si>
    <t xml:space="preserve">İhtiyacın Karşılanma Oranı                                                                                                                                                               </t>
  </si>
  <si>
    <r>
      <rPr>
        <b/>
        <sz val="11"/>
        <color theme="1"/>
        <rFont val="Calibri"/>
        <family val="2"/>
        <charset val="162"/>
        <scheme val="minor"/>
      </rPr>
      <t>NOT:</t>
    </r>
    <r>
      <rPr>
        <sz val="11"/>
        <color theme="1"/>
        <rFont val="Calibri"/>
        <family val="2"/>
        <scheme val="minor"/>
      </rPr>
      <t xml:space="preserve"> Bölge Müdürlüklerinin kapsadığı iller Metaveriler kısmında verilmiştir.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</si>
</sst>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#,##0.0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64" fontId="2" fillId="2" borderId="0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5" fillId="3" borderId="13" xfId="0" quotePrefix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0" fontId="5" fillId="3" borderId="15" xfId="0" quotePrefix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vertical="center"/>
    </xf>
    <xf numFmtId="0" fontId="7" fillId="2" borderId="0" xfId="0" applyFont="1" applyFill="1"/>
    <xf numFmtId="0" fontId="7" fillId="0" borderId="0" xfId="0" applyFont="1"/>
    <xf numFmtId="1" fontId="7" fillId="0" borderId="0" xfId="0" applyNumberFormat="1" applyFont="1"/>
    <xf numFmtId="0" fontId="0" fillId="0" borderId="0" xfId="0" applyAlignment="1">
      <alignment horizontal="right"/>
    </xf>
    <xf numFmtId="0" fontId="8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5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" fontId="3" fillId="2" borderId="14" xfId="0" applyNumberFormat="1" applyFont="1" applyFill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2" fontId="3" fillId="2" borderId="16" xfId="0" applyNumberFormat="1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2" fontId="3" fillId="2" borderId="12" xfId="0" applyNumberFormat="1" applyFont="1" applyFill="1" applyBorder="1" applyAlignment="1">
      <alignment horizontal="center" vertical="center" wrapText="1"/>
    </xf>
    <xf numFmtId="2" fontId="4" fillId="2" borderId="16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2" fontId="4" fillId="2" borderId="12" xfId="0" applyNumberFormat="1" applyFont="1" applyFill="1" applyBorder="1" applyAlignment="1">
      <alignment horizontal="center"/>
    </xf>
    <xf numFmtId="2" fontId="6" fillId="2" borderId="18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/>
    </xf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2.14.DSİ'ce İşletilen ve Devredilen Sulama Tesislerde İhtiyacın Karşılanma Oranı Değişimi, (%), 2019-2020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9496514522173924E-2"/>
          <c:y val="0.25087359250514879"/>
          <c:w val="0.89819227127116641"/>
          <c:h val="0.473211306544639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'2.14.Tablo'!$K$4</c:f>
              <c:strCache>
                <c:ptCount val="1"/>
                <c:pt idx="0">
                  <c:v>İhtiyacın Karşılanma Oranı Değişimi</c:v>
                </c:pt>
              </c:strCache>
            </c:strRef>
          </c:tx>
          <c:invertIfNegative val="0"/>
          <c:dLbls>
            <c:dLbl>
              <c:idx val="2"/>
              <c:layout>
                <c:manualLayout>
                  <c:x val="-3.1059928454689741E-17"/>
                  <c:y val="6.90250403280165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853-44E3-961B-BE0A5448D14E}"/>
                </c:ext>
              </c:extLst>
            </c:dLbl>
            <c:dLbl>
              <c:idx val="5"/>
              <c:layout>
                <c:manualLayout>
                  <c:x val="0"/>
                  <c:y val="2.0707512098404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853-44E3-961B-BE0A5448D14E}"/>
                </c:ext>
              </c:extLst>
            </c:dLbl>
            <c:dLbl>
              <c:idx val="7"/>
              <c:layout>
                <c:manualLayout>
                  <c:x val="-6.2119856909379483E-17"/>
                  <c:y val="2.3008346776005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853-44E3-961B-BE0A5448D14E}"/>
                </c:ext>
              </c:extLst>
            </c:dLbl>
            <c:dLbl>
              <c:idx val="21"/>
              <c:layout>
                <c:manualLayout>
                  <c:x val="0"/>
                  <c:y val="0.2438884758256554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B853-44E3-961B-BE0A5448D1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'2.14.Tablo'!$N$5:$N$30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'2.14.Tablo'!$K$5:$K$30</c:f>
              <c:numCache>
                <c:formatCode>0</c:formatCode>
                <c:ptCount val="26"/>
                <c:pt idx="0">
                  <c:v>8.0459770114942462</c:v>
                </c:pt>
                <c:pt idx="1">
                  <c:v>-28.723404255319139</c:v>
                </c:pt>
                <c:pt idx="2">
                  <c:v>19.791666666666661</c:v>
                </c:pt>
                <c:pt idx="3">
                  <c:v>5.319148936170218</c:v>
                </c:pt>
                <c:pt idx="4">
                  <c:v>-8.0645161290322651</c:v>
                </c:pt>
                <c:pt idx="5">
                  <c:v>40.16393442622951</c:v>
                </c:pt>
                <c:pt idx="6">
                  <c:v>5.5555555555555607</c:v>
                </c:pt>
                <c:pt idx="7">
                  <c:v>47.402597402597401</c:v>
                </c:pt>
                <c:pt idx="8">
                  <c:v>-1.4084507042253533</c:v>
                </c:pt>
                <c:pt idx="9">
                  <c:v>16.352201257861633</c:v>
                </c:pt>
                <c:pt idx="10">
                  <c:v>17.117117117117107</c:v>
                </c:pt>
                <c:pt idx="11">
                  <c:v>15.625000000000016</c:v>
                </c:pt>
                <c:pt idx="12">
                  <c:v>5.2083333333333384</c:v>
                </c:pt>
                <c:pt idx="14">
                  <c:v>-20.714285714285705</c:v>
                </c:pt>
                <c:pt idx="16">
                  <c:v>-32.119205298013249</c:v>
                </c:pt>
                <c:pt idx="17">
                  <c:v>-10.377358490566047</c:v>
                </c:pt>
                <c:pt idx="18">
                  <c:v>3.7837837837837749</c:v>
                </c:pt>
                <c:pt idx="19">
                  <c:v>1.8018018018017832</c:v>
                </c:pt>
                <c:pt idx="20">
                  <c:v>-9.9999999999999964</c:v>
                </c:pt>
                <c:pt idx="21">
                  <c:v>136.00000000000003</c:v>
                </c:pt>
                <c:pt idx="22">
                  <c:v>19.31034482758621</c:v>
                </c:pt>
                <c:pt idx="23">
                  <c:v>2.5641025641025661</c:v>
                </c:pt>
                <c:pt idx="24">
                  <c:v>7.6271186440678029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'2.14.Tablo'!$E$3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'2.14.Tablo'!$N$5:$N$30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'2.14.Tablo'!$E$27:$E$29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1.61</c:v>
                      </c:pt>
                      <c:pt idx="1">
                        <c:v>1.69</c:v>
                      </c:pt>
                      <c:pt idx="2">
                        <c:v>1.4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'2.14.Tablo'!$N$5:$N$30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'2.14.Tablo'!$G$27:$G$29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1.43</c:v>
                      </c:pt>
                      <c:pt idx="1">
                        <c:v>1.67</c:v>
                      </c:pt>
                      <c:pt idx="2">
                        <c:v>1.2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2.14.DSİ'ce İşletilen ve Devredilen Sulama Tesislerde İhtiyacın Karşılanma Oranı, (%), 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'2.14.Tablo'!$D$3:$I$3</c:f>
              <c:strCache>
                <c:ptCount val="1"/>
                <c:pt idx="0">
                  <c:v>İhtiyacın Karşılanma Oranı                                                                                                                                                          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'2.14.Tablo'!$N$5:$N$30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'2.14.Tablo'!$I$5:$I$30</c:f>
              <c:numCache>
                <c:formatCode>0.00</c:formatCode>
                <c:ptCount val="26"/>
                <c:pt idx="0">
                  <c:v>0.94</c:v>
                </c:pt>
                <c:pt idx="1">
                  <c:v>0.67</c:v>
                </c:pt>
                <c:pt idx="2">
                  <c:v>1.1499999999999999</c:v>
                </c:pt>
                <c:pt idx="3">
                  <c:v>0.99</c:v>
                </c:pt>
                <c:pt idx="4">
                  <c:v>1.71</c:v>
                </c:pt>
                <c:pt idx="5">
                  <c:v>1.71</c:v>
                </c:pt>
                <c:pt idx="6">
                  <c:v>1.33</c:v>
                </c:pt>
                <c:pt idx="7">
                  <c:v>2.27</c:v>
                </c:pt>
                <c:pt idx="8">
                  <c:v>1.4</c:v>
                </c:pt>
                <c:pt idx="9">
                  <c:v>1.85</c:v>
                </c:pt>
                <c:pt idx="10">
                  <c:v>1.3</c:v>
                </c:pt>
                <c:pt idx="11">
                  <c:v>1.1100000000000001</c:v>
                </c:pt>
                <c:pt idx="12">
                  <c:v>1.01</c:v>
                </c:pt>
                <c:pt idx="14">
                  <c:v>1.1100000000000001</c:v>
                </c:pt>
                <c:pt idx="16">
                  <c:v>2.0499999999999998</c:v>
                </c:pt>
                <c:pt idx="17">
                  <c:v>0.95</c:v>
                </c:pt>
                <c:pt idx="18">
                  <c:v>1.92</c:v>
                </c:pt>
                <c:pt idx="19">
                  <c:v>1.1299999999999999</c:v>
                </c:pt>
                <c:pt idx="20">
                  <c:v>0.81</c:v>
                </c:pt>
                <c:pt idx="21">
                  <c:v>2.95</c:v>
                </c:pt>
                <c:pt idx="22">
                  <c:v>1.73</c:v>
                </c:pt>
                <c:pt idx="23">
                  <c:v>1.6</c:v>
                </c:pt>
                <c:pt idx="24">
                  <c:v>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'2.14.Tablo'!$E$3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'2.14.Tablo'!$N$5:$N$30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'2.14.Tablo'!$E$27:$E$29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1.61</c:v>
                      </c:pt>
                      <c:pt idx="1">
                        <c:v>1.69</c:v>
                      </c:pt>
                      <c:pt idx="2">
                        <c:v>1.4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391-466C-87C2-DDD06FFEC3B8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'2.14.Tablo'!$N$5:$N$30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'2.14.Tablo'!$G$27:$G$29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1.43</c:v>
                      </c:pt>
                      <c:pt idx="1">
                        <c:v>1.67</c:v>
                      </c:pt>
                      <c:pt idx="2">
                        <c:v>1.2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91-466C-87C2-DDD06FFEC3B8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609600</xdr:colOff>
      <xdr:row>1</xdr:row>
      <xdr:rowOff>9525</xdr:rowOff>
    </xdr:from>
    <xdr:to>
      <xdr:col>8</xdr:col>
      <xdr:colOff>990600</xdr:colOff>
      <xdr:row>1</xdr:row>
      <xdr:rowOff>295576</xdr:rowOff>
    </xdr:to>
    <xdr:pic>
      <xdr:nvPicPr>
        <xdr:cNvPr id="6" name="Resi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6775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68</xdr:row>
      <xdr:rowOff>100013</xdr:rowOff>
    </xdr:from>
    <xdr:to>
      <xdr:col>17</xdr:col>
      <xdr:colOff>369093</xdr:colOff>
      <xdr:row>97</xdr:row>
      <xdr:rowOff>95249</xdr:rowOff>
    </xdr:to>
    <xdr:graphicFrame macro="">
      <xdr:nvGraphicFramePr>
        <xdr:cNvPr id="15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71436</xdr:colOff>
      <xdr:row>32</xdr:row>
      <xdr:rowOff>35720</xdr:rowOff>
    </xdr:from>
    <xdr:to>
      <xdr:col>17</xdr:col>
      <xdr:colOff>383379</xdr:colOff>
      <xdr:row>67</xdr:row>
      <xdr:rowOff>95249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8"/>
  <sheetViews>
    <sheetView tabSelected="1" zoomScale="80" zoomScaleNormal="80" workbookViewId="0">
      <selection activeCell="S13" sqref="S13"/>
    </sheetView>
  </sheetViews>
  <sheetFormatPr defaultRowHeight="15" x14ac:dyDescent="0.25"/>
  <cols>
    <col min="1" max="1" width="2.5703125" customWidth="1"/>
    <col min="3" max="3" width="43.85546875" bestFit="1" customWidth="1"/>
    <col min="4" max="9" width="15.7109375" customWidth="1"/>
    <col min="10" max="11" width="9.140625" style="14"/>
    <col min="14" max="14" width="9.140625" style="14"/>
  </cols>
  <sheetData>
    <row r="1" spans="2:14" s="1" customFormat="1" ht="15" customHeight="1" thickBot="1" x14ac:dyDescent="0.3">
      <c r="C1" s="4"/>
      <c r="D1" s="4"/>
      <c r="E1" s="4"/>
      <c r="F1" s="4"/>
      <c r="G1" s="4"/>
      <c r="H1" s="4"/>
      <c r="I1" s="4"/>
      <c r="J1" s="13"/>
      <c r="K1" s="13"/>
      <c r="N1" s="13"/>
    </row>
    <row r="2" spans="2:14" s="1" customFormat="1" ht="24.75" customHeight="1" thickBot="1" x14ac:dyDescent="0.3">
      <c r="B2" s="23" t="s">
        <v>64</v>
      </c>
      <c r="C2" s="24"/>
      <c r="D2" s="24"/>
      <c r="E2" s="24"/>
      <c r="F2" s="24"/>
      <c r="G2" s="24"/>
      <c r="H2" s="24"/>
      <c r="I2" s="25"/>
      <c r="J2" s="13"/>
      <c r="K2" s="13"/>
      <c r="N2" s="13"/>
    </row>
    <row r="3" spans="2:14" ht="48.75" customHeight="1" thickBot="1" x14ac:dyDescent="0.3">
      <c r="B3" s="26" t="s">
        <v>36</v>
      </c>
      <c r="C3" s="26" t="s">
        <v>37</v>
      </c>
      <c r="D3" s="28" t="s">
        <v>65</v>
      </c>
      <c r="E3" s="29"/>
      <c r="F3" s="29"/>
      <c r="G3" s="29"/>
      <c r="H3" s="29"/>
      <c r="I3" s="30"/>
    </row>
    <row r="4" spans="2:14" ht="22.5" customHeight="1" thickBot="1" x14ac:dyDescent="0.3">
      <c r="B4" s="27"/>
      <c r="C4" s="27"/>
      <c r="D4" s="5">
        <v>2015</v>
      </c>
      <c r="E4" s="5">
        <v>2016</v>
      </c>
      <c r="F4" s="5">
        <v>2017</v>
      </c>
      <c r="G4" s="5">
        <v>2018</v>
      </c>
      <c r="H4" s="5">
        <v>2019</v>
      </c>
      <c r="I4" s="5">
        <v>2020</v>
      </c>
      <c r="K4" s="14" t="s">
        <v>9</v>
      </c>
    </row>
    <row r="5" spans="2:14" ht="22.5" customHeight="1" x14ac:dyDescent="0.25">
      <c r="B5" s="6" t="s">
        <v>0</v>
      </c>
      <c r="C5" s="7" t="s">
        <v>10</v>
      </c>
      <c r="D5" s="31">
        <v>0.84</v>
      </c>
      <c r="E5" s="32">
        <v>0.97</v>
      </c>
      <c r="F5" s="32">
        <v>0.87</v>
      </c>
      <c r="G5" s="32">
        <v>0.79</v>
      </c>
      <c r="H5" s="32">
        <v>0.87</v>
      </c>
      <c r="I5" s="33">
        <v>0.94</v>
      </c>
      <c r="K5" s="15">
        <f>+(I5-H5)*100/H5</f>
        <v>8.0459770114942462</v>
      </c>
      <c r="M5" s="16"/>
      <c r="N5" s="17" t="s">
        <v>38</v>
      </c>
    </row>
    <row r="6" spans="2:14" ht="22.5" customHeight="1" x14ac:dyDescent="0.25">
      <c r="B6" s="8" t="s">
        <v>1</v>
      </c>
      <c r="C6" s="9" t="s">
        <v>11</v>
      </c>
      <c r="D6" s="34">
        <v>0.94</v>
      </c>
      <c r="E6" s="35">
        <v>0.9</v>
      </c>
      <c r="F6" s="35">
        <v>0.81</v>
      </c>
      <c r="G6" s="35">
        <v>0.93</v>
      </c>
      <c r="H6" s="35">
        <v>0.94</v>
      </c>
      <c r="I6" s="36">
        <v>0.67</v>
      </c>
      <c r="K6" s="15">
        <f t="shared" ref="K6:K29" si="0">+(I6-H6)*100/H6</f>
        <v>-28.723404255319139</v>
      </c>
      <c r="N6" s="17" t="s">
        <v>39</v>
      </c>
    </row>
    <row r="7" spans="2:14" ht="22.5" customHeight="1" x14ac:dyDescent="0.25">
      <c r="B7" s="8" t="s">
        <v>2</v>
      </c>
      <c r="C7" s="9" t="s">
        <v>12</v>
      </c>
      <c r="D7" s="34">
        <v>1.21</v>
      </c>
      <c r="E7" s="35">
        <v>1.43</v>
      </c>
      <c r="F7" s="35">
        <v>1.28</v>
      </c>
      <c r="G7" s="35">
        <v>1.21</v>
      </c>
      <c r="H7" s="35">
        <v>0.96</v>
      </c>
      <c r="I7" s="36">
        <v>1.1499999999999999</v>
      </c>
      <c r="K7" s="15">
        <f t="shared" si="0"/>
        <v>19.791666666666661</v>
      </c>
      <c r="N7" s="17" t="s">
        <v>40</v>
      </c>
    </row>
    <row r="8" spans="2:14" ht="22.5" customHeight="1" x14ac:dyDescent="0.25">
      <c r="B8" s="8" t="s">
        <v>3</v>
      </c>
      <c r="C8" s="9" t="s">
        <v>13</v>
      </c>
      <c r="D8" s="34">
        <v>1.01</v>
      </c>
      <c r="E8" s="35">
        <v>0.93</v>
      </c>
      <c r="F8" s="35">
        <v>0.88</v>
      </c>
      <c r="G8" s="35">
        <v>0.87</v>
      </c>
      <c r="H8" s="35">
        <v>0.94</v>
      </c>
      <c r="I8" s="36">
        <v>0.99</v>
      </c>
      <c r="K8" s="15">
        <f t="shared" si="0"/>
        <v>5.319148936170218</v>
      </c>
      <c r="N8" s="17" t="s">
        <v>41</v>
      </c>
    </row>
    <row r="9" spans="2:14" ht="22.5" customHeight="1" x14ac:dyDescent="0.25">
      <c r="B9" s="8" t="s">
        <v>4</v>
      </c>
      <c r="C9" s="9" t="s">
        <v>14</v>
      </c>
      <c r="D9" s="34">
        <v>1.66</v>
      </c>
      <c r="E9" s="35">
        <v>2.11</v>
      </c>
      <c r="F9" s="35">
        <v>2.2000000000000002</v>
      </c>
      <c r="G9" s="35">
        <v>2.5299999999999998</v>
      </c>
      <c r="H9" s="35">
        <v>1.86</v>
      </c>
      <c r="I9" s="36">
        <v>1.71</v>
      </c>
      <c r="K9" s="15">
        <f t="shared" si="0"/>
        <v>-8.0645161290322651</v>
      </c>
      <c r="N9" s="17" t="s">
        <v>42</v>
      </c>
    </row>
    <row r="10" spans="2:14" ht="22.5" customHeight="1" x14ac:dyDescent="0.25">
      <c r="B10" s="8" t="s">
        <v>5</v>
      </c>
      <c r="C10" s="9" t="s">
        <v>15</v>
      </c>
      <c r="D10" s="34">
        <v>1.26</v>
      </c>
      <c r="E10" s="35">
        <v>1.1200000000000001</v>
      </c>
      <c r="F10" s="35">
        <v>1.02</v>
      </c>
      <c r="G10" s="35">
        <v>1.3</v>
      </c>
      <c r="H10" s="35">
        <v>1.22</v>
      </c>
      <c r="I10" s="36">
        <v>1.71</v>
      </c>
      <c r="K10" s="15">
        <f t="shared" si="0"/>
        <v>40.16393442622951</v>
      </c>
      <c r="N10" s="17" t="s">
        <v>43</v>
      </c>
    </row>
    <row r="11" spans="2:14" ht="22.5" customHeight="1" x14ac:dyDescent="0.25">
      <c r="B11" s="8" t="s">
        <v>6</v>
      </c>
      <c r="C11" s="9" t="s">
        <v>16</v>
      </c>
      <c r="D11" s="34">
        <v>0.88</v>
      </c>
      <c r="E11" s="35">
        <v>1.1299999999999999</v>
      </c>
      <c r="F11" s="35">
        <v>1.25</v>
      </c>
      <c r="G11" s="35">
        <v>1.24</v>
      </c>
      <c r="H11" s="35">
        <v>1.26</v>
      </c>
      <c r="I11" s="36">
        <v>1.33</v>
      </c>
      <c r="K11" s="15">
        <f t="shared" si="0"/>
        <v>5.5555555555555607</v>
      </c>
      <c r="N11" s="17" t="s">
        <v>44</v>
      </c>
    </row>
    <row r="12" spans="2:14" ht="22.5" customHeight="1" x14ac:dyDescent="0.25">
      <c r="B12" s="8" t="s">
        <v>7</v>
      </c>
      <c r="C12" s="9" t="s">
        <v>17</v>
      </c>
      <c r="D12" s="34">
        <v>1.89</v>
      </c>
      <c r="E12" s="35">
        <v>1.98</v>
      </c>
      <c r="F12" s="35">
        <v>1.69</v>
      </c>
      <c r="G12" s="35">
        <v>1.46</v>
      </c>
      <c r="H12" s="35">
        <v>1.54</v>
      </c>
      <c r="I12" s="36">
        <v>2.27</v>
      </c>
      <c r="K12" s="15">
        <f t="shared" si="0"/>
        <v>47.402597402597401</v>
      </c>
      <c r="N12" s="17" t="s">
        <v>45</v>
      </c>
    </row>
    <row r="13" spans="2:14" ht="22.5" customHeight="1" x14ac:dyDescent="0.25">
      <c r="B13" s="8" t="s">
        <v>8</v>
      </c>
      <c r="C13" s="9" t="s">
        <v>18</v>
      </c>
      <c r="D13" s="34">
        <v>1.38</v>
      </c>
      <c r="E13" s="35">
        <v>1.36</v>
      </c>
      <c r="F13" s="35">
        <v>1.06</v>
      </c>
      <c r="G13" s="35">
        <v>1.21</v>
      </c>
      <c r="H13" s="35">
        <v>1.42</v>
      </c>
      <c r="I13" s="36">
        <v>1.4</v>
      </c>
      <c r="K13" s="15">
        <f t="shared" si="0"/>
        <v>-1.4084507042253533</v>
      </c>
      <c r="N13" s="17" t="s">
        <v>46</v>
      </c>
    </row>
    <row r="14" spans="2:14" ht="22.5" customHeight="1" x14ac:dyDescent="0.25">
      <c r="B14" s="10">
        <v>10</v>
      </c>
      <c r="C14" s="9" t="s">
        <v>19</v>
      </c>
      <c r="D14" s="34">
        <v>1.54</v>
      </c>
      <c r="E14" s="35">
        <v>1.93</v>
      </c>
      <c r="F14" s="35">
        <v>1.81</v>
      </c>
      <c r="G14" s="35">
        <v>1.46</v>
      </c>
      <c r="H14" s="35">
        <v>1.59</v>
      </c>
      <c r="I14" s="36">
        <v>1.85</v>
      </c>
      <c r="K14" s="15">
        <f t="shared" si="0"/>
        <v>16.352201257861633</v>
      </c>
      <c r="N14" s="17" t="s">
        <v>47</v>
      </c>
    </row>
    <row r="15" spans="2:14" ht="22.5" customHeight="1" x14ac:dyDescent="0.25">
      <c r="B15" s="10">
        <v>11</v>
      </c>
      <c r="C15" s="9" t="s">
        <v>20</v>
      </c>
      <c r="D15" s="34">
        <v>1</v>
      </c>
      <c r="E15" s="35">
        <v>1.1200000000000001</v>
      </c>
      <c r="F15" s="35">
        <v>0.98</v>
      </c>
      <c r="G15" s="35">
        <v>1.22</v>
      </c>
      <c r="H15" s="35">
        <v>1.1100000000000001</v>
      </c>
      <c r="I15" s="36">
        <v>1.3</v>
      </c>
      <c r="K15" s="15">
        <f t="shared" si="0"/>
        <v>17.117117117117107</v>
      </c>
      <c r="N15" s="17" t="s">
        <v>48</v>
      </c>
    </row>
    <row r="16" spans="2:14" ht="22.5" customHeight="1" x14ac:dyDescent="0.25">
      <c r="B16" s="10">
        <v>12</v>
      </c>
      <c r="C16" s="9" t="s">
        <v>21</v>
      </c>
      <c r="D16" s="34">
        <v>1.22</v>
      </c>
      <c r="E16" s="35">
        <v>1.0900000000000001</v>
      </c>
      <c r="F16" s="35">
        <v>1.1200000000000001</v>
      </c>
      <c r="G16" s="35">
        <v>1.1100000000000001</v>
      </c>
      <c r="H16" s="35">
        <v>0.96</v>
      </c>
      <c r="I16" s="36">
        <v>1.1100000000000001</v>
      </c>
      <c r="K16" s="15">
        <f t="shared" si="0"/>
        <v>15.625000000000016</v>
      </c>
      <c r="N16" s="17" t="s">
        <v>49</v>
      </c>
    </row>
    <row r="17" spans="2:14" ht="22.5" customHeight="1" x14ac:dyDescent="0.25">
      <c r="B17" s="10">
        <v>13</v>
      </c>
      <c r="C17" s="9" t="s">
        <v>22</v>
      </c>
      <c r="D17" s="34">
        <v>1.1399999999999999</v>
      </c>
      <c r="E17" s="35">
        <v>1.1100000000000001</v>
      </c>
      <c r="F17" s="35">
        <v>1.23</v>
      </c>
      <c r="G17" s="35">
        <v>1.1000000000000001</v>
      </c>
      <c r="H17" s="35">
        <v>0.96</v>
      </c>
      <c r="I17" s="36">
        <v>1.01</v>
      </c>
      <c r="K17" s="15">
        <f t="shared" si="0"/>
        <v>5.2083333333333384</v>
      </c>
      <c r="N17" s="17" t="s">
        <v>50</v>
      </c>
    </row>
    <row r="18" spans="2:14" ht="22.5" customHeight="1" x14ac:dyDescent="0.25">
      <c r="B18" s="10">
        <v>14</v>
      </c>
      <c r="C18" s="9" t="s">
        <v>23</v>
      </c>
      <c r="D18" s="34"/>
      <c r="E18" s="35"/>
      <c r="F18" s="35"/>
      <c r="G18" s="35"/>
      <c r="H18" s="35"/>
      <c r="I18" s="36"/>
      <c r="K18" s="15"/>
      <c r="N18" s="17" t="s">
        <v>51</v>
      </c>
    </row>
    <row r="19" spans="2:14" ht="22.5" customHeight="1" x14ac:dyDescent="0.25">
      <c r="B19" s="10">
        <v>15</v>
      </c>
      <c r="C19" s="9" t="s">
        <v>24</v>
      </c>
      <c r="D19" s="34">
        <v>1.28</v>
      </c>
      <c r="E19" s="35">
        <v>1.19</v>
      </c>
      <c r="F19" s="35">
        <v>1.43</v>
      </c>
      <c r="G19" s="35">
        <v>1.29</v>
      </c>
      <c r="H19" s="35">
        <v>1.4</v>
      </c>
      <c r="I19" s="36">
        <v>1.1100000000000001</v>
      </c>
      <c r="K19" s="15">
        <f t="shared" si="0"/>
        <v>-20.714285714285705</v>
      </c>
      <c r="N19" s="17" t="s">
        <v>52</v>
      </c>
    </row>
    <row r="20" spans="2:14" ht="22.5" customHeight="1" x14ac:dyDescent="0.25">
      <c r="B20" s="10">
        <v>16</v>
      </c>
      <c r="C20" s="9" t="s">
        <v>25</v>
      </c>
      <c r="D20" s="34"/>
      <c r="E20" s="35"/>
      <c r="F20" s="35"/>
      <c r="G20" s="35"/>
      <c r="H20" s="35"/>
      <c r="I20" s="36"/>
      <c r="K20" s="15"/>
      <c r="N20" s="17" t="s">
        <v>53</v>
      </c>
    </row>
    <row r="21" spans="2:14" ht="22.5" customHeight="1" x14ac:dyDescent="0.25">
      <c r="B21" s="10">
        <v>17</v>
      </c>
      <c r="C21" s="9" t="s">
        <v>26</v>
      </c>
      <c r="D21" s="34">
        <v>2.95</v>
      </c>
      <c r="E21" s="35">
        <v>2.54</v>
      </c>
      <c r="F21" s="35">
        <v>2.87</v>
      </c>
      <c r="G21" s="35">
        <v>3.84</v>
      </c>
      <c r="H21" s="35">
        <v>3.02</v>
      </c>
      <c r="I21" s="36">
        <v>2.0499999999999998</v>
      </c>
      <c r="K21" s="15">
        <f t="shared" si="0"/>
        <v>-32.119205298013249</v>
      </c>
      <c r="N21" s="17" t="s">
        <v>54</v>
      </c>
    </row>
    <row r="22" spans="2:14" ht="22.5" customHeight="1" x14ac:dyDescent="0.25">
      <c r="B22" s="10">
        <v>18</v>
      </c>
      <c r="C22" s="9" t="s">
        <v>27</v>
      </c>
      <c r="D22" s="34">
        <v>1.1499999999999999</v>
      </c>
      <c r="E22" s="35">
        <v>1.3</v>
      </c>
      <c r="F22" s="35">
        <v>1.22</v>
      </c>
      <c r="G22" s="35">
        <v>1.04</v>
      </c>
      <c r="H22" s="35">
        <v>1.06</v>
      </c>
      <c r="I22" s="36">
        <v>0.95</v>
      </c>
      <c r="K22" s="15">
        <f t="shared" si="0"/>
        <v>-10.377358490566047</v>
      </c>
      <c r="N22" s="17" t="s">
        <v>55</v>
      </c>
    </row>
    <row r="23" spans="2:14" ht="22.5" customHeight="1" x14ac:dyDescent="0.25">
      <c r="B23" s="10">
        <v>19</v>
      </c>
      <c r="C23" s="9" t="s">
        <v>28</v>
      </c>
      <c r="D23" s="34">
        <v>2</v>
      </c>
      <c r="E23" s="35">
        <v>1.22</v>
      </c>
      <c r="F23" s="35">
        <v>1.24</v>
      </c>
      <c r="G23" s="35">
        <v>1.85</v>
      </c>
      <c r="H23" s="35">
        <v>1.85</v>
      </c>
      <c r="I23" s="36">
        <v>1.92</v>
      </c>
      <c r="K23" s="15">
        <f t="shared" si="0"/>
        <v>3.7837837837837749</v>
      </c>
      <c r="N23" s="17" t="s">
        <v>56</v>
      </c>
    </row>
    <row r="24" spans="2:14" ht="22.5" customHeight="1" x14ac:dyDescent="0.25">
      <c r="B24" s="10">
        <v>20</v>
      </c>
      <c r="C24" s="9" t="s">
        <v>29</v>
      </c>
      <c r="D24" s="34">
        <v>1.1399999999999999</v>
      </c>
      <c r="E24" s="35">
        <v>1.1000000000000001</v>
      </c>
      <c r="F24" s="35">
        <v>1.1000000000000001</v>
      </c>
      <c r="G24" s="35">
        <v>1.08</v>
      </c>
      <c r="H24" s="35">
        <v>1.1100000000000001</v>
      </c>
      <c r="I24" s="36">
        <v>1.1299999999999999</v>
      </c>
      <c r="K24" s="15">
        <f t="shared" si="0"/>
        <v>1.8018018018017832</v>
      </c>
      <c r="N24" s="17" t="s">
        <v>57</v>
      </c>
    </row>
    <row r="25" spans="2:14" ht="22.5" customHeight="1" x14ac:dyDescent="0.25">
      <c r="B25" s="10">
        <v>21</v>
      </c>
      <c r="C25" s="9" t="s">
        <v>30</v>
      </c>
      <c r="D25" s="34">
        <v>1.1299999999999999</v>
      </c>
      <c r="E25" s="35">
        <v>1.1399999999999999</v>
      </c>
      <c r="F25" s="35">
        <v>0.94</v>
      </c>
      <c r="G25" s="35">
        <v>0.78</v>
      </c>
      <c r="H25" s="35">
        <v>0.9</v>
      </c>
      <c r="I25" s="36">
        <v>0.81</v>
      </c>
      <c r="K25" s="15">
        <f t="shared" si="0"/>
        <v>-9.9999999999999964</v>
      </c>
      <c r="N25" s="17" t="s">
        <v>58</v>
      </c>
    </row>
    <row r="26" spans="2:14" ht="22.5" customHeight="1" x14ac:dyDescent="0.25">
      <c r="B26" s="10">
        <v>22</v>
      </c>
      <c r="C26" s="9" t="s">
        <v>31</v>
      </c>
      <c r="D26" s="34">
        <v>1.89</v>
      </c>
      <c r="E26" s="35">
        <v>1.75</v>
      </c>
      <c r="F26" s="35">
        <v>1.98</v>
      </c>
      <c r="G26" s="35">
        <v>2.7</v>
      </c>
      <c r="H26" s="35">
        <v>1.25</v>
      </c>
      <c r="I26" s="36">
        <v>2.95</v>
      </c>
      <c r="K26" s="15">
        <f t="shared" si="0"/>
        <v>136.00000000000003</v>
      </c>
      <c r="N26" s="14" t="s">
        <v>59</v>
      </c>
    </row>
    <row r="27" spans="2:14" ht="22.5" customHeight="1" x14ac:dyDescent="0.25">
      <c r="B27" s="10">
        <v>23</v>
      </c>
      <c r="C27" s="9" t="s">
        <v>32</v>
      </c>
      <c r="D27" s="34">
        <v>1.39</v>
      </c>
      <c r="E27" s="35">
        <v>1.61</v>
      </c>
      <c r="F27" s="35">
        <v>1.39</v>
      </c>
      <c r="G27" s="35">
        <v>1.43</v>
      </c>
      <c r="H27" s="35">
        <v>1.45</v>
      </c>
      <c r="I27" s="36">
        <v>1.73</v>
      </c>
      <c r="K27" s="15">
        <f t="shared" si="0"/>
        <v>19.31034482758621</v>
      </c>
      <c r="N27" s="17" t="s">
        <v>60</v>
      </c>
    </row>
    <row r="28" spans="2:14" ht="22.5" customHeight="1" x14ac:dyDescent="0.25">
      <c r="B28" s="10">
        <v>24</v>
      </c>
      <c r="C28" s="9" t="s">
        <v>33</v>
      </c>
      <c r="D28" s="34">
        <v>1.88</v>
      </c>
      <c r="E28" s="35">
        <v>1.69</v>
      </c>
      <c r="F28" s="35">
        <v>1.58</v>
      </c>
      <c r="G28" s="35">
        <v>1.67</v>
      </c>
      <c r="H28" s="35">
        <v>1.56</v>
      </c>
      <c r="I28" s="36">
        <v>1.6</v>
      </c>
      <c r="K28" s="15">
        <f t="shared" si="0"/>
        <v>2.5641025641025661</v>
      </c>
      <c r="N28" s="17" t="s">
        <v>61</v>
      </c>
    </row>
    <row r="29" spans="2:14" ht="22.5" customHeight="1" x14ac:dyDescent="0.25">
      <c r="B29" s="10">
        <v>25</v>
      </c>
      <c r="C29" s="9" t="s">
        <v>34</v>
      </c>
      <c r="D29" s="37">
        <v>1.02</v>
      </c>
      <c r="E29" s="38">
        <v>1.4</v>
      </c>
      <c r="F29" s="38">
        <v>1.37</v>
      </c>
      <c r="G29" s="38">
        <v>1.2</v>
      </c>
      <c r="H29" s="38">
        <v>1.18</v>
      </c>
      <c r="I29" s="39">
        <v>1.27</v>
      </c>
      <c r="K29" s="15">
        <f t="shared" si="0"/>
        <v>7.6271186440678029</v>
      </c>
      <c r="N29" s="17" t="s">
        <v>62</v>
      </c>
    </row>
    <row r="30" spans="2:14" ht="16.5" thickBot="1" x14ac:dyDescent="0.3">
      <c r="B30" s="11">
        <v>26</v>
      </c>
      <c r="C30" s="12" t="s">
        <v>35</v>
      </c>
      <c r="D30" s="40"/>
      <c r="E30" s="41"/>
      <c r="F30" s="41"/>
      <c r="G30" s="41"/>
      <c r="H30" s="41"/>
      <c r="I30" s="42"/>
      <c r="K30" s="15"/>
      <c r="N30" s="17" t="s">
        <v>63</v>
      </c>
    </row>
    <row r="31" spans="2:14" ht="15.75" x14ac:dyDescent="0.25">
      <c r="B31" s="18"/>
      <c r="C31" s="19"/>
      <c r="D31" s="20"/>
      <c r="E31" s="21"/>
      <c r="F31" s="20"/>
      <c r="G31" s="21"/>
      <c r="H31" s="20"/>
      <c r="I31" s="21"/>
      <c r="K31" s="15"/>
      <c r="N31" s="17"/>
    </row>
    <row r="32" spans="2:14" ht="21" customHeight="1" x14ac:dyDescent="0.25">
      <c r="B32" s="22" t="s">
        <v>66</v>
      </c>
    </row>
    <row r="37" spans="3:10" ht="15" customHeight="1" x14ac:dyDescent="0.25">
      <c r="C37" s="3"/>
      <c r="D37" s="3"/>
      <c r="E37" s="3"/>
      <c r="F37" s="3"/>
      <c r="G37" s="3"/>
      <c r="H37" s="3"/>
      <c r="I37" s="3"/>
      <c r="J37" s="43"/>
    </row>
    <row r="38" spans="3:10" x14ac:dyDescent="0.25">
      <c r="C38" s="2"/>
      <c r="D38" s="2"/>
      <c r="E38" s="2"/>
      <c r="F38" s="2"/>
      <c r="G38" s="2"/>
      <c r="H38" s="2"/>
      <c r="I38" s="2"/>
    </row>
  </sheetData>
  <mergeCells count="4">
    <mergeCell ref="B2:I2"/>
    <mergeCell ref="B3:B4"/>
    <mergeCell ref="C3:C4"/>
    <mergeCell ref="D3:I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2.14.Tablo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2022-09-23T07:30:06Z</dcterms:modified>
</cp:coreProperties>
</file>