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3170" yWindow="210" windowWidth="14805" windowHeight="10860"/>
  </bookViews>
  <sheets>
    <sheet name="3.6.Tablo" sheetId="1" r:id="rId1"/>
    <sheet name="3.6. Grafikler" sheetId="2" r:id="rId2"/>
  </sheets>
  <definedNames>
    <definedName name="_xlnm.Print_Area" localSheetId="1">'3.6. Grafikler'!$B$2:$T$79</definedName>
    <definedName name="_xlnm.Print_Area" localSheetId="0">'3.6.Tablo'!$G$1:$U$112</definedName>
  </definedNames>
  <calcPr calcId="145621"/>
</workbook>
</file>

<file path=xl/calcChain.xml><?xml version="1.0" encoding="utf-8"?>
<calcChain xmlns="http://schemas.openxmlformats.org/spreadsheetml/2006/main">
  <c r="O31" i="1" l="1"/>
  <c r="N31" i="1"/>
  <c r="M31" i="1"/>
  <c r="L31" i="1"/>
  <c r="K31" i="1"/>
  <c r="J31" i="1"/>
</calcChain>
</file>

<file path=xl/sharedStrings.xml><?xml version="1.0" encoding="utf-8"?>
<sst xmlns="http://schemas.openxmlformats.org/spreadsheetml/2006/main" count="63" uniqueCount="58">
  <si>
    <t>Kuyu (adet)</t>
  </si>
  <si>
    <t>Sulama Alanı (ha)</t>
  </si>
  <si>
    <t>1.Bölge Müdürlüğü</t>
  </si>
  <si>
    <t>2. Bölge Müdürlüğü</t>
  </si>
  <si>
    <t>3. Bölge Müdürlüğü</t>
  </si>
  <si>
    <t>4. Bölge Müdürlüğü</t>
  </si>
  <si>
    <t>5. Bölge Müdürlüğü</t>
  </si>
  <si>
    <t>6. Bölge Müdürlüğü</t>
  </si>
  <si>
    <t>7. Bölge Müdürlüğü</t>
  </si>
  <si>
    <t>8. Bölge Müdürlüğü</t>
  </si>
  <si>
    <t>9. Bölge Müdürlüğü</t>
  </si>
  <si>
    <t>10. Bölge Müdürlüğü</t>
  </si>
  <si>
    <t>11. Bölge Müdürlüğü</t>
  </si>
  <si>
    <t>12. Bölge Müdürlüğü</t>
  </si>
  <si>
    <t>13. Bölge Müdürlüğü</t>
  </si>
  <si>
    <t>14. Bölge Müdürlüğü</t>
  </si>
  <si>
    <t>15. Bölge Müdürlüğü</t>
  </si>
  <si>
    <t>16. Bölge Müdürlüğü</t>
  </si>
  <si>
    <t>17. Bölge Müdürlüğü</t>
  </si>
  <si>
    <t>18. Bölge Müdürlüğü</t>
  </si>
  <si>
    <t>19. Bölge Müdürlüğü</t>
  </si>
  <si>
    <t>20. Bölge Müdürlüğü</t>
  </si>
  <si>
    <t>21. Bölge Müdürlüğü</t>
  </si>
  <si>
    <t>22. Bölge Müdürlüğü</t>
  </si>
  <si>
    <t>Bölge Adı</t>
  </si>
  <si>
    <t>TOPLAM</t>
  </si>
  <si>
    <t>Havza No</t>
  </si>
  <si>
    <t>Havzası</t>
  </si>
  <si>
    <t>3.6.Yeraltısuyu Sulama Kooperatiflerince İşletilen Sulamalar, 2013</t>
  </si>
  <si>
    <t>Kooperatif Sayısı (adet)</t>
  </si>
  <si>
    <t>Sulama Alanı
 (ha)</t>
  </si>
  <si>
    <t>3.6.Yeraltısuyu Sulama Kooperatiflerince İşletilen Sulamalar, 2013-2014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</si>
  <si>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</si>
  <si>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</si>
  <si>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</si>
  <si>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</si>
  <si>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</si>
  <si>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</si>
  <si>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</si>
  <si>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</si>
  <si>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</si>
  <si>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</si>
  <si>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</si>
  <si>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</si>
  <si>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</si>
  <si>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</si>
  <si>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</si>
  <si>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</si>
  <si>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</si>
  <si>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</si>
  <si>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</si>
  <si>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</si>
  <si>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</si>
  <si>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</si>
  <si>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</si>
  <si>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</si>
  <si>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</si>
  <si>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t>Meriç Ergene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</si>
</sst>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sz val="11"/>
      <color theme="0"/>
      <name val="Calibri"/>
      <family val="2"/>
      <charset val="162"/>
      <scheme val="minor"/>
    </font>
    <font>
      <b/>
      <sz val="12"/>
      <color rgb="FF00B050"/>
      <name val="Times New Roman"/>
      <family val="1"/>
      <charset val="162"/>
    </font>
    <font>
      <b/>
      <sz val="11"/>
      <color theme="0"/>
      <name val="Times New Roman"/>
      <family val="1"/>
      <charset val="162"/>
    </font>
    <font>
      <sz val="10"/>
      <name val="Arial"/>
      <family val="2"/>
      <charset val="162"/>
    </font>
    <font>
      <b/>
      <sz val="12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right"/>
    </xf>
    <xf numFmtId="0" fontId="4" fillId="3" borderId="17" xfId="0" applyFont="1" applyFill="1" applyBorder="1" applyAlignment="1">
      <alignment horizontal="right"/>
    </xf>
    <xf numFmtId="0" fontId="7" fillId="5" borderId="3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vertical="center"/>
    </xf>
    <xf numFmtId="0" fontId="7" fillId="5" borderId="3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7" fillId="5" borderId="37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vertical="center"/>
    </xf>
    <xf numFmtId="0" fontId="9" fillId="4" borderId="2" xfId="0" applyFont="1" applyFill="1" applyBorder="1"/>
    <xf numFmtId="3" fontId="9" fillId="4" borderId="26" xfId="1" applyNumberFormat="1" applyFont="1" applyFill="1" applyBorder="1"/>
    <xf numFmtId="3" fontId="9" fillId="4" borderId="19" xfId="1" applyNumberFormat="1" applyFont="1" applyFill="1" applyBorder="1"/>
    <xf numFmtId="3" fontId="9" fillId="4" borderId="27" xfId="1" applyNumberFormat="1" applyFont="1" applyFill="1" applyBorder="1"/>
    <xf numFmtId="3" fontId="9" fillId="4" borderId="18" xfId="1" applyNumberFormat="1" applyFont="1" applyFill="1" applyBorder="1"/>
    <xf numFmtId="3" fontId="9" fillId="4" borderId="20" xfId="1" applyNumberFormat="1" applyFont="1" applyFill="1" applyBorder="1"/>
    <xf numFmtId="3" fontId="9" fillId="4" borderId="2" xfId="1" applyNumberFormat="1" applyFont="1" applyFill="1" applyBorder="1"/>
    <xf numFmtId="3" fontId="9" fillId="4" borderId="1" xfId="1" applyNumberFormat="1" applyFont="1" applyFill="1" applyBorder="1"/>
    <xf numFmtId="3" fontId="9" fillId="4" borderId="24" xfId="1" applyNumberFormat="1" applyFont="1" applyFill="1" applyBorder="1"/>
    <xf numFmtId="3" fontId="9" fillId="4" borderId="13" xfId="1" applyNumberFormat="1" applyFont="1" applyFill="1" applyBorder="1"/>
    <xf numFmtId="3" fontId="9" fillId="4" borderId="14" xfId="1" applyNumberFormat="1" applyFont="1" applyFill="1" applyBorder="1"/>
    <xf numFmtId="3" fontId="9" fillId="4" borderId="30" xfId="1" applyNumberFormat="1" applyFont="1" applyFill="1" applyBorder="1"/>
    <xf numFmtId="3" fontId="9" fillId="4" borderId="31" xfId="1" applyNumberFormat="1" applyFont="1" applyFill="1" applyBorder="1"/>
    <xf numFmtId="3" fontId="9" fillId="4" borderId="32" xfId="1" applyNumberFormat="1" applyFont="1" applyFill="1" applyBorder="1"/>
    <xf numFmtId="3" fontId="9" fillId="4" borderId="28" xfId="1" applyNumberFormat="1" applyFont="1" applyFill="1" applyBorder="1"/>
    <xf numFmtId="3" fontId="9" fillId="4" borderId="29" xfId="1" applyNumberFormat="1" applyFont="1" applyFill="1" applyBorder="1"/>
    <xf numFmtId="3" fontId="6" fillId="4" borderId="33" xfId="1" applyNumberFormat="1" applyFont="1" applyFill="1" applyBorder="1"/>
    <xf numFmtId="3" fontId="6" fillId="4" borderId="7" xfId="1" applyNumberFormat="1" applyFont="1" applyFill="1" applyBorder="1"/>
    <xf numFmtId="3" fontId="6" fillId="4" borderId="34" xfId="1" applyNumberFormat="1" applyFont="1" applyFill="1" applyBorder="1"/>
    <xf numFmtId="3" fontId="6" fillId="4" borderId="6" xfId="1" applyNumberFormat="1" applyFont="1" applyFill="1" applyBorder="1"/>
    <xf numFmtId="3" fontId="6" fillId="4" borderId="8" xfId="1" applyNumberFormat="1" applyFont="1" applyFill="1" applyBorder="1"/>
    <xf numFmtId="0" fontId="6" fillId="4" borderId="3" xfId="1" applyFont="1" applyFill="1" applyBorder="1" applyAlignment="1">
      <alignment horizontal="right"/>
    </xf>
    <xf numFmtId="0" fontId="6" fillId="4" borderId="5" xfId="1" applyFont="1" applyFill="1" applyBorder="1" applyAlignment="1">
      <alignment horizontal="right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4" borderId="9" xfId="1" applyFont="1" applyFill="1" applyBorder="1" applyAlignment="1" applyProtection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4" borderId="21" xfId="1" applyFont="1" applyFill="1" applyBorder="1" applyAlignment="1">
      <alignment horizontal="center" vertical="center" wrapText="1"/>
    </xf>
    <xf numFmtId="0" fontId="6" fillId="4" borderId="12" xfId="1" applyFont="1" applyFill="1" applyBorder="1" applyAlignment="1" applyProtection="1">
      <alignment horizontal="center" vertical="center"/>
    </xf>
    <xf numFmtId="0" fontId="6" fillId="4" borderId="14" xfId="1" applyFont="1" applyFill="1" applyBorder="1" applyAlignment="1" applyProtection="1">
      <alignment horizontal="center" vertical="center"/>
    </xf>
    <xf numFmtId="0" fontId="6" fillId="4" borderId="17" xfId="1" applyFont="1" applyFill="1" applyBorder="1" applyAlignment="1" applyProtection="1">
      <alignment horizontal="center" vertical="center"/>
    </xf>
    <xf numFmtId="1" fontId="6" fillId="4" borderId="10" xfId="1" applyNumberFormat="1" applyFont="1" applyFill="1" applyBorder="1" applyAlignment="1" applyProtection="1">
      <alignment horizontal="center" vertical="center"/>
    </xf>
    <xf numFmtId="1" fontId="6" fillId="4" borderId="11" xfId="1" applyNumberFormat="1" applyFont="1" applyFill="1" applyBorder="1" applyAlignment="1" applyProtection="1">
      <alignment horizontal="center" vertical="center"/>
    </xf>
    <xf numFmtId="1" fontId="6" fillId="4" borderId="23" xfId="1" applyNumberFormat="1" applyFont="1" applyFill="1" applyBorder="1" applyAlignment="1" applyProtection="1">
      <alignment horizontal="center" vertical="center"/>
    </xf>
    <xf numFmtId="1" fontId="6" fillId="4" borderId="9" xfId="1" applyNumberFormat="1" applyFont="1" applyFill="1" applyBorder="1" applyAlignment="1" applyProtection="1">
      <alignment horizontal="center" vertical="center"/>
    </xf>
    <xf numFmtId="1" fontId="6" fillId="4" borderId="12" xfId="1" applyNumberFormat="1" applyFont="1" applyFill="1" applyBorder="1" applyAlignment="1" applyProtection="1">
      <alignment horizontal="center" vertical="center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37" fontId="6" fillId="4" borderId="1" xfId="1" applyNumberFormat="1" applyFont="1" applyFill="1" applyBorder="1" applyAlignment="1" applyProtection="1">
      <alignment horizontal="center" vertical="center" wrapText="1"/>
    </xf>
    <xf numFmtId="0" fontId="6" fillId="4" borderId="16" xfId="1" applyFont="1" applyFill="1" applyBorder="1" applyAlignment="1">
      <alignment horizontal="center" vertical="center" wrapText="1"/>
    </xf>
    <xf numFmtId="37" fontId="6" fillId="4" borderId="24" xfId="1" applyNumberFormat="1" applyFont="1" applyFill="1" applyBorder="1" applyAlignment="1" applyProtection="1">
      <alignment horizontal="center" vertical="center" wrapText="1"/>
    </xf>
    <xf numFmtId="0" fontId="6" fillId="4" borderId="25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 applyProtection="1">
      <alignment horizontal="center" vertical="center" wrapText="1"/>
    </xf>
    <xf numFmtId="37" fontId="6" fillId="4" borderId="14" xfId="1" applyNumberFormat="1" applyFont="1" applyFill="1" applyBorder="1" applyAlignment="1" applyProtection="1">
      <alignment horizontal="center" vertical="center" wrapText="1"/>
    </xf>
    <xf numFmtId="0" fontId="6" fillId="4" borderId="17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3.6.</a:t>
            </a:r>
            <a:r>
              <a:rPr lang="en-US"/>
              <a:t>DSİ </a:t>
            </a:r>
            <a:r>
              <a:rPr lang="tr-TR"/>
              <a:t>Havza</a:t>
            </a:r>
            <a:r>
              <a:rPr lang="tr-TR" baseline="0"/>
              <a:t> Bazında</a:t>
            </a:r>
            <a:r>
              <a:rPr lang="en-US"/>
              <a:t> Yeraltısuyu Sulama</a:t>
            </a:r>
            <a:r>
              <a:rPr lang="tr-TR"/>
              <a:t> </a:t>
            </a:r>
            <a:r>
              <a:rPr lang="en-US"/>
              <a:t>Kooperatif Sayısı</a:t>
            </a:r>
            <a:r>
              <a:rPr lang="tr-TR"/>
              <a:t> (adet), 2013-2014</a:t>
            </a:r>
            <a:endParaRPr lang="en-US"/>
          </a:p>
        </c:rich>
      </c:tx>
      <c:layout>
        <c:manualLayout>
          <c:xMode val="edge"/>
          <c:yMode val="edge"/>
          <c:x val="0.11782590728176007"/>
          <c:y val="1.4640523277663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161394001685042E-2"/>
          <c:y val="0.18053648103302916"/>
          <c:w val="0.93908896024868393"/>
          <c:h val="0.56960685007412482"/>
        </c:manualLayout>
      </c:layout>
      <c:barChart>
        <c:barDir val="col"/>
        <c:grouping val="clustered"/>
        <c:varyColors val="0"/>
        <c:ser>
          <c:idx val="0"/>
          <c:order val="0"/>
          <c:tx>
            <c:v>2013 Yılı Yeraltısuyu Sulama Kooperatifi Sayısı</c:v>
          </c:tx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'3.6.Tablo'!$L$6:$L$30</c:f>
              <c:numCache>
                <c:formatCode>#,##0</c:formatCode>
                <c:ptCount val="25"/>
                <c:pt idx="0">
                  <c:v>65</c:v>
                </c:pt>
                <c:pt idx="1">
                  <c:v>12</c:v>
                </c:pt>
                <c:pt idx="2">
                  <c:v>28</c:v>
                </c:pt>
                <c:pt idx="3">
                  <c:v>16</c:v>
                </c:pt>
                <c:pt idx="4">
                  <c:v>44</c:v>
                </c:pt>
                <c:pt idx="5">
                  <c:v>39</c:v>
                </c:pt>
                <c:pt idx="6">
                  <c:v>95</c:v>
                </c:pt>
                <c:pt idx="7">
                  <c:v>53</c:v>
                </c:pt>
                <c:pt idx="8">
                  <c:v>42</c:v>
                </c:pt>
                <c:pt idx="9">
                  <c:v>98</c:v>
                </c:pt>
                <c:pt idx="10">
                  <c:v>120</c:v>
                </c:pt>
                <c:pt idx="11">
                  <c:v>216</c:v>
                </c:pt>
                <c:pt idx="12">
                  <c:v>2</c:v>
                </c:pt>
                <c:pt idx="13">
                  <c:v>92</c:v>
                </c:pt>
                <c:pt idx="14">
                  <c:v>122</c:v>
                </c:pt>
                <c:pt idx="15">
                  <c:v>268</c:v>
                </c:pt>
                <c:pt idx="16">
                  <c:v>5</c:v>
                </c:pt>
                <c:pt idx="17">
                  <c:v>8</c:v>
                </c:pt>
                <c:pt idx="18">
                  <c:v>21</c:v>
                </c:pt>
                <c:pt idx="19">
                  <c:v>17</c:v>
                </c:pt>
                <c:pt idx="20">
                  <c:v>51</c:v>
                </c:pt>
                <c:pt idx="22">
                  <c:v>1</c:v>
                </c:pt>
                <c:pt idx="23">
                  <c:v>8</c:v>
                </c:pt>
                <c:pt idx="24">
                  <c:v>3</c:v>
                </c:pt>
              </c:numCache>
            </c:numRef>
          </c:val>
        </c:ser>
        <c:ser>
          <c:idx val="1"/>
          <c:order val="1"/>
          <c:tx>
            <c:v>2014 Yılı Yeraltısuyu Sulama Kooperatifi Sayısı</c:v>
          </c:tx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'3.6.Tablo'!$O$6:$O$30</c:f>
              <c:numCache>
                <c:formatCode>#,##0</c:formatCode>
                <c:ptCount val="25"/>
                <c:pt idx="0">
                  <c:v>73</c:v>
                </c:pt>
                <c:pt idx="1">
                  <c:v>12</c:v>
                </c:pt>
                <c:pt idx="2">
                  <c:v>28</c:v>
                </c:pt>
                <c:pt idx="3">
                  <c:v>16</c:v>
                </c:pt>
                <c:pt idx="4">
                  <c:v>45</c:v>
                </c:pt>
                <c:pt idx="5">
                  <c:v>39</c:v>
                </c:pt>
                <c:pt idx="6">
                  <c:v>96</c:v>
                </c:pt>
                <c:pt idx="7">
                  <c:v>53</c:v>
                </c:pt>
                <c:pt idx="8">
                  <c:v>46</c:v>
                </c:pt>
                <c:pt idx="9">
                  <c:v>94</c:v>
                </c:pt>
                <c:pt idx="10">
                  <c:v>120</c:v>
                </c:pt>
                <c:pt idx="11">
                  <c:v>219</c:v>
                </c:pt>
                <c:pt idx="12">
                  <c:v>2</c:v>
                </c:pt>
                <c:pt idx="13">
                  <c:v>87</c:v>
                </c:pt>
                <c:pt idx="14">
                  <c:v>121</c:v>
                </c:pt>
                <c:pt idx="15">
                  <c:v>268</c:v>
                </c:pt>
                <c:pt idx="16">
                  <c:v>5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59</c:v>
                </c:pt>
                <c:pt idx="22">
                  <c:v>1</c:v>
                </c:pt>
                <c:pt idx="23">
                  <c:v>9</c:v>
                </c:pt>
                <c:pt idx="2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overlap val="-23"/>
        <c:axId val="101666304"/>
        <c:axId val="64942016"/>
      </c:barChart>
      <c:catAx>
        <c:axId val="10166630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tr-TR"/>
          </a:p>
        </c:txPr>
        <c:crossAx val="64942016"/>
        <c:crosses val="autoZero"/>
        <c:auto val="0"/>
        <c:lblAlgn val="ctr"/>
        <c:lblOffset val="100"/>
        <c:noMultiLvlLbl val="0"/>
      </c:catAx>
      <c:valAx>
        <c:axId val="6494201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101666304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3459474116479764"/>
          <c:y val="0.10724183300888498"/>
          <c:w val="0.52713229564409825"/>
          <c:h val="4.67244927001653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tr-TR" sz="1600"/>
              <a:t>3.6.</a:t>
            </a:r>
            <a:r>
              <a:rPr lang="en-US" sz="1600"/>
              <a:t>DSİ </a:t>
            </a:r>
            <a:r>
              <a:rPr lang="tr-TR" sz="1600" b="1" i="0" u="none" strike="noStrike" baseline="0">
                <a:effectLst/>
              </a:rPr>
              <a:t>Havza Bazında</a:t>
            </a:r>
            <a:r>
              <a:rPr lang="en-US" sz="1600" b="1" i="0" u="none" strike="noStrike" baseline="0">
                <a:effectLst/>
              </a:rPr>
              <a:t> </a:t>
            </a:r>
            <a:r>
              <a:rPr lang="en-US" sz="1600"/>
              <a:t>Yeraltısuyu Sulama</a:t>
            </a:r>
            <a:r>
              <a:rPr lang="tr-TR" sz="1600"/>
              <a:t> Kooparatifi </a:t>
            </a:r>
            <a:r>
              <a:rPr lang="en-US" sz="1600"/>
              <a:t>K</a:t>
            </a:r>
            <a:r>
              <a:rPr lang="tr-TR" sz="1600"/>
              <a:t>uyu</a:t>
            </a:r>
            <a:r>
              <a:rPr lang="en-US" sz="1600"/>
              <a:t> Sayısı</a:t>
            </a:r>
            <a:r>
              <a:rPr lang="tr-TR" sz="1600"/>
              <a:t> (adet), 2013-2014</a:t>
            </a:r>
            <a:endParaRPr lang="en-US" sz="16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7452851265564123"/>
          <c:w val="0.93908896024868393"/>
          <c:h val="0.57096019398959208"/>
        </c:manualLayout>
      </c:layout>
      <c:barChart>
        <c:barDir val="col"/>
        <c:grouping val="clustered"/>
        <c:varyColors val="0"/>
        <c:ser>
          <c:idx val="0"/>
          <c:order val="0"/>
          <c:tx>
            <c:v>2013 Yılı Yeraltısuyu Sulama Kuyu Sayısı</c:v>
          </c:tx>
          <c:invertIfNegative val="0"/>
          <c:dLbls>
            <c:numFmt formatCode="#,##0" sourceLinked="0"/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'3.6.Tablo'!$J$6:$J$30</c:f>
              <c:numCache>
                <c:formatCode>#,##0</c:formatCode>
                <c:ptCount val="25"/>
                <c:pt idx="0">
                  <c:v>501</c:v>
                </c:pt>
                <c:pt idx="1">
                  <c:v>59</c:v>
                </c:pt>
                <c:pt idx="2">
                  <c:v>182</c:v>
                </c:pt>
                <c:pt idx="3">
                  <c:v>197</c:v>
                </c:pt>
                <c:pt idx="4">
                  <c:v>314</c:v>
                </c:pt>
                <c:pt idx="5">
                  <c:v>251</c:v>
                </c:pt>
                <c:pt idx="6">
                  <c:v>536</c:v>
                </c:pt>
                <c:pt idx="7">
                  <c:v>321</c:v>
                </c:pt>
                <c:pt idx="8">
                  <c:v>233</c:v>
                </c:pt>
                <c:pt idx="9">
                  <c:v>525</c:v>
                </c:pt>
                <c:pt idx="10">
                  <c:v>856</c:v>
                </c:pt>
                <c:pt idx="11">
                  <c:v>1415</c:v>
                </c:pt>
                <c:pt idx="12">
                  <c:v>6</c:v>
                </c:pt>
                <c:pt idx="13">
                  <c:v>439</c:v>
                </c:pt>
                <c:pt idx="14">
                  <c:v>751</c:v>
                </c:pt>
                <c:pt idx="15">
                  <c:v>3958</c:v>
                </c:pt>
                <c:pt idx="16">
                  <c:v>14</c:v>
                </c:pt>
                <c:pt idx="17">
                  <c:v>47</c:v>
                </c:pt>
                <c:pt idx="18">
                  <c:v>421</c:v>
                </c:pt>
                <c:pt idx="19">
                  <c:v>178</c:v>
                </c:pt>
                <c:pt idx="20">
                  <c:v>283</c:v>
                </c:pt>
                <c:pt idx="22">
                  <c:v>17</c:v>
                </c:pt>
                <c:pt idx="23">
                  <c:v>177</c:v>
                </c:pt>
                <c:pt idx="24">
                  <c:v>19</c:v>
                </c:pt>
              </c:numCache>
            </c:numRef>
          </c:val>
        </c:ser>
        <c:ser>
          <c:idx val="1"/>
          <c:order val="1"/>
          <c:tx>
            <c:v>2014 Yılı Yeraltısuyu Sulama Kuyu Sayısı</c:v>
          </c:tx>
          <c:invertIfNegative val="0"/>
          <c:dLbls>
            <c:numFmt formatCode="#,##0" sourceLinked="0"/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'3.6.Tablo'!$M$6:$M$30</c:f>
              <c:numCache>
                <c:formatCode>#,##0</c:formatCode>
                <c:ptCount val="25"/>
                <c:pt idx="0">
                  <c:v>540</c:v>
                </c:pt>
                <c:pt idx="1">
                  <c:v>77</c:v>
                </c:pt>
                <c:pt idx="2">
                  <c:v>182</c:v>
                </c:pt>
                <c:pt idx="3">
                  <c:v>189</c:v>
                </c:pt>
                <c:pt idx="4">
                  <c:v>312</c:v>
                </c:pt>
                <c:pt idx="5">
                  <c:v>240</c:v>
                </c:pt>
                <c:pt idx="6">
                  <c:v>562</c:v>
                </c:pt>
                <c:pt idx="7">
                  <c:v>320</c:v>
                </c:pt>
                <c:pt idx="8">
                  <c:v>236</c:v>
                </c:pt>
                <c:pt idx="9">
                  <c:v>504</c:v>
                </c:pt>
                <c:pt idx="10">
                  <c:v>870</c:v>
                </c:pt>
                <c:pt idx="11">
                  <c:v>1441</c:v>
                </c:pt>
                <c:pt idx="12">
                  <c:v>6</c:v>
                </c:pt>
                <c:pt idx="13">
                  <c:v>358</c:v>
                </c:pt>
                <c:pt idx="14">
                  <c:v>751</c:v>
                </c:pt>
                <c:pt idx="15">
                  <c:v>3958</c:v>
                </c:pt>
                <c:pt idx="16">
                  <c:v>14</c:v>
                </c:pt>
                <c:pt idx="17">
                  <c:v>50</c:v>
                </c:pt>
                <c:pt idx="18">
                  <c:v>450</c:v>
                </c:pt>
                <c:pt idx="19">
                  <c:v>186</c:v>
                </c:pt>
                <c:pt idx="20">
                  <c:v>325</c:v>
                </c:pt>
                <c:pt idx="22">
                  <c:v>17</c:v>
                </c:pt>
                <c:pt idx="23">
                  <c:v>182</c:v>
                </c:pt>
                <c:pt idx="24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21"/>
        <c:axId val="110994432"/>
        <c:axId val="64944320"/>
      </c:barChart>
      <c:catAx>
        <c:axId val="11099443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64944320"/>
        <c:crosses val="autoZero"/>
        <c:auto val="0"/>
        <c:lblAlgn val="ctr"/>
        <c:lblOffset val="100"/>
        <c:noMultiLvlLbl val="0"/>
      </c:catAx>
      <c:valAx>
        <c:axId val="6494432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11099443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1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4086794137658582"/>
          <c:y val="9.5584775086505189E-2"/>
          <c:w val="0.53058596424318205"/>
          <c:h val="5.3413617415470127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700"/>
            </a:pPr>
            <a:r>
              <a:rPr lang="tr-TR" sz="1700"/>
              <a:t>3.6.</a:t>
            </a:r>
            <a:r>
              <a:rPr lang="en-US" sz="1700"/>
              <a:t>DSİ </a:t>
            </a:r>
            <a:r>
              <a:rPr lang="tr-TR" sz="1700" b="1" i="0" u="none" strike="noStrike" baseline="0">
                <a:effectLst/>
              </a:rPr>
              <a:t>Havza Bazında</a:t>
            </a:r>
            <a:r>
              <a:rPr lang="en-US" sz="1700" b="1" i="0" u="none" strike="noStrike" baseline="0">
                <a:effectLst/>
              </a:rPr>
              <a:t> </a:t>
            </a:r>
            <a:r>
              <a:rPr lang="en-US" sz="1700"/>
              <a:t>Yeraltısuyu Sulama</a:t>
            </a:r>
            <a:r>
              <a:rPr lang="tr-TR" sz="1700"/>
              <a:t> </a:t>
            </a:r>
            <a:r>
              <a:rPr lang="tr-TR" sz="1700" b="1" i="0" u="none" strike="noStrike" baseline="0">
                <a:effectLst/>
              </a:rPr>
              <a:t>Kooparatifi Sulama</a:t>
            </a:r>
            <a:r>
              <a:rPr lang="tr-TR" sz="1700"/>
              <a:t> Alanı (ha), 2013-2014</a:t>
            </a:r>
            <a:endParaRPr lang="en-US" sz="17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4684685175598727"/>
          <c:w val="0.93908896024868393"/>
          <c:h val="0.59864185488924615"/>
        </c:manualLayout>
      </c:layout>
      <c:barChart>
        <c:barDir val="col"/>
        <c:grouping val="clustered"/>
        <c:varyColors val="0"/>
        <c:ser>
          <c:idx val="0"/>
          <c:order val="0"/>
          <c:tx>
            <c:v>2013 Yılı Yeraltısuyu Sulama Alanı</c:v>
          </c:tx>
          <c:invertIfNegative val="0"/>
          <c:dLbls>
            <c:dLbl>
              <c:idx val="15"/>
              <c:layout>
                <c:manualLayout>
                  <c:x val="8.1395747633281627E-17"/>
                  <c:y val="0.11626297577854673"/>
                </c:manualLayout>
              </c:layout>
              <c:spPr/>
              <c:txPr>
                <a:bodyPr rot="-5400000" vert="horz"/>
                <a:lstStyle/>
                <a:p>
                  <a:pPr>
                    <a:defRPr sz="1000" b="1">
                      <a:solidFill>
                        <a:schemeClr val="bg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 rot="-5400000" vert="horz"/>
              <a:lstStyle/>
              <a:p>
                <a:pPr>
                  <a:defRPr sz="10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'3.6.Tablo'!$K$6:$K$30</c:f>
              <c:numCache>
                <c:formatCode>#,##0</c:formatCode>
                <c:ptCount val="25"/>
                <c:pt idx="0">
                  <c:v>20060</c:v>
                </c:pt>
                <c:pt idx="1">
                  <c:v>2092</c:v>
                </c:pt>
                <c:pt idx="2">
                  <c:v>6848</c:v>
                </c:pt>
                <c:pt idx="3">
                  <c:v>7582</c:v>
                </c:pt>
                <c:pt idx="4">
                  <c:v>10871</c:v>
                </c:pt>
                <c:pt idx="5">
                  <c:v>8324</c:v>
                </c:pt>
                <c:pt idx="6">
                  <c:v>21791</c:v>
                </c:pt>
                <c:pt idx="7">
                  <c:v>14252</c:v>
                </c:pt>
                <c:pt idx="8">
                  <c:v>8396</c:v>
                </c:pt>
                <c:pt idx="9">
                  <c:v>19057</c:v>
                </c:pt>
                <c:pt idx="10">
                  <c:v>29614</c:v>
                </c:pt>
                <c:pt idx="11">
                  <c:v>54844</c:v>
                </c:pt>
                <c:pt idx="12">
                  <c:v>242</c:v>
                </c:pt>
                <c:pt idx="13">
                  <c:v>20404</c:v>
                </c:pt>
                <c:pt idx="14">
                  <c:v>30894</c:v>
                </c:pt>
                <c:pt idx="15">
                  <c:v>176724</c:v>
                </c:pt>
                <c:pt idx="16">
                  <c:v>467</c:v>
                </c:pt>
                <c:pt idx="17">
                  <c:v>1842</c:v>
                </c:pt>
                <c:pt idx="18">
                  <c:v>17175</c:v>
                </c:pt>
                <c:pt idx="19">
                  <c:v>7655</c:v>
                </c:pt>
                <c:pt idx="20">
                  <c:v>11341</c:v>
                </c:pt>
                <c:pt idx="22">
                  <c:v>625</c:v>
                </c:pt>
                <c:pt idx="23">
                  <c:v>10595</c:v>
                </c:pt>
                <c:pt idx="24">
                  <c:v>580</c:v>
                </c:pt>
              </c:numCache>
            </c:numRef>
          </c:val>
        </c:ser>
        <c:ser>
          <c:idx val="1"/>
          <c:order val="1"/>
          <c:tx>
            <c:v>2014 Yılı Yeraltısuyu Sulama Alanı</c:v>
          </c:tx>
          <c:invertIfNegative val="0"/>
          <c:dLbls>
            <c:dLbl>
              <c:idx val="15"/>
              <c:layout>
                <c:manualLayout>
                  <c:x val="-8.1395747633281627E-17"/>
                  <c:y val="0.11349480968858129"/>
                </c:manualLayout>
              </c:layout>
              <c:spPr/>
              <c:txPr>
                <a:bodyPr rot="-5400000" vert="horz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 rot="-5400000" vert="horz"/>
              <a:lstStyle/>
              <a:p>
                <a:pPr>
                  <a:defRPr sz="10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'3.6.Tablo'!$N$6:$N$30</c:f>
              <c:numCache>
                <c:formatCode>#,##0</c:formatCode>
                <c:ptCount val="25"/>
                <c:pt idx="0">
                  <c:v>22404</c:v>
                </c:pt>
                <c:pt idx="1">
                  <c:v>2726</c:v>
                </c:pt>
                <c:pt idx="2">
                  <c:v>6975</c:v>
                </c:pt>
                <c:pt idx="3">
                  <c:v>7632</c:v>
                </c:pt>
                <c:pt idx="4">
                  <c:v>11582</c:v>
                </c:pt>
                <c:pt idx="5">
                  <c:v>8324</c:v>
                </c:pt>
                <c:pt idx="6">
                  <c:v>22561</c:v>
                </c:pt>
                <c:pt idx="7">
                  <c:v>14252</c:v>
                </c:pt>
                <c:pt idx="8">
                  <c:v>8781</c:v>
                </c:pt>
                <c:pt idx="9">
                  <c:v>18750</c:v>
                </c:pt>
                <c:pt idx="10">
                  <c:v>31550</c:v>
                </c:pt>
                <c:pt idx="11">
                  <c:v>57097</c:v>
                </c:pt>
                <c:pt idx="12">
                  <c:v>242</c:v>
                </c:pt>
                <c:pt idx="13">
                  <c:v>18125</c:v>
                </c:pt>
                <c:pt idx="14">
                  <c:v>30724</c:v>
                </c:pt>
                <c:pt idx="15">
                  <c:v>176724</c:v>
                </c:pt>
                <c:pt idx="16">
                  <c:v>467</c:v>
                </c:pt>
                <c:pt idx="17">
                  <c:v>2062</c:v>
                </c:pt>
                <c:pt idx="18">
                  <c:v>18165</c:v>
                </c:pt>
                <c:pt idx="19">
                  <c:v>7609</c:v>
                </c:pt>
                <c:pt idx="20">
                  <c:v>12956</c:v>
                </c:pt>
                <c:pt idx="22">
                  <c:v>625</c:v>
                </c:pt>
                <c:pt idx="23">
                  <c:v>10602</c:v>
                </c:pt>
                <c:pt idx="24">
                  <c:v>580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overlap val="-27"/>
        <c:axId val="110993920"/>
        <c:axId val="111067712"/>
      </c:barChart>
      <c:catAx>
        <c:axId val="11099392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11067712"/>
        <c:crosses val="autoZero"/>
        <c:auto val="0"/>
        <c:lblAlgn val="ctr"/>
        <c:lblOffset val="100"/>
        <c:noMultiLvlLbl val="0"/>
      </c:catAx>
      <c:valAx>
        <c:axId val="11106771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1099392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0392390009812176"/>
          <c:y val="9.1280385799525923E-2"/>
          <c:w val="0.44367366579177603"/>
          <c:h val="5.3413617415470127E-2"/>
        </c:manualLayout>
      </c:layout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 sz="1100"/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3.6.</a:t>
            </a:r>
            <a:r>
              <a:rPr lang="en-US"/>
              <a:t>DSİ </a:t>
            </a:r>
            <a:r>
              <a:rPr lang="tr-TR" sz="1800" b="1" i="0" u="none" strike="noStrike" baseline="0">
                <a:effectLst/>
              </a:rPr>
              <a:t>Havza Bazında</a:t>
            </a:r>
            <a:r>
              <a:rPr lang="en-US" sz="1800" b="1" i="0" u="none" strike="noStrike" baseline="0">
                <a:effectLst/>
              </a:rPr>
              <a:t> </a:t>
            </a:r>
            <a:r>
              <a:rPr lang="en-US"/>
              <a:t>Yeraltısuyu Sulama</a:t>
            </a:r>
            <a:r>
              <a:rPr lang="tr-TR"/>
              <a:t> </a:t>
            </a:r>
            <a:r>
              <a:rPr lang="en-US"/>
              <a:t>Kooperatif Sayısı</a:t>
            </a:r>
            <a:r>
              <a:rPr lang="tr-TR"/>
              <a:t> (adet), 2013-2014</a:t>
            </a:r>
            <a:endParaRPr lang="en-US"/>
          </a:p>
        </c:rich>
      </c:tx>
      <c:layout>
        <c:manualLayout>
          <c:xMode val="edge"/>
          <c:yMode val="edge"/>
          <c:x val="0.11782590728176007"/>
          <c:y val="1.4640523277663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161394001685042E-2"/>
          <c:y val="0.18053648103302916"/>
          <c:w val="0.93908896024868393"/>
          <c:h val="0.56960685007412482"/>
        </c:manualLayout>
      </c:layout>
      <c:barChart>
        <c:barDir val="col"/>
        <c:grouping val="clustered"/>
        <c:varyColors val="0"/>
        <c:ser>
          <c:idx val="0"/>
          <c:order val="0"/>
          <c:tx>
            <c:v>2013 Yılı Yeraltısuyu Sulama Kooperatifi Sayısı</c:v>
          </c:tx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'3.6.Tablo'!$L$6:$L$30</c:f>
              <c:numCache>
                <c:formatCode>#,##0</c:formatCode>
                <c:ptCount val="25"/>
                <c:pt idx="0">
                  <c:v>65</c:v>
                </c:pt>
                <c:pt idx="1">
                  <c:v>12</c:v>
                </c:pt>
                <c:pt idx="2">
                  <c:v>28</c:v>
                </c:pt>
                <c:pt idx="3">
                  <c:v>16</c:v>
                </c:pt>
                <c:pt idx="4">
                  <c:v>44</c:v>
                </c:pt>
                <c:pt idx="5">
                  <c:v>39</c:v>
                </c:pt>
                <c:pt idx="6">
                  <c:v>95</c:v>
                </c:pt>
                <c:pt idx="7">
                  <c:v>53</c:v>
                </c:pt>
                <c:pt idx="8">
                  <c:v>42</c:v>
                </c:pt>
                <c:pt idx="9">
                  <c:v>98</c:v>
                </c:pt>
                <c:pt idx="10">
                  <c:v>120</c:v>
                </c:pt>
                <c:pt idx="11">
                  <c:v>216</c:v>
                </c:pt>
                <c:pt idx="12">
                  <c:v>2</c:v>
                </c:pt>
                <c:pt idx="13">
                  <c:v>92</c:v>
                </c:pt>
                <c:pt idx="14">
                  <c:v>122</c:v>
                </c:pt>
                <c:pt idx="15">
                  <c:v>268</c:v>
                </c:pt>
                <c:pt idx="16">
                  <c:v>5</c:v>
                </c:pt>
                <c:pt idx="17">
                  <c:v>8</c:v>
                </c:pt>
                <c:pt idx="18">
                  <c:v>21</c:v>
                </c:pt>
                <c:pt idx="19">
                  <c:v>17</c:v>
                </c:pt>
                <c:pt idx="20">
                  <c:v>51</c:v>
                </c:pt>
                <c:pt idx="22">
                  <c:v>1</c:v>
                </c:pt>
                <c:pt idx="23">
                  <c:v>8</c:v>
                </c:pt>
                <c:pt idx="24">
                  <c:v>3</c:v>
                </c:pt>
              </c:numCache>
            </c:numRef>
          </c:val>
        </c:ser>
        <c:ser>
          <c:idx val="1"/>
          <c:order val="1"/>
          <c:tx>
            <c:v>2014 Yılı Yeraltısuyu Sulama Kooperatifi Sayısı</c:v>
          </c:tx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'3.6.Tablo'!$O$6:$O$30</c:f>
              <c:numCache>
                <c:formatCode>#,##0</c:formatCode>
                <c:ptCount val="25"/>
                <c:pt idx="0">
                  <c:v>73</c:v>
                </c:pt>
                <c:pt idx="1">
                  <c:v>12</c:v>
                </c:pt>
                <c:pt idx="2">
                  <c:v>28</c:v>
                </c:pt>
                <c:pt idx="3">
                  <c:v>16</c:v>
                </c:pt>
                <c:pt idx="4">
                  <c:v>45</c:v>
                </c:pt>
                <c:pt idx="5">
                  <c:v>39</c:v>
                </c:pt>
                <c:pt idx="6">
                  <c:v>96</c:v>
                </c:pt>
                <c:pt idx="7">
                  <c:v>53</c:v>
                </c:pt>
                <c:pt idx="8">
                  <c:v>46</c:v>
                </c:pt>
                <c:pt idx="9">
                  <c:v>94</c:v>
                </c:pt>
                <c:pt idx="10">
                  <c:v>120</c:v>
                </c:pt>
                <c:pt idx="11">
                  <c:v>219</c:v>
                </c:pt>
                <c:pt idx="12">
                  <c:v>2</c:v>
                </c:pt>
                <c:pt idx="13">
                  <c:v>87</c:v>
                </c:pt>
                <c:pt idx="14">
                  <c:v>121</c:v>
                </c:pt>
                <c:pt idx="15">
                  <c:v>268</c:v>
                </c:pt>
                <c:pt idx="16">
                  <c:v>5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59</c:v>
                </c:pt>
                <c:pt idx="22">
                  <c:v>1</c:v>
                </c:pt>
                <c:pt idx="23">
                  <c:v>9</c:v>
                </c:pt>
                <c:pt idx="2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overlap val="-23"/>
        <c:axId val="110993408"/>
        <c:axId val="111070592"/>
      </c:barChart>
      <c:catAx>
        <c:axId val="11099340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tr-TR"/>
          </a:p>
        </c:txPr>
        <c:crossAx val="111070592"/>
        <c:crosses val="autoZero"/>
        <c:auto val="0"/>
        <c:lblAlgn val="ctr"/>
        <c:lblOffset val="100"/>
        <c:noMultiLvlLbl val="0"/>
      </c:catAx>
      <c:valAx>
        <c:axId val="11107059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11099340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3459474116479764"/>
          <c:y val="0.10724183300888498"/>
          <c:w val="0.52713229564409825"/>
          <c:h val="4.67244927001653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3.6.</a:t>
            </a:r>
            <a:r>
              <a:rPr lang="en-US"/>
              <a:t>DSİ </a:t>
            </a:r>
            <a:r>
              <a:rPr lang="tr-TR" sz="1800" b="1" i="0" u="none" strike="noStrike" baseline="0">
                <a:effectLst/>
              </a:rPr>
              <a:t>Havza Bazında</a:t>
            </a:r>
            <a:r>
              <a:rPr lang="en-US" sz="1800" b="1" i="0" u="none" strike="noStrike" baseline="0">
                <a:effectLst/>
              </a:rPr>
              <a:t> </a:t>
            </a:r>
            <a:r>
              <a:rPr lang="en-US"/>
              <a:t>Yeraltısuyu Sulama</a:t>
            </a:r>
            <a:r>
              <a:rPr lang="tr-TR"/>
              <a:t> </a:t>
            </a:r>
            <a:r>
              <a:rPr lang="en-US"/>
              <a:t>K</a:t>
            </a:r>
            <a:r>
              <a:rPr lang="tr-TR"/>
              <a:t>uyu</a:t>
            </a:r>
            <a:r>
              <a:rPr lang="en-US"/>
              <a:t> Sayısı</a:t>
            </a:r>
            <a:r>
              <a:rPr lang="tr-TR"/>
              <a:t> (adet), 2013-2014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7452851265564123"/>
          <c:w val="0.93908896024868393"/>
          <c:h val="0.57096019398959208"/>
        </c:manualLayout>
      </c:layout>
      <c:barChart>
        <c:barDir val="col"/>
        <c:grouping val="clustered"/>
        <c:varyColors val="0"/>
        <c:ser>
          <c:idx val="0"/>
          <c:order val="0"/>
          <c:tx>
            <c:v>2013 Yılı Yeraltısuyu Sulama Kuyu Sayısı</c:v>
          </c:tx>
          <c:invertIfNegative val="0"/>
          <c:dLbls>
            <c:numFmt formatCode="#,##0" sourceLinked="0"/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'3.6.Tablo'!$J$6:$J$30</c:f>
              <c:numCache>
                <c:formatCode>#,##0</c:formatCode>
                <c:ptCount val="25"/>
                <c:pt idx="0">
                  <c:v>501</c:v>
                </c:pt>
                <c:pt idx="1">
                  <c:v>59</c:v>
                </c:pt>
                <c:pt idx="2">
                  <c:v>182</c:v>
                </c:pt>
                <c:pt idx="3">
                  <c:v>197</c:v>
                </c:pt>
                <c:pt idx="4">
                  <c:v>314</c:v>
                </c:pt>
                <c:pt idx="5">
                  <c:v>251</c:v>
                </c:pt>
                <c:pt idx="6">
                  <c:v>536</c:v>
                </c:pt>
                <c:pt idx="7">
                  <c:v>321</c:v>
                </c:pt>
                <c:pt idx="8">
                  <c:v>233</c:v>
                </c:pt>
                <c:pt idx="9">
                  <c:v>525</c:v>
                </c:pt>
                <c:pt idx="10">
                  <c:v>856</c:v>
                </c:pt>
                <c:pt idx="11">
                  <c:v>1415</c:v>
                </c:pt>
                <c:pt idx="12">
                  <c:v>6</c:v>
                </c:pt>
                <c:pt idx="13">
                  <c:v>439</c:v>
                </c:pt>
                <c:pt idx="14">
                  <c:v>751</c:v>
                </c:pt>
                <c:pt idx="15">
                  <c:v>3958</c:v>
                </c:pt>
                <c:pt idx="16">
                  <c:v>14</c:v>
                </c:pt>
                <c:pt idx="17">
                  <c:v>47</c:v>
                </c:pt>
                <c:pt idx="18">
                  <c:v>421</c:v>
                </c:pt>
                <c:pt idx="19">
                  <c:v>178</c:v>
                </c:pt>
                <c:pt idx="20">
                  <c:v>283</c:v>
                </c:pt>
                <c:pt idx="22">
                  <c:v>17</c:v>
                </c:pt>
                <c:pt idx="23">
                  <c:v>177</c:v>
                </c:pt>
                <c:pt idx="24">
                  <c:v>19</c:v>
                </c:pt>
              </c:numCache>
            </c:numRef>
          </c:val>
        </c:ser>
        <c:ser>
          <c:idx val="1"/>
          <c:order val="1"/>
          <c:tx>
            <c:v>2014 Yılı Yeraltısuyu Sulama Kuyu Sayısı</c:v>
          </c:tx>
          <c:invertIfNegative val="0"/>
          <c:dLbls>
            <c:numFmt formatCode="#,##0" sourceLinked="0"/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'3.6.Tablo'!$M$6:$M$30</c:f>
              <c:numCache>
                <c:formatCode>#,##0</c:formatCode>
                <c:ptCount val="25"/>
                <c:pt idx="0">
                  <c:v>540</c:v>
                </c:pt>
                <c:pt idx="1">
                  <c:v>77</c:v>
                </c:pt>
                <c:pt idx="2">
                  <c:v>182</c:v>
                </c:pt>
                <c:pt idx="3">
                  <c:v>189</c:v>
                </c:pt>
                <c:pt idx="4">
                  <c:v>312</c:v>
                </c:pt>
                <c:pt idx="5">
                  <c:v>240</c:v>
                </c:pt>
                <c:pt idx="6">
                  <c:v>562</c:v>
                </c:pt>
                <c:pt idx="7">
                  <c:v>320</c:v>
                </c:pt>
                <c:pt idx="8">
                  <c:v>236</c:v>
                </c:pt>
                <c:pt idx="9">
                  <c:v>504</c:v>
                </c:pt>
                <c:pt idx="10">
                  <c:v>870</c:v>
                </c:pt>
                <c:pt idx="11">
                  <c:v>1441</c:v>
                </c:pt>
                <c:pt idx="12">
                  <c:v>6</c:v>
                </c:pt>
                <c:pt idx="13">
                  <c:v>358</c:v>
                </c:pt>
                <c:pt idx="14">
                  <c:v>751</c:v>
                </c:pt>
                <c:pt idx="15">
                  <c:v>3958</c:v>
                </c:pt>
                <c:pt idx="16">
                  <c:v>14</c:v>
                </c:pt>
                <c:pt idx="17">
                  <c:v>50</c:v>
                </c:pt>
                <c:pt idx="18">
                  <c:v>450</c:v>
                </c:pt>
                <c:pt idx="19">
                  <c:v>186</c:v>
                </c:pt>
                <c:pt idx="20">
                  <c:v>325</c:v>
                </c:pt>
                <c:pt idx="22">
                  <c:v>17</c:v>
                </c:pt>
                <c:pt idx="23">
                  <c:v>182</c:v>
                </c:pt>
                <c:pt idx="24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21"/>
        <c:axId val="110995456"/>
        <c:axId val="111072896"/>
      </c:barChart>
      <c:catAx>
        <c:axId val="110995456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111072896"/>
        <c:crosses val="autoZero"/>
        <c:auto val="0"/>
        <c:lblAlgn val="ctr"/>
        <c:lblOffset val="100"/>
        <c:noMultiLvlLbl val="0"/>
      </c:catAx>
      <c:valAx>
        <c:axId val="11107289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110995456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1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4010372030054541"/>
          <c:y val="0.10235305015938752"/>
          <c:w val="0.54450893150964141"/>
          <c:h val="5.3413617415470127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tr-TR" sz="1800"/>
              <a:t>3.6.</a:t>
            </a:r>
            <a:r>
              <a:rPr lang="en-US" sz="1800"/>
              <a:t>DSİ </a:t>
            </a:r>
            <a:r>
              <a:rPr lang="tr-TR" sz="1800" b="1" i="0" u="none" strike="noStrike" baseline="0">
                <a:effectLst/>
              </a:rPr>
              <a:t>Havza Bazında</a:t>
            </a:r>
            <a:r>
              <a:rPr lang="en-US" sz="1800" b="1" i="0" u="none" strike="noStrike" baseline="0">
                <a:effectLst/>
              </a:rPr>
              <a:t> </a:t>
            </a:r>
            <a:r>
              <a:rPr lang="en-US" sz="1800"/>
              <a:t>Yeraltısuyu Sulama</a:t>
            </a:r>
            <a:r>
              <a:rPr lang="tr-TR" sz="1800"/>
              <a:t> Alanı (ha), 2013-2014</a:t>
            </a:r>
            <a:endParaRPr lang="en-US" sz="18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4684685175598727"/>
          <c:w val="0.93908896024868393"/>
          <c:h val="0.59864185488924615"/>
        </c:manualLayout>
      </c:layout>
      <c:barChart>
        <c:barDir val="col"/>
        <c:grouping val="clustered"/>
        <c:varyColors val="0"/>
        <c:ser>
          <c:idx val="0"/>
          <c:order val="0"/>
          <c:tx>
            <c:v>2013 Yılı Yeraltısuyu Sulama Alanı</c:v>
          </c:tx>
          <c:invertIfNegative val="0"/>
          <c:dLbls>
            <c:dLbl>
              <c:idx val="15"/>
              <c:layout>
                <c:manualLayout>
                  <c:x val="8.1395747633281627E-17"/>
                  <c:y val="0.11626297577854673"/>
                </c:manualLayout>
              </c:layout>
              <c:spPr/>
              <c:txPr>
                <a:bodyPr rot="-5400000" vert="horz"/>
                <a:lstStyle/>
                <a:p>
                  <a:pPr>
                    <a:defRPr sz="1000" b="1">
                      <a:solidFill>
                        <a:schemeClr val="bg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 rot="-5400000" vert="horz"/>
              <a:lstStyle/>
              <a:p>
                <a:pPr>
                  <a:defRPr sz="10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'3.6.Tablo'!$K$6:$K$30</c:f>
              <c:numCache>
                <c:formatCode>#,##0</c:formatCode>
                <c:ptCount val="25"/>
                <c:pt idx="0">
                  <c:v>20060</c:v>
                </c:pt>
                <c:pt idx="1">
                  <c:v>2092</c:v>
                </c:pt>
                <c:pt idx="2">
                  <c:v>6848</c:v>
                </c:pt>
                <c:pt idx="3">
                  <c:v>7582</c:v>
                </c:pt>
                <c:pt idx="4">
                  <c:v>10871</c:v>
                </c:pt>
                <c:pt idx="5">
                  <c:v>8324</c:v>
                </c:pt>
                <c:pt idx="6">
                  <c:v>21791</c:v>
                </c:pt>
                <c:pt idx="7">
                  <c:v>14252</c:v>
                </c:pt>
                <c:pt idx="8">
                  <c:v>8396</c:v>
                </c:pt>
                <c:pt idx="9">
                  <c:v>19057</c:v>
                </c:pt>
                <c:pt idx="10">
                  <c:v>29614</c:v>
                </c:pt>
                <c:pt idx="11">
                  <c:v>54844</c:v>
                </c:pt>
                <c:pt idx="12">
                  <c:v>242</c:v>
                </c:pt>
                <c:pt idx="13">
                  <c:v>20404</c:v>
                </c:pt>
                <c:pt idx="14">
                  <c:v>30894</c:v>
                </c:pt>
                <c:pt idx="15">
                  <c:v>176724</c:v>
                </c:pt>
                <c:pt idx="16">
                  <c:v>467</c:v>
                </c:pt>
                <c:pt idx="17">
                  <c:v>1842</c:v>
                </c:pt>
                <c:pt idx="18">
                  <c:v>17175</c:v>
                </c:pt>
                <c:pt idx="19">
                  <c:v>7655</c:v>
                </c:pt>
                <c:pt idx="20">
                  <c:v>11341</c:v>
                </c:pt>
                <c:pt idx="22">
                  <c:v>625</c:v>
                </c:pt>
                <c:pt idx="23">
                  <c:v>10595</c:v>
                </c:pt>
                <c:pt idx="24">
                  <c:v>580</c:v>
                </c:pt>
              </c:numCache>
            </c:numRef>
          </c:val>
        </c:ser>
        <c:ser>
          <c:idx val="1"/>
          <c:order val="1"/>
          <c:tx>
            <c:v>2014 Yılı Yeraltısuyu Sulama Alanı</c:v>
          </c:tx>
          <c:invertIfNegative val="0"/>
          <c:dLbls>
            <c:dLbl>
              <c:idx val="15"/>
              <c:layout>
                <c:manualLayout>
                  <c:x val="-8.1395747633281627E-17"/>
                  <c:y val="0.11349480968858129"/>
                </c:manualLayout>
              </c:layout>
              <c:spPr/>
              <c:txPr>
                <a:bodyPr rot="-5400000" vert="horz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 rot="-5400000" vert="horz"/>
              <a:lstStyle/>
              <a:p>
                <a:pPr>
                  <a:defRPr sz="10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'3.6.Tablo'!$N$6:$N$30</c:f>
              <c:numCache>
                <c:formatCode>#,##0</c:formatCode>
                <c:ptCount val="25"/>
                <c:pt idx="0">
                  <c:v>22404</c:v>
                </c:pt>
                <c:pt idx="1">
                  <c:v>2726</c:v>
                </c:pt>
                <c:pt idx="2">
                  <c:v>6975</c:v>
                </c:pt>
                <c:pt idx="3">
                  <c:v>7632</c:v>
                </c:pt>
                <c:pt idx="4">
                  <c:v>11582</c:v>
                </c:pt>
                <c:pt idx="5">
                  <c:v>8324</c:v>
                </c:pt>
                <c:pt idx="6">
                  <c:v>22561</c:v>
                </c:pt>
                <c:pt idx="7">
                  <c:v>14252</c:v>
                </c:pt>
                <c:pt idx="8">
                  <c:v>8781</c:v>
                </c:pt>
                <c:pt idx="9">
                  <c:v>18750</c:v>
                </c:pt>
                <c:pt idx="10">
                  <c:v>31550</c:v>
                </c:pt>
                <c:pt idx="11">
                  <c:v>57097</c:v>
                </c:pt>
                <c:pt idx="12">
                  <c:v>242</c:v>
                </c:pt>
                <c:pt idx="13">
                  <c:v>18125</c:v>
                </c:pt>
                <c:pt idx="14">
                  <c:v>30724</c:v>
                </c:pt>
                <c:pt idx="15">
                  <c:v>176724</c:v>
                </c:pt>
                <c:pt idx="16">
                  <c:v>467</c:v>
                </c:pt>
                <c:pt idx="17">
                  <c:v>2062</c:v>
                </c:pt>
                <c:pt idx="18">
                  <c:v>18165</c:v>
                </c:pt>
                <c:pt idx="19">
                  <c:v>7609</c:v>
                </c:pt>
                <c:pt idx="20">
                  <c:v>12956</c:v>
                </c:pt>
                <c:pt idx="22">
                  <c:v>625</c:v>
                </c:pt>
                <c:pt idx="23">
                  <c:v>10602</c:v>
                </c:pt>
                <c:pt idx="24">
                  <c:v>580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overlap val="-27"/>
        <c:axId val="110996992"/>
        <c:axId val="151928832"/>
      </c:barChart>
      <c:catAx>
        <c:axId val="11099699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51928832"/>
        <c:crosses val="autoZero"/>
        <c:auto val="0"/>
        <c:lblAlgn val="ctr"/>
        <c:lblOffset val="100"/>
        <c:noMultiLvlLbl val="0"/>
      </c:catAx>
      <c:valAx>
        <c:axId val="1519288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1099699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0392390009812176"/>
          <c:y val="9.1280385799525923E-2"/>
          <c:w val="0.44367366579177603"/>
          <c:h val="5.3413617415470127E-2"/>
        </c:manualLayout>
      </c:layout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 sz="1100"/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438150</xdr:colOff>
      <xdr:row>1</xdr:row>
      <xdr:rowOff>38100</xdr:rowOff>
    </xdr:from>
    <xdr:ext cx="381000" cy="285750"/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97100" y="23812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0</xdr:colOff>
      <xdr:row>32</xdr:row>
      <xdr:rowOff>59531</xdr:rowOff>
    </xdr:from>
    <xdr:to>
      <xdr:col>20</xdr:col>
      <xdr:colOff>90487</xdr:colOff>
      <xdr:row>59</xdr:row>
      <xdr:rowOff>120763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60</xdr:row>
      <xdr:rowOff>0</xdr:rowOff>
    </xdr:from>
    <xdr:to>
      <xdr:col>20</xdr:col>
      <xdr:colOff>88561</xdr:colOff>
      <xdr:row>84</xdr:row>
      <xdr:rowOff>15875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317500</xdr:colOff>
      <xdr:row>86</xdr:row>
      <xdr:rowOff>47625</xdr:rowOff>
    </xdr:from>
    <xdr:to>
      <xdr:col>20</xdr:col>
      <xdr:colOff>36513</xdr:colOff>
      <xdr:row>110</xdr:row>
      <xdr:rowOff>63500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57151</xdr:colOff>
      <xdr:row>1</xdr:row>
      <xdr:rowOff>66675</xdr:rowOff>
    </xdr:from>
    <xdr:to>
      <xdr:col>19</xdr:col>
      <xdr:colOff>504825</xdr:colOff>
      <xdr:row>28</xdr:row>
      <xdr:rowOff>127907</xdr:rowOff>
    </xdr:to>
    <xdr:graphicFrame macro="">
      <xdr:nvGraphicFramePr>
        <xdr:cNvPr id="2" name="Grafik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57151</xdr:colOff>
      <xdr:row>29</xdr:row>
      <xdr:rowOff>16328</xdr:rowOff>
    </xdr:from>
    <xdr:to>
      <xdr:col>19</xdr:col>
      <xdr:colOff>502899</xdr:colOff>
      <xdr:row>53</xdr:row>
      <xdr:rowOff>32203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76201</xdr:colOff>
      <xdr:row>54</xdr:row>
      <xdr:rowOff>14968</xdr:rowOff>
    </xdr:from>
    <xdr:to>
      <xdr:col>19</xdr:col>
      <xdr:colOff>533401</xdr:colOff>
      <xdr:row>78</xdr:row>
      <xdr:rowOff>30843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showGridLines="0" tabSelected="1" topLeftCell="G1" zoomScale="80" zoomScaleNormal="80" workbookViewId="0">
      <selection activeCell="R30" sqref="R30"/>
    </sheetView>
  </sheetViews>
  <sheetFormatPr defaultRowHeight="15" x14ac:dyDescent="0.25"/>
  <cols>
    <col min="1" max="1" width="5.85546875" hidden="1" customWidth="1"/>
    <col min="2" max="2" width="26.7109375" style="2" hidden="1" customWidth="1"/>
    <col min="3" max="3" width="14.42578125" style="2" hidden="1" customWidth="1"/>
    <col min="4" max="4" width="20.42578125" style="2" hidden="1" customWidth="1"/>
    <col min="5" max="5" width="23" style="2" hidden="1" customWidth="1"/>
    <col min="6" max="6" width="4.85546875" style="1" hidden="1" customWidth="1"/>
    <col min="7" max="7" width="5.7109375" customWidth="1"/>
    <col min="8" max="8" width="7.5703125" customWidth="1"/>
    <col min="9" max="9" width="28.140625" customWidth="1"/>
    <col min="10" max="15" width="15.42578125" customWidth="1"/>
    <col min="16" max="16" width="3.85546875" customWidth="1"/>
    <col min="21" max="21" width="5.85546875" customWidth="1"/>
  </cols>
  <sheetData>
    <row r="1" spans="2:15" ht="15.75" thickBot="1" x14ac:dyDescent="0.3"/>
    <row r="2" spans="2:15" ht="30" customHeight="1" thickBot="1" x14ac:dyDescent="0.3">
      <c r="B2" s="49" t="s">
        <v>28</v>
      </c>
      <c r="C2" s="50"/>
      <c r="D2" s="50"/>
      <c r="E2" s="51"/>
      <c r="H2" s="46" t="s">
        <v>31</v>
      </c>
      <c r="I2" s="47"/>
      <c r="J2" s="47"/>
      <c r="K2" s="47"/>
      <c r="L2" s="47"/>
      <c r="M2" s="47"/>
      <c r="N2" s="47"/>
      <c r="O2" s="48"/>
    </row>
    <row r="3" spans="2:15" ht="22.5" customHeight="1" thickBot="1" x14ac:dyDescent="0.3">
      <c r="B3" s="9" t="s">
        <v>24</v>
      </c>
      <c r="C3" s="10" t="s">
        <v>0</v>
      </c>
      <c r="D3" s="10" t="s">
        <v>1</v>
      </c>
      <c r="E3" s="11" t="s">
        <v>29</v>
      </c>
      <c r="H3" s="52" t="s">
        <v>26</v>
      </c>
      <c r="I3" s="55" t="s">
        <v>27</v>
      </c>
      <c r="J3" s="58">
        <v>2013</v>
      </c>
      <c r="K3" s="59"/>
      <c r="L3" s="60"/>
      <c r="M3" s="61">
        <v>2014</v>
      </c>
      <c r="N3" s="59"/>
      <c r="O3" s="62"/>
    </row>
    <row r="4" spans="2:15" ht="15.75" customHeight="1" x14ac:dyDescent="0.25">
      <c r="B4" s="12" t="s">
        <v>2</v>
      </c>
      <c r="C4" s="5">
        <v>160</v>
      </c>
      <c r="D4" s="6">
        <v>6066</v>
      </c>
      <c r="E4" s="7">
        <v>25</v>
      </c>
      <c r="H4" s="53"/>
      <c r="I4" s="56"/>
      <c r="J4" s="63" t="s">
        <v>0</v>
      </c>
      <c r="K4" s="65" t="s">
        <v>30</v>
      </c>
      <c r="L4" s="67" t="s">
        <v>29</v>
      </c>
      <c r="M4" s="69" t="s">
        <v>0</v>
      </c>
      <c r="N4" s="65" t="s">
        <v>30</v>
      </c>
      <c r="O4" s="70" t="s">
        <v>29</v>
      </c>
    </row>
    <row r="5" spans="2:15" ht="15.75" thickBot="1" x14ac:dyDescent="0.3">
      <c r="B5" s="13" t="s">
        <v>3</v>
      </c>
      <c r="C5" s="3">
        <v>646</v>
      </c>
      <c r="D5" s="4">
        <v>20879</v>
      </c>
      <c r="E5" s="8">
        <v>102</v>
      </c>
      <c r="H5" s="54"/>
      <c r="I5" s="57"/>
      <c r="J5" s="64"/>
      <c r="K5" s="66"/>
      <c r="L5" s="68"/>
      <c r="M5" s="54"/>
      <c r="N5" s="66"/>
      <c r="O5" s="71"/>
    </row>
    <row r="6" spans="2:15" ht="15.75" x14ac:dyDescent="0.25">
      <c r="B6" s="13" t="s">
        <v>4</v>
      </c>
      <c r="C6" s="3">
        <v>876</v>
      </c>
      <c r="D6" s="4">
        <v>36524</v>
      </c>
      <c r="E6" s="8">
        <v>142</v>
      </c>
      <c r="H6" s="17">
        <v>1</v>
      </c>
      <c r="I6" s="18" t="s">
        <v>57</v>
      </c>
      <c r="J6" s="24">
        <v>501</v>
      </c>
      <c r="K6" s="25">
        <v>20060</v>
      </c>
      <c r="L6" s="26">
        <v>65</v>
      </c>
      <c r="M6" s="27">
        <v>540</v>
      </c>
      <c r="N6" s="25">
        <v>22404</v>
      </c>
      <c r="O6" s="28">
        <v>73</v>
      </c>
    </row>
    <row r="7" spans="2:15" ht="15.75" x14ac:dyDescent="0.25">
      <c r="B7" s="13" t="s">
        <v>5</v>
      </c>
      <c r="C7" s="3">
        <v>4421</v>
      </c>
      <c r="D7" s="4">
        <v>191722</v>
      </c>
      <c r="E7" s="8">
        <v>319</v>
      </c>
      <c r="H7" s="19">
        <v>2</v>
      </c>
      <c r="I7" s="20" t="s">
        <v>33</v>
      </c>
      <c r="J7" s="29">
        <v>59</v>
      </c>
      <c r="K7" s="30">
        <v>2092</v>
      </c>
      <c r="L7" s="31">
        <v>12</v>
      </c>
      <c r="M7" s="32">
        <v>77</v>
      </c>
      <c r="N7" s="30">
        <v>2726</v>
      </c>
      <c r="O7" s="33">
        <v>12</v>
      </c>
    </row>
    <row r="8" spans="2:15" ht="15.75" x14ac:dyDescent="0.25">
      <c r="B8" s="13" t="s">
        <v>6</v>
      </c>
      <c r="C8" s="3">
        <v>144</v>
      </c>
      <c r="D8" s="4">
        <v>5355</v>
      </c>
      <c r="E8" s="8">
        <v>26</v>
      </c>
      <c r="H8" s="19">
        <v>3</v>
      </c>
      <c r="I8" s="20" t="s">
        <v>34</v>
      </c>
      <c r="J8" s="29">
        <v>182</v>
      </c>
      <c r="K8" s="30">
        <v>6848</v>
      </c>
      <c r="L8" s="31">
        <v>28</v>
      </c>
      <c r="M8" s="32">
        <v>182</v>
      </c>
      <c r="N8" s="30">
        <v>6975</v>
      </c>
      <c r="O8" s="33">
        <v>28</v>
      </c>
    </row>
    <row r="9" spans="2:15" ht="15.75" x14ac:dyDescent="0.25">
      <c r="B9" s="13" t="s">
        <v>7</v>
      </c>
      <c r="C9" s="3">
        <v>447</v>
      </c>
      <c r="D9" s="4">
        <v>18783</v>
      </c>
      <c r="E9" s="8">
        <v>24</v>
      </c>
      <c r="H9" s="19">
        <v>4</v>
      </c>
      <c r="I9" s="20" t="s">
        <v>35</v>
      </c>
      <c r="J9" s="29">
        <v>197</v>
      </c>
      <c r="K9" s="30">
        <v>7582</v>
      </c>
      <c r="L9" s="31">
        <v>16</v>
      </c>
      <c r="M9" s="32">
        <v>189</v>
      </c>
      <c r="N9" s="30">
        <v>7632</v>
      </c>
      <c r="O9" s="33">
        <v>16</v>
      </c>
    </row>
    <row r="10" spans="2:15" ht="15.75" x14ac:dyDescent="0.25">
      <c r="B10" s="13" t="s">
        <v>8</v>
      </c>
      <c r="C10" s="3">
        <v>565</v>
      </c>
      <c r="D10" s="4">
        <v>24129</v>
      </c>
      <c r="E10" s="8">
        <v>120</v>
      </c>
      <c r="H10" s="19">
        <v>5</v>
      </c>
      <c r="I10" s="20" t="s">
        <v>36</v>
      </c>
      <c r="J10" s="29">
        <v>314</v>
      </c>
      <c r="K10" s="30">
        <v>10871</v>
      </c>
      <c r="L10" s="31">
        <v>44</v>
      </c>
      <c r="M10" s="32">
        <v>312</v>
      </c>
      <c r="N10" s="30">
        <v>11582</v>
      </c>
      <c r="O10" s="33">
        <v>45</v>
      </c>
    </row>
    <row r="11" spans="2:15" ht="15.75" x14ac:dyDescent="0.25">
      <c r="B11" s="13" t="s">
        <v>9</v>
      </c>
      <c r="C11" s="3">
        <v>280</v>
      </c>
      <c r="D11" s="4">
        <v>15628</v>
      </c>
      <c r="E11" s="8">
        <v>27</v>
      </c>
      <c r="H11" s="19">
        <v>6</v>
      </c>
      <c r="I11" s="20" t="s">
        <v>37</v>
      </c>
      <c r="J11" s="29">
        <v>251</v>
      </c>
      <c r="K11" s="30">
        <v>8324</v>
      </c>
      <c r="L11" s="31">
        <v>39</v>
      </c>
      <c r="M11" s="32">
        <v>240</v>
      </c>
      <c r="N11" s="30">
        <v>8324</v>
      </c>
      <c r="O11" s="33">
        <v>39</v>
      </c>
    </row>
    <row r="12" spans="2:15" ht="15.75" x14ac:dyDescent="0.25">
      <c r="B12" s="13" t="s">
        <v>10</v>
      </c>
      <c r="C12" s="3">
        <v>144</v>
      </c>
      <c r="D12" s="4">
        <v>5199</v>
      </c>
      <c r="E12" s="8">
        <v>26</v>
      </c>
      <c r="H12" s="19">
        <v>7</v>
      </c>
      <c r="I12" s="20" t="s">
        <v>38</v>
      </c>
      <c r="J12" s="29">
        <v>536</v>
      </c>
      <c r="K12" s="30">
        <v>21791</v>
      </c>
      <c r="L12" s="31">
        <v>95</v>
      </c>
      <c r="M12" s="32">
        <v>562</v>
      </c>
      <c r="N12" s="30">
        <v>22561</v>
      </c>
      <c r="O12" s="33">
        <v>96</v>
      </c>
    </row>
    <row r="13" spans="2:15" ht="15.75" x14ac:dyDescent="0.25">
      <c r="B13" s="13" t="s">
        <v>11</v>
      </c>
      <c r="C13" s="3">
        <v>32</v>
      </c>
      <c r="D13" s="4">
        <v>966</v>
      </c>
      <c r="E13" s="8">
        <v>4</v>
      </c>
      <c r="H13" s="19">
        <v>8</v>
      </c>
      <c r="I13" s="20" t="s">
        <v>39</v>
      </c>
      <c r="J13" s="29">
        <v>321</v>
      </c>
      <c r="K13" s="30">
        <v>14252</v>
      </c>
      <c r="L13" s="31">
        <v>53</v>
      </c>
      <c r="M13" s="32">
        <v>320</v>
      </c>
      <c r="N13" s="30">
        <v>14252</v>
      </c>
      <c r="O13" s="33">
        <v>53</v>
      </c>
    </row>
    <row r="14" spans="2:15" ht="15.75" x14ac:dyDescent="0.25">
      <c r="B14" s="13" t="s">
        <v>12</v>
      </c>
      <c r="C14" s="3">
        <v>545</v>
      </c>
      <c r="D14" s="4">
        <v>21681</v>
      </c>
      <c r="E14" s="8">
        <v>74</v>
      </c>
      <c r="H14" s="19">
        <v>9</v>
      </c>
      <c r="I14" s="20" t="s">
        <v>40</v>
      </c>
      <c r="J14" s="29">
        <v>233</v>
      </c>
      <c r="K14" s="30">
        <v>8396</v>
      </c>
      <c r="L14" s="31">
        <v>42</v>
      </c>
      <c r="M14" s="32">
        <v>236</v>
      </c>
      <c r="N14" s="30">
        <v>8781</v>
      </c>
      <c r="O14" s="33">
        <v>46</v>
      </c>
    </row>
    <row r="15" spans="2:15" ht="15.75" x14ac:dyDescent="0.25">
      <c r="B15" s="13" t="s">
        <v>13</v>
      </c>
      <c r="C15" s="3">
        <v>454</v>
      </c>
      <c r="D15" s="4">
        <v>21287</v>
      </c>
      <c r="E15" s="8">
        <v>62</v>
      </c>
      <c r="H15" s="19">
        <v>10</v>
      </c>
      <c r="I15" s="20" t="s">
        <v>41</v>
      </c>
      <c r="J15" s="29">
        <v>525</v>
      </c>
      <c r="K15" s="30">
        <v>19057</v>
      </c>
      <c r="L15" s="31">
        <v>98</v>
      </c>
      <c r="M15" s="32">
        <v>504</v>
      </c>
      <c r="N15" s="30">
        <v>18750</v>
      </c>
      <c r="O15" s="33">
        <v>94</v>
      </c>
    </row>
    <row r="16" spans="2:15" ht="15.75" x14ac:dyDescent="0.25">
      <c r="B16" s="13" t="s">
        <v>14</v>
      </c>
      <c r="C16" s="3">
        <v>163</v>
      </c>
      <c r="D16" s="4">
        <v>6970</v>
      </c>
      <c r="E16" s="8">
        <v>30</v>
      </c>
      <c r="H16" s="19">
        <v>11</v>
      </c>
      <c r="I16" s="20" t="s">
        <v>42</v>
      </c>
      <c r="J16" s="29">
        <v>856</v>
      </c>
      <c r="K16" s="30">
        <v>29614</v>
      </c>
      <c r="L16" s="31">
        <v>120</v>
      </c>
      <c r="M16" s="32">
        <v>870</v>
      </c>
      <c r="N16" s="30">
        <v>31550</v>
      </c>
      <c r="O16" s="33">
        <v>120</v>
      </c>
    </row>
    <row r="17" spans="2:15" ht="15.75" x14ac:dyDescent="0.25">
      <c r="B17" s="13" t="s">
        <v>15</v>
      </c>
      <c r="C17" s="3">
        <v>4</v>
      </c>
      <c r="D17" s="4">
        <v>143</v>
      </c>
      <c r="E17" s="8">
        <v>2</v>
      </c>
      <c r="H17" s="19">
        <v>12</v>
      </c>
      <c r="I17" s="20" t="s">
        <v>43</v>
      </c>
      <c r="J17" s="29">
        <v>1415</v>
      </c>
      <c r="K17" s="30">
        <v>54844</v>
      </c>
      <c r="L17" s="31">
        <v>216</v>
      </c>
      <c r="M17" s="32">
        <v>1441</v>
      </c>
      <c r="N17" s="30">
        <v>57097</v>
      </c>
      <c r="O17" s="33">
        <v>219</v>
      </c>
    </row>
    <row r="18" spans="2:15" ht="15.75" x14ac:dyDescent="0.25">
      <c r="B18" s="13" t="s">
        <v>16</v>
      </c>
      <c r="C18" s="3">
        <v>19</v>
      </c>
      <c r="D18" s="4">
        <v>580</v>
      </c>
      <c r="E18" s="8">
        <v>3</v>
      </c>
      <c r="H18" s="19">
        <v>13</v>
      </c>
      <c r="I18" s="20" t="s">
        <v>44</v>
      </c>
      <c r="J18" s="29">
        <v>6</v>
      </c>
      <c r="K18" s="30">
        <v>242</v>
      </c>
      <c r="L18" s="31">
        <v>2</v>
      </c>
      <c r="M18" s="32">
        <v>6</v>
      </c>
      <c r="N18" s="30">
        <v>242</v>
      </c>
      <c r="O18" s="33">
        <v>2</v>
      </c>
    </row>
    <row r="19" spans="2:15" ht="15.75" x14ac:dyDescent="0.25">
      <c r="B19" s="13" t="s">
        <v>17</v>
      </c>
      <c r="C19" s="3">
        <v>1935</v>
      </c>
      <c r="D19" s="4">
        <v>66472</v>
      </c>
      <c r="E19" s="8">
        <v>335</v>
      </c>
      <c r="H19" s="19">
        <v>14</v>
      </c>
      <c r="I19" s="20" t="s">
        <v>45</v>
      </c>
      <c r="J19" s="29">
        <v>439</v>
      </c>
      <c r="K19" s="30">
        <v>20404</v>
      </c>
      <c r="L19" s="31">
        <v>92</v>
      </c>
      <c r="M19" s="32">
        <v>358</v>
      </c>
      <c r="N19" s="30">
        <v>18125</v>
      </c>
      <c r="O19" s="33">
        <v>87</v>
      </c>
    </row>
    <row r="20" spans="2:15" ht="15.75" x14ac:dyDescent="0.25">
      <c r="B20" s="13" t="s">
        <v>18</v>
      </c>
      <c r="C20" s="3">
        <v>19</v>
      </c>
      <c r="D20" s="4">
        <v>850</v>
      </c>
      <c r="E20" s="8">
        <v>4</v>
      </c>
      <c r="H20" s="19">
        <v>15</v>
      </c>
      <c r="I20" s="20" t="s">
        <v>46</v>
      </c>
      <c r="J20" s="29">
        <v>751</v>
      </c>
      <c r="K20" s="30">
        <v>30894</v>
      </c>
      <c r="L20" s="31">
        <v>122</v>
      </c>
      <c r="M20" s="32">
        <v>751</v>
      </c>
      <c r="N20" s="30">
        <v>30724</v>
      </c>
      <c r="O20" s="33">
        <v>121</v>
      </c>
    </row>
    <row r="21" spans="2:15" ht="15.75" x14ac:dyDescent="0.25">
      <c r="B21" s="13" t="s">
        <v>19</v>
      </c>
      <c r="C21" s="3">
        <v>161</v>
      </c>
      <c r="D21" s="4">
        <v>6287</v>
      </c>
      <c r="E21" s="8">
        <v>17</v>
      </c>
      <c r="H21" s="19">
        <v>16</v>
      </c>
      <c r="I21" s="20" t="s">
        <v>47</v>
      </c>
      <c r="J21" s="29">
        <v>3958</v>
      </c>
      <c r="K21" s="30">
        <v>176724</v>
      </c>
      <c r="L21" s="31">
        <v>268</v>
      </c>
      <c r="M21" s="32">
        <v>3958</v>
      </c>
      <c r="N21" s="30">
        <v>176724</v>
      </c>
      <c r="O21" s="33">
        <v>268</v>
      </c>
    </row>
    <row r="22" spans="2:15" ht="15.75" x14ac:dyDescent="0.25">
      <c r="B22" s="13" t="s">
        <v>20</v>
      </c>
      <c r="C22" s="3">
        <v>477</v>
      </c>
      <c r="D22" s="4">
        <v>23501</v>
      </c>
      <c r="E22" s="8">
        <v>66</v>
      </c>
      <c r="H22" s="19">
        <v>17</v>
      </c>
      <c r="I22" s="20" t="s">
        <v>48</v>
      </c>
      <c r="J22" s="29">
        <v>14</v>
      </c>
      <c r="K22" s="30">
        <v>467</v>
      </c>
      <c r="L22" s="31">
        <v>5</v>
      </c>
      <c r="M22" s="32">
        <v>14</v>
      </c>
      <c r="N22" s="30">
        <v>467</v>
      </c>
      <c r="O22" s="33">
        <v>5</v>
      </c>
    </row>
    <row r="23" spans="2:15" ht="15.75" x14ac:dyDescent="0.25">
      <c r="B23" s="13" t="s">
        <v>21</v>
      </c>
      <c r="C23" s="3">
        <v>26</v>
      </c>
      <c r="D23" s="4">
        <v>925</v>
      </c>
      <c r="E23" s="8">
        <v>2</v>
      </c>
      <c r="H23" s="19">
        <v>18</v>
      </c>
      <c r="I23" s="20" t="s">
        <v>49</v>
      </c>
      <c r="J23" s="29">
        <v>47</v>
      </c>
      <c r="K23" s="30">
        <v>1842</v>
      </c>
      <c r="L23" s="31">
        <v>8</v>
      </c>
      <c r="M23" s="32">
        <v>50</v>
      </c>
      <c r="N23" s="30">
        <v>2062</v>
      </c>
      <c r="O23" s="33">
        <v>9</v>
      </c>
    </row>
    <row r="24" spans="2:15" ht="15.75" x14ac:dyDescent="0.25">
      <c r="B24" s="13" t="s">
        <v>22</v>
      </c>
      <c r="C24" s="3">
        <v>45</v>
      </c>
      <c r="D24" s="4">
        <v>1727</v>
      </c>
      <c r="E24" s="8">
        <v>8</v>
      </c>
      <c r="H24" s="19">
        <v>19</v>
      </c>
      <c r="I24" s="20" t="s">
        <v>50</v>
      </c>
      <c r="J24" s="29">
        <v>421</v>
      </c>
      <c r="K24" s="30">
        <v>17175</v>
      </c>
      <c r="L24" s="31">
        <v>21</v>
      </c>
      <c r="M24" s="32">
        <v>450</v>
      </c>
      <c r="N24" s="30">
        <v>18165</v>
      </c>
      <c r="O24" s="33">
        <v>23</v>
      </c>
    </row>
    <row r="25" spans="2:15" ht="15.75" x14ac:dyDescent="0.25">
      <c r="B25" s="13" t="s">
        <v>23</v>
      </c>
      <c r="C25" s="3">
        <v>137</v>
      </c>
      <c r="D25" s="4">
        <v>6601</v>
      </c>
      <c r="E25" s="8">
        <v>8</v>
      </c>
      <c r="H25" s="19">
        <v>20</v>
      </c>
      <c r="I25" s="20" t="s">
        <v>51</v>
      </c>
      <c r="J25" s="29">
        <v>178</v>
      </c>
      <c r="K25" s="30">
        <v>7655</v>
      </c>
      <c r="L25" s="31">
        <v>17</v>
      </c>
      <c r="M25" s="32">
        <v>186</v>
      </c>
      <c r="N25" s="30">
        <v>7609</v>
      </c>
      <c r="O25" s="33">
        <v>18</v>
      </c>
    </row>
    <row r="26" spans="2:15" ht="16.5" thickBot="1" x14ac:dyDescent="0.3">
      <c r="B26" s="14" t="s">
        <v>25</v>
      </c>
      <c r="C26" s="15">
        <v>11700</v>
      </c>
      <c r="D26" s="15">
        <v>482275</v>
      </c>
      <c r="E26" s="16">
        <v>1426</v>
      </c>
      <c r="H26" s="19">
        <v>21</v>
      </c>
      <c r="I26" s="23" t="s">
        <v>56</v>
      </c>
      <c r="J26" s="29">
        <v>283</v>
      </c>
      <c r="K26" s="30">
        <v>11341</v>
      </c>
      <c r="L26" s="31">
        <v>51</v>
      </c>
      <c r="M26" s="32">
        <v>325</v>
      </c>
      <c r="N26" s="30">
        <v>12956</v>
      </c>
      <c r="O26" s="33">
        <v>59</v>
      </c>
    </row>
    <row r="27" spans="2:15" ht="15.75" x14ac:dyDescent="0.25">
      <c r="H27" s="19">
        <v>22</v>
      </c>
      <c r="I27" s="20" t="s">
        <v>52</v>
      </c>
      <c r="J27" s="29"/>
      <c r="K27" s="30"/>
      <c r="L27" s="31"/>
      <c r="M27" s="32"/>
      <c r="N27" s="30"/>
      <c r="O27" s="33"/>
    </row>
    <row r="28" spans="2:15" ht="15.75" x14ac:dyDescent="0.25">
      <c r="H28" s="19">
        <v>23</v>
      </c>
      <c r="I28" s="20" t="s">
        <v>53</v>
      </c>
      <c r="J28" s="29">
        <v>17</v>
      </c>
      <c r="K28" s="30">
        <v>625</v>
      </c>
      <c r="L28" s="31">
        <v>1</v>
      </c>
      <c r="M28" s="32">
        <v>17</v>
      </c>
      <c r="N28" s="30">
        <v>625</v>
      </c>
      <c r="O28" s="33">
        <v>1</v>
      </c>
    </row>
    <row r="29" spans="2:15" ht="15.75" x14ac:dyDescent="0.25">
      <c r="H29" s="19">
        <v>24</v>
      </c>
      <c r="I29" s="20" t="s">
        <v>54</v>
      </c>
      <c r="J29" s="29">
        <v>177</v>
      </c>
      <c r="K29" s="30">
        <v>10595</v>
      </c>
      <c r="L29" s="31">
        <v>8</v>
      </c>
      <c r="M29" s="32">
        <v>182</v>
      </c>
      <c r="N29" s="30">
        <v>10602</v>
      </c>
      <c r="O29" s="33">
        <v>9</v>
      </c>
    </row>
    <row r="30" spans="2:15" ht="16.5" thickBot="1" x14ac:dyDescent="0.3">
      <c r="H30" s="21">
        <v>25</v>
      </c>
      <c r="I30" s="22" t="s">
        <v>55</v>
      </c>
      <c r="J30" s="34">
        <v>19</v>
      </c>
      <c r="K30" s="35">
        <v>580</v>
      </c>
      <c r="L30" s="36">
        <v>3</v>
      </c>
      <c r="M30" s="37">
        <v>19</v>
      </c>
      <c r="N30" s="35">
        <v>580</v>
      </c>
      <c r="O30" s="38">
        <v>3</v>
      </c>
    </row>
    <row r="31" spans="2:15" ht="16.5" thickBot="1" x14ac:dyDescent="0.3">
      <c r="H31" s="44" t="s">
        <v>32</v>
      </c>
      <c r="I31" s="45"/>
      <c r="J31" s="39">
        <f>SUM(J6:J30)</f>
        <v>11700</v>
      </c>
      <c r="K31" s="40">
        <f t="shared" ref="K31:O31" si="0">SUM(K6:K30)</f>
        <v>482275</v>
      </c>
      <c r="L31" s="41">
        <f t="shared" si="0"/>
        <v>1426</v>
      </c>
      <c r="M31" s="42">
        <f t="shared" si="0"/>
        <v>11789</v>
      </c>
      <c r="N31" s="40">
        <f t="shared" si="0"/>
        <v>491515</v>
      </c>
      <c r="O31" s="43">
        <f t="shared" si="0"/>
        <v>1446</v>
      </c>
    </row>
  </sheetData>
  <mergeCells count="13">
    <mergeCell ref="H31:I31"/>
    <mergeCell ref="H2:O2"/>
    <mergeCell ref="B2:E2"/>
    <mergeCell ref="H3:H5"/>
    <mergeCell ref="I3:I5"/>
    <mergeCell ref="J3:L3"/>
    <mergeCell ref="M3:O3"/>
    <mergeCell ref="J4:J5"/>
    <mergeCell ref="K4:K5"/>
    <mergeCell ref="L4:L5"/>
    <mergeCell ref="M4:M5"/>
    <mergeCell ref="N4:N5"/>
    <mergeCell ref="O4:O5"/>
  </mergeCells>
  <pageMargins left="0.51181102362204722" right="0.51181102362204722" top="0.55118110236220474" bottom="0.55118110236220474" header="0.31496062992125984" footer="0.31496062992125984"/>
  <pageSetup paperSize="9" scale="68" orientation="landscape" r:id="rId1"/>
  <rowBreaks count="2" manualBreakCount="2">
    <brk id="32" min="6" max="20" man="1"/>
    <brk id="85" min="6" max="20" man="1"/>
  </rowBreaks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view="pageBreakPreview" topLeftCell="A16" zoomScale="60" zoomScaleNormal="100" workbookViewId="0">
      <selection activeCell="W53" sqref="W53"/>
    </sheetView>
  </sheetViews>
  <sheetFormatPr defaultRowHeight="15" x14ac:dyDescent="0.25"/>
  <cols>
    <col min="1" max="1" width="6.140625" customWidth="1"/>
  </cols>
  <sheetData/>
  <pageMargins left="0.31496062992125984" right="0.31496062992125984" top="0.74803149606299213" bottom="0.74803149606299213" header="0.31496062992125984" footer="0.31496062992125984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3.6.Tablo</vt:lpstr>
      <vt:lpstr>3.6. Grafikler</vt:lpstr>
      <vt:lpstr>'3.6. Grafikler'!Yazdırma_Alanı</vt:lpstr>
      <vt:lpstr>'3.6.Tablo'!Yazdırma_Alanı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2015-12-15T09:40:57Z</dcterms:modified>
</cp:coreProperties>
</file>