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drawings/drawing7.xml" ContentType="application/vnd.openxmlformats-officedocument.drawingml.chartshapes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480" yWindow="135" windowWidth="15600" windowHeight="11505"/>
  </bookViews>
  <sheets>
    <sheet name="2.4.2.Tablo" sheetId="3" r:id="rId1"/>
    <sheet name="Sayfa" sheetId="1" state="hidden" r:id="rId2"/>
    <sheet name="Sayfa1" sheetId="2" state="hidden" r:id="rId3"/>
  </sheets>
  <externalReferences>
    <externalReference r:id="rId4"/>
  </externalReferences>
  <definedNames>
    <definedName name="_xlnm._FilterDatabase" localSheetId="1" hidden="1">Sayfa!$B$3:$I$459</definedName>
    <definedName name="_xlnm._FilterDatabase" localSheetId="2" hidden="1">Sayfa1!$A$1:$G$411</definedName>
    <definedName name="_xlnm.Print_Area" localSheetId="0">'2.4.2.Tablo'!$A$1:$S$618</definedName>
    <definedName name="_xlnm.Print_Area" localSheetId="1">Sayfa!$A$1:$J$460</definedName>
    <definedName name="_xlnm.Print_Titles" localSheetId="0">'2.4.2.Tablo'!$2:$3</definedName>
    <definedName name="_xlnm.Print_Titles" localSheetId="1">Sayfa!$2:$3</definedName>
  </definedNames>
  <calcPr calcId="145621"/>
  <pivotCaches>
    <pivotCache cacheId="0" r:id="rId5"/>
    <pivotCache cacheId="1" r:id="rId6"/>
  </pivotCaches>
</workbook>
</file>

<file path=xl/calcChain.xml><?xml version="1.0" encoding="utf-8"?>
<calcChain xmlns="http://schemas.openxmlformats.org/spreadsheetml/2006/main">
  <c r="E406" i="2" l="1"/>
  <c r="E393" i="2"/>
  <c r="E375" i="2"/>
  <c r="E372" i="2"/>
  <c r="E335" i="2"/>
  <c r="E328" i="2"/>
  <c r="E308" i="2"/>
  <c r="E309" i="2" s="1"/>
  <c r="E284" i="2"/>
  <c r="E278" i="2"/>
  <c r="E273" i="2"/>
  <c r="E263" i="2"/>
  <c r="E242" i="2"/>
  <c r="E243" i="2" s="1"/>
  <c r="E229" i="2"/>
  <c r="E223" i="2"/>
  <c r="E217" i="2"/>
  <c r="E195" i="2"/>
  <c r="E185" i="2"/>
  <c r="E188" i="2" s="1"/>
  <c r="E179" i="2"/>
  <c r="F98" i="2"/>
  <c r="F408" i="1" l="1"/>
  <c r="F395" i="1"/>
  <c r="F377" i="1"/>
  <c r="F374" i="1"/>
  <c r="F337" i="1"/>
  <c r="F330" i="1"/>
  <c r="F310" i="1"/>
  <c r="F311" i="1" s="1"/>
  <c r="F286" i="1"/>
  <c r="F280" i="1"/>
  <c r="F275" i="1"/>
  <c r="F265" i="1"/>
  <c r="F244" i="1"/>
  <c r="F245" i="1" s="1"/>
  <c r="F231" i="1"/>
  <c r="F225" i="1"/>
  <c r="F219" i="1"/>
  <c r="F197" i="1"/>
  <c r="F187" i="1"/>
  <c r="F190" i="1" s="1"/>
  <c r="F181" i="1"/>
  <c r="H100" i="1"/>
</calcChain>
</file>

<file path=xl/sharedStrings.xml><?xml version="1.0" encoding="utf-8"?>
<sst xmlns="http://schemas.openxmlformats.org/spreadsheetml/2006/main" count="4981" uniqueCount="683">
  <si>
    <t>Topuk Sant.</t>
  </si>
  <si>
    <t>2009-2010</t>
  </si>
  <si>
    <t>2011-2012-2013</t>
  </si>
  <si>
    <t>16.02.2012
14.11.2013</t>
  </si>
  <si>
    <t>Adana</t>
  </si>
  <si>
    <t>Adıyaman</t>
  </si>
  <si>
    <t>Amasya</t>
  </si>
  <si>
    <t>Ankara</t>
  </si>
  <si>
    <t>Antalya</t>
  </si>
  <si>
    <t>Ardahan</t>
  </si>
  <si>
    <t>Artvin</t>
  </si>
  <si>
    <t>Aydın</t>
  </si>
  <si>
    <t>Balıkesir</t>
  </si>
  <si>
    <t>Bartın</t>
  </si>
  <si>
    <t>Batman</t>
  </si>
  <si>
    <t>Bayburt</t>
  </si>
  <si>
    <t>Bilecik</t>
  </si>
  <si>
    <t>Bingöl</t>
  </si>
  <si>
    <t>Bitlis</t>
  </si>
  <si>
    <t>Bolu</t>
  </si>
  <si>
    <t>Bursa</t>
  </si>
  <si>
    <t>Çankırı</t>
  </si>
  <si>
    <t>Çorum</t>
  </si>
  <si>
    <t>Denizli</t>
  </si>
  <si>
    <t>Diyarbakır</t>
  </si>
  <si>
    <t>Düzce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</si>
  <si>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</si>
  <si>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</si>
  <si>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</si>
  <si>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</si>
  <si>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</si>
  <si>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</si>
  <si>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</si>
  <si>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Hakkari</t>
  </si>
  <si>
    <t>Hatay</t>
  </si>
  <si>
    <t>Iğdır</t>
  </si>
  <si>
    <t>Isparta</t>
  </si>
  <si>
    <t>Kahramanmaraş</t>
  </si>
  <si>
    <t>Karabük</t>
  </si>
  <si>
    <t>Karaman</t>
  </si>
  <si>
    <t>Kars</t>
  </si>
  <si>
    <t>Kastamonu</t>
  </si>
  <si>
    <t>Kayseri</t>
  </si>
  <si>
    <t>Kırıkkale</t>
  </si>
  <si>
    <t>Kocaeli</t>
  </si>
  <si>
    <t>Konya</t>
  </si>
  <si>
    <t>Kütahya</t>
  </si>
  <si>
    <t>Malatya</t>
  </si>
  <si>
    <t>Mardin</t>
  </si>
  <si>
    <t>Mersin</t>
  </si>
  <si>
    <t>Muğla</t>
  </si>
  <si>
    <t>Muş</t>
  </si>
  <si>
    <t>Nevşehir</t>
  </si>
  <si>
    <t>Niğde</t>
  </si>
  <si>
    <t>Ordu</t>
  </si>
  <si>
    <t>Osmaniye</t>
  </si>
  <si>
    <t>Rize</t>
  </si>
  <si>
    <t>Sakarya</t>
  </si>
  <si>
    <t>Samsun</t>
  </si>
  <si>
    <t>Siirt</t>
  </si>
  <si>
    <t>Sinop</t>
  </si>
  <si>
    <t>Sivas</t>
  </si>
  <si>
    <t>Şırnak</t>
  </si>
  <si>
    <t>Tokat</t>
  </si>
  <si>
    <t>Trabzon</t>
  </si>
  <si>
    <t>Tunceli</t>
  </si>
  <si>
    <t>Van</t>
  </si>
  <si>
    <t>Zonguldak</t>
  </si>
  <si>
    <t>İli</t>
  </si>
  <si>
    <t>Tipi</t>
  </si>
  <si>
    <t>İşletmeye Alınma Tarihi</t>
  </si>
  <si>
    <t xml:space="preserve">Ortalama Enerji Üretimi
(GWh/Yıl)
</t>
  </si>
  <si>
    <t>Baraj</t>
  </si>
  <si>
    <t>Göl</t>
  </si>
  <si>
    <t>İsale Hattı</t>
  </si>
  <si>
    <t>Kanal</t>
  </si>
  <si>
    <t>Kanal (Tünelli)</t>
  </si>
  <si>
    <t>Kuvvet Tüneli</t>
  </si>
  <si>
    <t>Nehir</t>
  </si>
  <si>
    <t>TR221</t>
  </si>
  <si>
    <t>TR321</t>
  </si>
  <si>
    <t>TR322</t>
  </si>
  <si>
    <t>TR323</t>
  </si>
  <si>
    <t>TR332</t>
  </si>
  <si>
    <t>Afyonkarahisar</t>
  </si>
  <si>
    <t>TR333</t>
  </si>
  <si>
    <t>TR411</t>
  </si>
  <si>
    <t>TR412</t>
  </si>
  <si>
    <t>TR413</t>
  </si>
  <si>
    <t>TR424</t>
  </si>
  <si>
    <t>TR510</t>
  </si>
  <si>
    <t>TR521</t>
  </si>
  <si>
    <t>TR522</t>
  </si>
  <si>
    <t>TR611</t>
  </si>
  <si>
    <t>TR612</t>
  </si>
  <si>
    <t>TR621</t>
  </si>
  <si>
    <t>TR622</t>
  </si>
  <si>
    <t>TR631</t>
  </si>
  <si>
    <t>TR632</t>
  </si>
  <si>
    <t>TR633</t>
  </si>
  <si>
    <t>TR711</t>
  </si>
  <si>
    <t>TR713</t>
  </si>
  <si>
    <t>TR714</t>
  </si>
  <si>
    <t>TR721</t>
  </si>
  <si>
    <t>TR722</t>
  </si>
  <si>
    <t>TR811</t>
  </si>
  <si>
    <t>TR821</t>
  </si>
  <si>
    <t>TR822</t>
  </si>
  <si>
    <t>TR823</t>
  </si>
  <si>
    <t>TR831</t>
  </si>
  <si>
    <t>TR832</t>
  </si>
  <si>
    <t>TR833</t>
  </si>
  <si>
    <t>TR834</t>
  </si>
  <si>
    <t>TR901</t>
  </si>
  <si>
    <t>TR902</t>
  </si>
  <si>
    <t>TR905</t>
  </si>
  <si>
    <t>TR906</t>
  </si>
  <si>
    <t>TRA11</t>
  </si>
  <si>
    <t>TRA12</t>
  </si>
  <si>
    <t>TRA13</t>
  </si>
  <si>
    <t>TRA22</t>
  </si>
  <si>
    <t>TRB11</t>
  </si>
  <si>
    <t>TRB12</t>
  </si>
  <si>
    <t>TRB13</t>
  </si>
  <si>
    <t>TRB14</t>
  </si>
  <si>
    <t>TRB21</t>
  </si>
  <si>
    <t>TRB22</t>
  </si>
  <si>
    <t>TRB24</t>
  </si>
  <si>
    <t>TRC11</t>
  </si>
  <si>
    <t>TRC12</t>
  </si>
  <si>
    <t>TRC22</t>
  </si>
  <si>
    <t>TRC31</t>
  </si>
  <si>
    <t>TRC32</t>
  </si>
  <si>
    <t>TRC33</t>
  </si>
  <si>
    <t>TR421</t>
  </si>
  <si>
    <t>TR422</t>
  </si>
  <si>
    <t>TR423</t>
  </si>
  <si>
    <t>TR812</t>
  </si>
  <si>
    <t>TR813</t>
  </si>
  <si>
    <t>TR903</t>
  </si>
  <si>
    <t>TR904</t>
  </si>
  <si>
    <t>TRA23</t>
  </si>
  <si>
    <t>TRA24</t>
  </si>
  <si>
    <t>TRB23</t>
  </si>
  <si>
    <t>TRC34</t>
  </si>
  <si>
    <t>Şanlıurfa</t>
  </si>
  <si>
    <t>TRC21</t>
  </si>
  <si>
    <t>Proje Adı</t>
  </si>
  <si>
    <t>Kurulu Güç (MW)</t>
  </si>
  <si>
    <t>Pazarköy-Akyazı HES</t>
  </si>
  <si>
    <t>Haraklı-Hendek HES</t>
  </si>
  <si>
    <t>Bozüyük HES</t>
  </si>
  <si>
    <t>İvriz  HES</t>
  </si>
  <si>
    <t>Dere HES</t>
  </si>
  <si>
    <t>Göksu HES</t>
  </si>
  <si>
    <t>Ladik-Büyükkızoğlu  HES</t>
  </si>
  <si>
    <t>Durucasu HES</t>
  </si>
  <si>
    <t>Engil HES</t>
  </si>
  <si>
    <t>Koçköprü Barajı ve HES</t>
  </si>
  <si>
    <t>Zernek (Hoşap) Barajı ve HES</t>
  </si>
  <si>
    <t>Erciş HES</t>
  </si>
  <si>
    <t xml:space="preserve">Kısık HES </t>
  </si>
  <si>
    <t>Kiti HES</t>
  </si>
  <si>
    <t>Arpaçay-Telek HES</t>
  </si>
  <si>
    <t>Esendal  HES</t>
  </si>
  <si>
    <t>Bozkır HES</t>
  </si>
  <si>
    <t>Ermenek  HES</t>
  </si>
  <si>
    <t>Suuçtu-Mustafa Kemal Paşa HES</t>
  </si>
  <si>
    <t>Değirmendere HES</t>
  </si>
  <si>
    <t>Karaçay HES</t>
  </si>
  <si>
    <t>Kuzuculu HES</t>
  </si>
  <si>
    <t>Girlevik I HES</t>
  </si>
  <si>
    <t>Kernek HES</t>
  </si>
  <si>
    <t>Erkenek HES</t>
  </si>
  <si>
    <t>Derme-Kapuluk HES</t>
  </si>
  <si>
    <t>Çemişgezek HES</t>
  </si>
  <si>
    <t>Çağçağ  HES</t>
  </si>
  <si>
    <t>Uludere HES</t>
  </si>
  <si>
    <t>Sızır HES</t>
  </si>
  <si>
    <t>Pınarbaşı HES</t>
  </si>
  <si>
    <t>Bünyan HES</t>
  </si>
  <si>
    <t>Turunçova-Finike HES</t>
  </si>
  <si>
    <t>Ahlat  HES</t>
  </si>
  <si>
    <t>Adilcevaz HES</t>
  </si>
  <si>
    <t>Malazgirt  HES</t>
  </si>
  <si>
    <t>Varto-Sönmez HES</t>
  </si>
  <si>
    <t>Otluca  HES</t>
  </si>
  <si>
    <t>Kovada I HES</t>
  </si>
  <si>
    <t>Kovada II HES</t>
  </si>
  <si>
    <t>Besni HES</t>
  </si>
  <si>
    <t>Bayburt  HES</t>
  </si>
  <si>
    <t>Kayadibi  HES</t>
  </si>
  <si>
    <t>Hasanlar Barajı ve HES</t>
  </si>
  <si>
    <t>Berdan Barajı ve HES</t>
  </si>
  <si>
    <t>Oymapınar Barajı ve HES</t>
  </si>
  <si>
    <t>Beyköy HES</t>
  </si>
  <si>
    <t>Ataköy Barajı ve HES</t>
  </si>
  <si>
    <t>Kuzgun Barajı ve HES</t>
  </si>
  <si>
    <t>Tercan Barajı ve HES</t>
  </si>
  <si>
    <t>Mercan-Ovacık HES</t>
  </si>
  <si>
    <t>İkizdere HES</t>
  </si>
  <si>
    <t>Çıldır  HES</t>
  </si>
  <si>
    <t>İnegöl-Cerrah HES</t>
  </si>
  <si>
    <t>İznik-Dereköy HES</t>
  </si>
  <si>
    <t>Kayaköy HES</t>
  </si>
  <si>
    <t>Çamardı HES</t>
  </si>
  <si>
    <t>Girlevik II HES</t>
  </si>
  <si>
    <t>Mercan HES</t>
  </si>
  <si>
    <t>Tohma-Medik HES</t>
  </si>
  <si>
    <t>Yamula Barajı ve HES</t>
  </si>
  <si>
    <t>Birecik Barajı ve HES</t>
  </si>
  <si>
    <t>Çayköy (Aksu) HES</t>
  </si>
  <si>
    <t>Dinar II HES</t>
  </si>
  <si>
    <t>Sütçüler HES</t>
  </si>
  <si>
    <t>Ahiköy I HES</t>
  </si>
  <si>
    <t>Ahiköy II HES</t>
  </si>
  <si>
    <t>Suçatı Barajı ve HES</t>
  </si>
  <si>
    <t>Çal HES</t>
  </si>
  <si>
    <t>Fethiye HES</t>
  </si>
  <si>
    <t>Gaziler HES</t>
  </si>
  <si>
    <t>Koyulhisar</t>
  </si>
  <si>
    <t>Açma HES</t>
  </si>
  <si>
    <t>Adacami HES</t>
  </si>
  <si>
    <t>Adasu HES</t>
  </si>
  <si>
    <t>Ağkolu HES</t>
  </si>
  <si>
    <t>Akbaş HES</t>
  </si>
  <si>
    <t>Akçay HES</t>
  </si>
  <si>
    <t>Akkaya HES</t>
  </si>
  <si>
    <t>Akkent-Çalkuyucak HES</t>
  </si>
  <si>
    <t>Akköy-Espiye HES</t>
  </si>
  <si>
    <t>Akocak HES</t>
  </si>
  <si>
    <t>Alakır HES</t>
  </si>
  <si>
    <t>Anak HES</t>
  </si>
  <si>
    <t>Andırın  HES</t>
  </si>
  <si>
    <t>Aralık HES</t>
  </si>
  <si>
    <t>Aslancık Barajı HES</t>
  </si>
  <si>
    <t>Ayancık HES</t>
  </si>
  <si>
    <t>Başak HES</t>
  </si>
  <si>
    <t xml:space="preserve">Başaran HES </t>
  </si>
  <si>
    <t>Bayburt HES</t>
  </si>
  <si>
    <t>Bayramlı HES</t>
  </si>
  <si>
    <t>Bektemur HES</t>
  </si>
  <si>
    <t>Bereket I HES (Serbest Ürt)</t>
  </si>
  <si>
    <t>Berke HES</t>
  </si>
  <si>
    <t>Birkapılı HES (Serbest Ürt)</t>
  </si>
  <si>
    <t>Bucakköy HES</t>
  </si>
  <si>
    <t>Burçak  HES</t>
  </si>
  <si>
    <t>Büyükdüz HES</t>
  </si>
  <si>
    <t>Can I HES</t>
  </si>
  <si>
    <t xml:space="preserve">Cansu HES </t>
  </si>
  <si>
    <t>Cevizlidere HES</t>
  </si>
  <si>
    <t>Çakırlar HES</t>
  </si>
  <si>
    <t>Çakıt HES</t>
  </si>
  <si>
    <t xml:space="preserve">Çaldere HES </t>
  </si>
  <si>
    <t>Çamlıkaya HES</t>
  </si>
  <si>
    <t>Çanakçı HES</t>
  </si>
  <si>
    <t>Çataloluk HES</t>
  </si>
  <si>
    <t>Çeltikdere HES</t>
  </si>
  <si>
    <t>Çeşmebaşı HES</t>
  </si>
  <si>
    <t>Çınar I HES</t>
  </si>
  <si>
    <t xml:space="preserve">Çifteköprü HES </t>
  </si>
  <si>
    <t>Çobanlı HES</t>
  </si>
  <si>
    <t>Çoraklı HES</t>
  </si>
  <si>
    <t>Çukurçayı HES</t>
  </si>
  <si>
    <t>Damlapınar HES</t>
  </si>
  <si>
    <t>Daran  HES</t>
  </si>
  <si>
    <t>Darca HES</t>
  </si>
  <si>
    <t>Darıveren HES</t>
  </si>
  <si>
    <t>Defne HES</t>
  </si>
  <si>
    <t>Değirmen HES</t>
  </si>
  <si>
    <t>Değirmenüstü HES</t>
  </si>
  <si>
    <t>Demirciler HES</t>
  </si>
  <si>
    <t>Diyoban HES</t>
  </si>
  <si>
    <t>Dodurgalar HES</t>
  </si>
  <si>
    <t>Doğankaya HES</t>
  </si>
  <si>
    <t>Doruk HES (Akfen)</t>
  </si>
  <si>
    <t>Ege I HES</t>
  </si>
  <si>
    <t>Eğer HES</t>
  </si>
  <si>
    <t>Eğlence I HES</t>
  </si>
  <si>
    <t>Erem HES</t>
  </si>
  <si>
    <t>Erenköy HES</t>
  </si>
  <si>
    <t>Erenler HES</t>
  </si>
  <si>
    <t>Erfelek HES</t>
  </si>
  <si>
    <t>Esendurak HES</t>
  </si>
  <si>
    <t>Eskiköy HES</t>
  </si>
  <si>
    <t>Eşen I Barajı HES</t>
  </si>
  <si>
    <t>Feke I HES</t>
  </si>
  <si>
    <t>Feslek HES (Serbest Ürt)</t>
  </si>
  <si>
    <t>Fındık HES</t>
  </si>
  <si>
    <t xml:space="preserve">Fırnıs HES </t>
  </si>
  <si>
    <t>Gecür HES</t>
  </si>
  <si>
    <t>Gelinkaya HES</t>
  </si>
  <si>
    <t>Gök HES</t>
  </si>
  <si>
    <t>Gökgedik HES</t>
  </si>
  <si>
    <t>Gökmen HES</t>
  </si>
  <si>
    <t xml:space="preserve">Gökyar HES </t>
  </si>
  <si>
    <t xml:space="preserve">Gözede I HES </t>
  </si>
  <si>
    <t>Güneşli HES</t>
  </si>
  <si>
    <t>Güzelçay I HES</t>
  </si>
  <si>
    <t>Güzeloluk HES</t>
  </si>
  <si>
    <t>Hacınınoğlu Kandil  HES</t>
  </si>
  <si>
    <t>Hamzalı HES</t>
  </si>
  <si>
    <t>Hasankale HES</t>
  </si>
  <si>
    <t>Hasanlar Kanal HES</t>
  </si>
  <si>
    <t>Horu HES</t>
  </si>
  <si>
    <t>Horyan HES</t>
  </si>
  <si>
    <t>Irmak HES</t>
  </si>
  <si>
    <t>İncesu HES</t>
  </si>
  <si>
    <t>İncirli HES</t>
  </si>
  <si>
    <t>Kahta I HES</t>
  </si>
  <si>
    <t xml:space="preserve">Kale HES </t>
  </si>
  <si>
    <t>Kale HES</t>
  </si>
  <si>
    <t xml:space="preserve">Kalealtı HES </t>
  </si>
  <si>
    <t>Kalen I HES</t>
  </si>
  <si>
    <t>Aksu HES</t>
  </si>
  <si>
    <t>Kaletepe HES</t>
  </si>
  <si>
    <t>Kandil Dağdelen HES</t>
  </si>
  <si>
    <t>Karaköy HES</t>
  </si>
  <si>
    <t xml:space="preserve">Karasu HES </t>
  </si>
  <si>
    <t>Karasu I HES</t>
  </si>
  <si>
    <t>Karasu V  HES</t>
  </si>
  <si>
    <t>Kargılık HES (Serbest Ürt)</t>
  </si>
  <si>
    <t>Karşıyaka HES</t>
  </si>
  <si>
    <t>Kartalkaya HES</t>
  </si>
  <si>
    <t>Kavakçalı HES</t>
  </si>
  <si>
    <t>Kavşak Bendi HES</t>
  </si>
  <si>
    <t>Kayabükü HES</t>
  </si>
  <si>
    <t xml:space="preserve">Keban Deresi HES </t>
  </si>
  <si>
    <t>Keklicek HES</t>
  </si>
  <si>
    <t>Kemerçayır HES</t>
  </si>
  <si>
    <t>Kepezkaya HES</t>
  </si>
  <si>
    <t>Kıran HES</t>
  </si>
  <si>
    <t>Kırıkdağ HES</t>
  </si>
  <si>
    <t>Kıy HES</t>
  </si>
  <si>
    <t>Kirazlık HES</t>
  </si>
  <si>
    <t>Koçak HES</t>
  </si>
  <si>
    <t>Koruköy HES</t>
  </si>
  <si>
    <t>Kozan HES (Kozan Barajı Dipsavak Çıkışı)</t>
  </si>
  <si>
    <t>Kozdere HES</t>
  </si>
  <si>
    <t>Köknar HES</t>
  </si>
  <si>
    <t>Köprübaşı HES</t>
  </si>
  <si>
    <t>Köyobası HES</t>
  </si>
  <si>
    <t>Kulp I HES</t>
  </si>
  <si>
    <t>Kumköy HES</t>
  </si>
  <si>
    <t>Kürce HES</t>
  </si>
  <si>
    <t>Mavi HES</t>
  </si>
  <si>
    <t xml:space="preserve">Molu HES  </t>
  </si>
  <si>
    <t>Murgul HES</t>
  </si>
  <si>
    <t>Narinkale HES</t>
  </si>
  <si>
    <t>Niksar HES</t>
  </si>
  <si>
    <t>Ordu HES</t>
  </si>
  <si>
    <t>Ortaçağ HES</t>
  </si>
  <si>
    <t>Osmancık HES</t>
  </si>
  <si>
    <t>Otluca HES</t>
  </si>
  <si>
    <t>Oylat I HES</t>
  </si>
  <si>
    <t>Ören HES</t>
  </si>
  <si>
    <t>Özlüce (Çoruh) HES</t>
  </si>
  <si>
    <t>Pamukova HES (Serbest Ürt)</t>
  </si>
  <si>
    <t>Papart HES</t>
  </si>
  <si>
    <t>Pirinçli HES</t>
  </si>
  <si>
    <t xml:space="preserve">Polat HES </t>
  </si>
  <si>
    <t>Poyraz HES</t>
  </si>
  <si>
    <t>Remsu HES</t>
  </si>
  <si>
    <t>Saf I HES</t>
  </si>
  <si>
    <t>Sancar HES</t>
  </si>
  <si>
    <t>Saraçbendi HES</t>
  </si>
  <si>
    <t>Sarıhıdır I HES</t>
  </si>
  <si>
    <t>Sarıkavak HES</t>
  </si>
  <si>
    <t>Sarımehmet HES</t>
  </si>
  <si>
    <t>Sarıtepe HES</t>
  </si>
  <si>
    <t xml:space="preserve">Sarmaşık I HES </t>
  </si>
  <si>
    <t>Sayan HES</t>
  </si>
  <si>
    <t>Sena HES</t>
  </si>
  <si>
    <t>Sırakonaklar HES</t>
  </si>
  <si>
    <t>Sırma HES</t>
  </si>
  <si>
    <t>Soğukpınar HES</t>
  </si>
  <si>
    <t>Sukenarı HES</t>
  </si>
  <si>
    <t>Suluköy HES</t>
  </si>
  <si>
    <t>Sümer HES</t>
  </si>
  <si>
    <t>Şifrin HES</t>
  </si>
  <si>
    <t>Taşova-Yenidereköy HES</t>
  </si>
  <si>
    <t xml:space="preserve">Tayfun HES </t>
  </si>
  <si>
    <t>Tefen HES</t>
  </si>
  <si>
    <t>Telli-I HES</t>
  </si>
  <si>
    <t>Tınaztepe HES</t>
  </si>
  <si>
    <t>Tocak I HES</t>
  </si>
  <si>
    <t>Torlar HES</t>
  </si>
  <si>
    <t>Toros HES</t>
  </si>
  <si>
    <t>Tuztaşı HES</t>
  </si>
  <si>
    <t>Üçhanlar HES</t>
  </si>
  <si>
    <t>Üçharmanlar HES</t>
  </si>
  <si>
    <t>Üçkaya HES</t>
  </si>
  <si>
    <t>Üzümlü HES</t>
  </si>
  <si>
    <t>Vizara Reg. HES</t>
  </si>
  <si>
    <t>Yahyabey HES</t>
  </si>
  <si>
    <t>Yamaç HES   (Mehmetli Barajı )</t>
  </si>
  <si>
    <t>Yaprak HES</t>
  </si>
  <si>
    <t>Yaşıl HES</t>
  </si>
  <si>
    <t>Yavuz  HES</t>
  </si>
  <si>
    <t>Yavuz HES</t>
  </si>
  <si>
    <t>Yayla HES</t>
  </si>
  <si>
    <t>Yaylabel HES</t>
  </si>
  <si>
    <t>Yazı HES</t>
  </si>
  <si>
    <t>Yazyurdu HES</t>
  </si>
  <si>
    <t>Yeşil HES</t>
  </si>
  <si>
    <t>Yeşilvadi HES</t>
  </si>
  <si>
    <t>Yokuşlu Kalkandere HES</t>
  </si>
  <si>
    <t xml:space="preserve">Yukarı Mercan HES </t>
  </si>
  <si>
    <t>Yüce HES</t>
  </si>
  <si>
    <t>Gönen Barajı ve HES</t>
  </si>
  <si>
    <t xml:space="preserve">Aksu Reg. ve Şahmallar HES </t>
  </si>
  <si>
    <t>Alkumru Barajı ve HES</t>
  </si>
  <si>
    <t>Araklı I Reg. ve HES</t>
  </si>
  <si>
    <t>Arca Reg. ve HES</t>
  </si>
  <si>
    <t>Arpa Reg. ve HES</t>
  </si>
  <si>
    <t>Avanos Reg. ve Cemel HES</t>
  </si>
  <si>
    <t>Avcılar Reg. ve  HES</t>
  </si>
  <si>
    <t>Bağışlı Reg. ve HES</t>
  </si>
  <si>
    <t>Balkodu I Reg. ve HES</t>
  </si>
  <si>
    <t>Balkusan Barajı ve HES</t>
  </si>
  <si>
    <t>Bayramhacılı Barajı ve HES</t>
  </si>
  <si>
    <t>Boyabat Barajı ve HES</t>
  </si>
  <si>
    <t>Boztepe Reg. ve HES</t>
  </si>
  <si>
    <t>Bulam Reg ve  HES</t>
  </si>
  <si>
    <t>Burç Bendi ve HES</t>
  </si>
  <si>
    <t>Cevizlik Barajı ve HES</t>
  </si>
  <si>
    <t>Ceyhan Barajı ve HES</t>
  </si>
  <si>
    <t>Cindere Barajı ve HES</t>
  </si>
  <si>
    <t>Cüniş Reg. ve HES</t>
  </si>
  <si>
    <t>Çağlayan Reg. ve HES</t>
  </si>
  <si>
    <t>Çakırman Reg. ve HES</t>
  </si>
  <si>
    <t xml:space="preserve">Çalkışla Reg. ve HES </t>
  </si>
  <si>
    <t>Çambaşı Reg. ve HES</t>
  </si>
  <si>
    <t>Çamlıca Iıı Barajı ve  HES</t>
  </si>
  <si>
    <t>Çarşamba Reg. ve HES</t>
  </si>
  <si>
    <t xml:space="preserve">Çaygören Barajı ve HES </t>
  </si>
  <si>
    <t>Çenger Reg. ve HES</t>
  </si>
  <si>
    <t>Çermikler Barajı ve HES</t>
  </si>
  <si>
    <t>Çırakdamı Reg. ve HES</t>
  </si>
  <si>
    <t>Çiğdem Reg. ve HES</t>
  </si>
  <si>
    <t>Devecikonağı Barajı ve HES</t>
  </si>
  <si>
    <t>Dim Barajı ve HES</t>
  </si>
  <si>
    <t>Dumlu Reg. ve HES</t>
  </si>
  <si>
    <t>Erkenek Reg. ve HES</t>
  </si>
  <si>
    <t>Garzan Barajı ve HES</t>
  </si>
  <si>
    <t>Gemciler Reg.ve HES</t>
  </si>
  <si>
    <t>Güllübağ Barajı ve HES</t>
  </si>
  <si>
    <t>Günayşe Reg. ve HES</t>
  </si>
  <si>
    <t>Günder Barajı ve HES</t>
  </si>
  <si>
    <t>Kahraman Reg. ve HES</t>
  </si>
  <si>
    <t>Kale Reg. ve HES</t>
  </si>
  <si>
    <t>Kandil Barajı ve HES</t>
  </si>
  <si>
    <t>Kayalık Reg.ve HES</t>
  </si>
  <si>
    <t>Kesme Reg ve HES</t>
  </si>
  <si>
    <t>Kozak Bendi ve HES</t>
  </si>
  <si>
    <t>Köprü Barajı ve HES</t>
  </si>
  <si>
    <t>Köprübaşı  Barajı ve HES</t>
  </si>
  <si>
    <t>Kuşaklı Barajı ve HES</t>
  </si>
  <si>
    <t>Menge Barajı ve HES</t>
  </si>
  <si>
    <t xml:space="preserve">Mentaş Reg. ve HES </t>
  </si>
  <si>
    <t>Merekler Reg. ve Algölü HES</t>
  </si>
  <si>
    <t>Midilli Reg. ve HES</t>
  </si>
  <si>
    <t>Muratlı Reg. ve HES</t>
  </si>
  <si>
    <t>Pamuk Reg. ve HES (Serbest Ürt)</t>
  </si>
  <si>
    <t>Paşa Reg. ve HES</t>
  </si>
  <si>
    <t>Pınar Reg. ve HES</t>
  </si>
  <si>
    <t xml:space="preserve">Kandil Sarıgüzel Barajı ve HES </t>
  </si>
  <si>
    <t>Sefaköy Barajı ve HES</t>
  </si>
  <si>
    <t>Selimoğlu Reg.ve HES</t>
  </si>
  <si>
    <t>Sırımtaş Barajı ve HES</t>
  </si>
  <si>
    <t xml:space="preserve">Sugözü Reg. ve Kızıldüz HES </t>
  </si>
  <si>
    <t xml:space="preserve">Tahta Reg. ve HES </t>
  </si>
  <si>
    <t>Tatar Barajı ve HES</t>
  </si>
  <si>
    <t>Teleme Reg.ve HES</t>
  </si>
  <si>
    <t>Tuna  Barajı ve HES</t>
  </si>
  <si>
    <t>Tuzköy Reg. ve HES</t>
  </si>
  <si>
    <t>Uluabat Kuvvet Tüneli ve HES</t>
  </si>
  <si>
    <t xml:space="preserve">Uzunçayır Barajı ve HES </t>
  </si>
  <si>
    <t>Yağmur Reg. ve HES (Akfen)</t>
  </si>
  <si>
    <t>Yedigöl Reg. ve HES</t>
  </si>
  <si>
    <t>Yedigöze Barajı  ve  HES</t>
  </si>
  <si>
    <t>Yedisu Barajı ve HES</t>
  </si>
  <si>
    <t>Yeşilırmak I Reg. ve HES</t>
  </si>
  <si>
    <t>Yıldırım Reg. ve HES</t>
  </si>
  <si>
    <t>Yıldızlı Reg. ve HES</t>
  </si>
  <si>
    <t xml:space="preserve">Yukarı Manahoz Reg. ve HES </t>
  </si>
  <si>
    <t>Zamantı Bahçelik Barajı ve HES</t>
  </si>
  <si>
    <t>Zeytin Reg. ve HES</t>
  </si>
  <si>
    <t>Yaprak II HES</t>
  </si>
  <si>
    <t>Yamanlı III (Gökkaya Barajı)</t>
  </si>
  <si>
    <t>Yamanlı III (Himmetli)</t>
  </si>
  <si>
    <t>Hazar I (İHD) HES</t>
  </si>
  <si>
    <t>Akköy II Barajı ve HES</t>
  </si>
  <si>
    <t>Aksu Reg. ve HES</t>
  </si>
  <si>
    <t>Visera (Işıklar) HES</t>
  </si>
  <si>
    <t>Çamlıca I Barajı ve HES</t>
  </si>
  <si>
    <t>Hazar II (İHD) HES</t>
  </si>
  <si>
    <t>Akköy I Barajı ve HES</t>
  </si>
  <si>
    <t>Alabalık I-II Reg. ve HES</t>
  </si>
  <si>
    <t xml:space="preserve">Altıntepe-Suşehri HES </t>
  </si>
  <si>
    <t xml:space="preserve">Beypınarı-Suşehri HES </t>
  </si>
  <si>
    <t xml:space="preserve">Gölova HES-Suşehri HES </t>
  </si>
  <si>
    <t>Konak-Suşehri HES</t>
  </si>
  <si>
    <t xml:space="preserve">Sevindik HES-Suşehri HES </t>
  </si>
  <si>
    <t>Araklı IV. Reg. ve HES</t>
  </si>
  <si>
    <t>Aşağıdalaman I HES (OTOP)</t>
  </si>
  <si>
    <t>Aşağıdalaman II HES (OTOP)</t>
  </si>
  <si>
    <t>Aşağıdalaman III HES (OTOP)</t>
  </si>
  <si>
    <t>Aşağıdalaman IV HES (OTOP)</t>
  </si>
  <si>
    <t>Aşağıdalaman V HES (OTOP)</t>
  </si>
  <si>
    <t>Azmak I-II ve Kirpilik HES</t>
  </si>
  <si>
    <t>Ayvasıl Reg. ve HES</t>
  </si>
  <si>
    <t>Bağcı-Beyobası HES (OTOP)</t>
  </si>
  <si>
    <t>Hacılar (Gökpınar) (OTOP)</t>
  </si>
  <si>
    <t>Süleymanlı HES (OTOP)</t>
  </si>
  <si>
    <t>Bağıştaş II  HES</t>
  </si>
  <si>
    <t>Bangal Reg. ve Kuşluk HES</t>
  </si>
  <si>
    <t>Bereket II HES (Serbest Ürt)</t>
  </si>
  <si>
    <t>Bükor II HES</t>
  </si>
  <si>
    <t>Cevher I-II HES</t>
  </si>
  <si>
    <t>Darıca HES I</t>
  </si>
  <si>
    <t>Dinar Reg. ve HES</t>
  </si>
  <si>
    <t>Dinç Reg. ve HES</t>
  </si>
  <si>
    <t>Duru I Reg ve HES</t>
  </si>
  <si>
    <t>Duru II Reg. ve HES</t>
  </si>
  <si>
    <t>Egemen I HES</t>
  </si>
  <si>
    <t>Eğlence II HES</t>
  </si>
  <si>
    <t>Eşen  II  HES (Serbest Ürt)</t>
  </si>
  <si>
    <t xml:space="preserve">Feke II Barajı ve HES </t>
  </si>
  <si>
    <t>Gözede II HES</t>
  </si>
  <si>
    <t>Güdül I-II HES</t>
  </si>
  <si>
    <t>Güneşli II HES</t>
  </si>
  <si>
    <t>Kabaca Reg. ve HES</t>
  </si>
  <si>
    <t>Kalecik I-II-III HES</t>
  </si>
  <si>
    <t>Kalen II HES</t>
  </si>
  <si>
    <t>Karasu II  HES</t>
  </si>
  <si>
    <t>Karasu IV-II</t>
  </si>
  <si>
    <t>Karasu IV-III</t>
  </si>
  <si>
    <t>Kayaköprü II HES</t>
  </si>
  <si>
    <t>Kirazdere HES (Kızkalesi HES)</t>
  </si>
  <si>
    <t>Kulp IV HES</t>
  </si>
  <si>
    <t>Lamas III-IV HES</t>
  </si>
  <si>
    <t xml:space="preserve">Mor-II HES </t>
  </si>
  <si>
    <t xml:space="preserve">Muradiye-Ayrancılar  (Şelale-Ayrancılar HES) </t>
  </si>
  <si>
    <t>Murat-I-II HES</t>
  </si>
  <si>
    <t xml:space="preserve">Mursal I-II HES </t>
  </si>
  <si>
    <t>Reşadiye I-II-III HES</t>
  </si>
  <si>
    <t>Sabunsuyu II HES</t>
  </si>
  <si>
    <t xml:space="preserve">Sarmaşık II HES </t>
  </si>
  <si>
    <t>Seyrantepe Barajı ve HES</t>
  </si>
  <si>
    <t>Söğütlükaya (Posof III) HES</t>
  </si>
  <si>
    <t>Tonya I-II HES</t>
  </si>
  <si>
    <t>Tuğra I-II-III HES</t>
  </si>
  <si>
    <t>Tuzlaköy-Serge Reg. ve HES</t>
  </si>
  <si>
    <t xml:space="preserve">Umut Reg ve HES </t>
  </si>
  <si>
    <t>Uzundere I HES</t>
  </si>
  <si>
    <t>Uzundere II HES</t>
  </si>
  <si>
    <t>Yalnızca Reg. ve HES</t>
  </si>
  <si>
    <t>Yaprak I Barajı ve HES</t>
  </si>
  <si>
    <t>IBBS(1) - 3. Düzey</t>
  </si>
  <si>
    <t>(1) İstatistiki Bölge Birimleri Sınıflaması.</t>
  </si>
  <si>
    <r>
      <t>İBBS</t>
    </r>
    <r>
      <rPr>
        <b/>
        <vertAlign val="superscript"/>
        <sz val="12"/>
        <rFont val="Times New Roman"/>
        <family val="1"/>
        <charset val="162"/>
      </rPr>
      <t xml:space="preserve">(1) </t>
    </r>
    <r>
      <rPr>
        <b/>
        <sz val="12"/>
        <rFont val="Times New Roman"/>
        <family val="1"/>
        <charset val="162"/>
      </rPr>
      <t xml:space="preserve">- 3. Düzey         </t>
    </r>
  </si>
  <si>
    <t>Ortalama Enerji Üretimi (GWh/Yıl)</t>
  </si>
  <si>
    <t xml:space="preserve">Ortalama Enerji Üretimi(GWh/Yıl)
</t>
  </si>
  <si>
    <t>Akdere Reg. ve HES</t>
  </si>
  <si>
    <t>Akköy I Cansuyu HES</t>
  </si>
  <si>
    <t>Akköy II Aladereçam HES</t>
  </si>
  <si>
    <t>Aksu Reg ve HES</t>
  </si>
  <si>
    <t>Arısu HES</t>
  </si>
  <si>
    <t>Arkun  Barajı ve HES</t>
  </si>
  <si>
    <t>Baran HES</t>
  </si>
  <si>
    <t>Boğazköy Barajı Ve HES</t>
  </si>
  <si>
    <t>Çağlayan HES</t>
  </si>
  <si>
    <t>Çamlıca II HES</t>
  </si>
  <si>
    <t>Dağbaşı HES</t>
  </si>
  <si>
    <t>Dereli HES</t>
  </si>
  <si>
    <t>Doğançay HES</t>
  </si>
  <si>
    <t>Ekincik HES</t>
  </si>
  <si>
    <t>Ekinözü I-II HES</t>
  </si>
  <si>
    <t>Eren HES</t>
  </si>
  <si>
    <t>General HES</t>
  </si>
  <si>
    <t>Gökbel I-II HES</t>
  </si>
  <si>
    <t>Havva HES</t>
  </si>
  <si>
    <t>Kamer Reg. Ve HES</t>
  </si>
  <si>
    <t>Koçlu HES</t>
  </si>
  <si>
    <t xml:space="preserve">Köroğlu HES </t>
  </si>
  <si>
    <t xml:space="preserve">Murat HES </t>
  </si>
  <si>
    <t>Pirinçlik HES</t>
  </si>
  <si>
    <t xml:space="preserve">Piro Reg Ve HES </t>
  </si>
  <si>
    <t>Saray HES</t>
  </si>
  <si>
    <t>Serap HES</t>
  </si>
  <si>
    <t>Sölperen HES</t>
  </si>
  <si>
    <t>Tokmadin HES</t>
  </si>
  <si>
    <t>Tuana HES</t>
  </si>
  <si>
    <t>Üçgen HES</t>
  </si>
  <si>
    <t>Yakınca Reg. Ve HES</t>
  </si>
  <si>
    <t>Yazılı I-II-III HES</t>
  </si>
  <si>
    <t>Yeşilköy Reg. Ve HES</t>
  </si>
  <si>
    <t>Zala HES</t>
  </si>
  <si>
    <t>Zekere HES</t>
  </si>
  <si>
    <t>Gökboyun Reg ve HES</t>
  </si>
  <si>
    <t>Gürgen Reg. ve HES</t>
  </si>
  <si>
    <t>Hamzabey Reg. ve HES</t>
  </si>
  <si>
    <t xml:space="preserve">Kanal </t>
  </si>
  <si>
    <t>Araklı -III Reg. ve HES</t>
  </si>
  <si>
    <t>Üçgen II HES</t>
  </si>
  <si>
    <t>Düzce - Aksu HES</t>
  </si>
  <si>
    <t>Satır Etiketleri</t>
  </si>
  <si>
    <t>Genel Toplam</t>
  </si>
  <si>
    <t>Toplam Ortalama Enerji Üretimi(GWh/Yıl)</t>
  </si>
  <si>
    <t>2.4.2.Özel Sektör Tarafından İnşa Edilen Hidroelektrik Santraller, 1924-2014</t>
  </si>
  <si>
    <t>Hes Sayısı</t>
  </si>
  <si>
    <t>Toplam Balıkesir</t>
  </si>
  <si>
    <t>Toplam Aydın</t>
  </si>
  <si>
    <t>Toplam Denizli</t>
  </si>
  <si>
    <t>Toplam Muğla</t>
  </si>
  <si>
    <t>Toplam Afyonkarahisar</t>
  </si>
  <si>
    <t>Toplam Kütahya</t>
  </si>
  <si>
    <t>Toplam Bursa</t>
  </si>
  <si>
    <t>Toplam Eskişehir</t>
  </si>
  <si>
    <t>Toplam Bilecik</t>
  </si>
  <si>
    <t>Toplam Kocaeli</t>
  </si>
  <si>
    <t>Toplam Sakarya</t>
  </si>
  <si>
    <t>Toplam Düzce</t>
  </si>
  <si>
    <t>Toplam Bolu</t>
  </si>
  <si>
    <t>Toplam Ankara</t>
  </si>
  <si>
    <t>Toplam Konya</t>
  </si>
  <si>
    <t>Toplam Karaman</t>
  </si>
  <si>
    <t>Toplam Antalya</t>
  </si>
  <si>
    <t>Toplam Isparta</t>
  </si>
  <si>
    <t>Toplam Adana</t>
  </si>
  <si>
    <t>Toplam Mersin</t>
  </si>
  <si>
    <t>Toplam Hatay</t>
  </si>
  <si>
    <t>Toplam Kahramanmaraş</t>
  </si>
  <si>
    <t>Toplam Osmaniye</t>
  </si>
  <si>
    <t>Toplam Kırıkkale</t>
  </si>
  <si>
    <t>Toplam Niğde</t>
  </si>
  <si>
    <t>Toplam Nevşehir</t>
  </si>
  <si>
    <t>Toplam Kayseri</t>
  </si>
  <si>
    <t>Toplam Sivas</t>
  </si>
  <si>
    <t>Toplam Zonguldak</t>
  </si>
  <si>
    <t>Toplam Karabük</t>
  </si>
  <si>
    <t>Toplam Bartın</t>
  </si>
  <si>
    <t>Toplam Kastamonu</t>
  </si>
  <si>
    <t>Toplam Çankırı</t>
  </si>
  <si>
    <t>Toplam Sinop</t>
  </si>
  <si>
    <t>Toplam Samsun</t>
  </si>
  <si>
    <t>Toplam Tokat</t>
  </si>
  <si>
    <t>Toplam Çorum</t>
  </si>
  <si>
    <t>Toplam Amasya</t>
  </si>
  <si>
    <t>Toplam Trabzon</t>
  </si>
  <si>
    <t>Toplam Ordu</t>
  </si>
  <si>
    <t>Toplam Giresun</t>
  </si>
  <si>
    <t>Toplam Rize</t>
  </si>
  <si>
    <t>Toplam Artvin</t>
  </si>
  <si>
    <t>Toplam Gümüşhane</t>
  </si>
  <si>
    <t>Toplam Erzurum</t>
  </si>
  <si>
    <t>Toplam Erzincan</t>
  </si>
  <si>
    <t>Toplam Bayburt</t>
  </si>
  <si>
    <t>Toplam Kars</t>
  </si>
  <si>
    <t>Toplam Iğdır</t>
  </si>
  <si>
    <t>Toplam Ardahan</t>
  </si>
  <si>
    <t>Toplam Malatya</t>
  </si>
  <si>
    <t>Toplam Elazığ</t>
  </si>
  <si>
    <t>Toplam Bingöl</t>
  </si>
  <si>
    <t>Toplam Tunceli</t>
  </si>
  <si>
    <t>Toplam Van</t>
  </si>
  <si>
    <t>Toplam Muş</t>
  </si>
  <si>
    <t>Toplam Bitlis</t>
  </si>
  <si>
    <t>Toplam Hakkari</t>
  </si>
  <si>
    <t>Toplam Gaziantep</t>
  </si>
  <si>
    <t>Toplam Adıyaman</t>
  </si>
  <si>
    <t>Toplam Şanlıurfa</t>
  </si>
  <si>
    <t>Toplam Diyarbakır</t>
  </si>
  <si>
    <t>Toplam Mardin</t>
  </si>
  <si>
    <t>Toplam Batman</t>
  </si>
  <si>
    <t>Toplam Şırnak</t>
  </si>
  <si>
    <t>Toplam Siirt</t>
  </si>
  <si>
    <t xml:space="preserve"> IBBS(1) - 3. Düzey</t>
  </si>
  <si>
    <t xml:space="preserve"> Hes Sayısı</t>
  </si>
  <si>
    <t xml:space="preserve"> Kurulu Güç (MW)</t>
  </si>
  <si>
    <t>2.4.2.İllere Göre Özel Sektör Tarafından İnşa Edilen Hidroelektrik Santraller, 1924-2014</t>
  </si>
  <si>
    <t xml:space="preserve"> Ortalama Enerji Üretimi (GWh/Yıl)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</si>
</sst>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8"/>
      <color indexed="62"/>
      <name val="Cambria"/>
      <family val="2"/>
      <charset val="162"/>
      <scheme val="major"/>
    </font>
    <font>
      <sz val="11"/>
      <color indexed="10"/>
      <name val="Calibri"/>
      <family val="2"/>
      <charset val="162"/>
      <scheme val="minor"/>
    </font>
    <font>
      <b/>
      <sz val="15"/>
      <color indexed="62"/>
      <name val="Calibri"/>
      <family val="2"/>
      <charset val="162"/>
      <scheme val="minor"/>
    </font>
    <font>
      <b/>
      <sz val="13"/>
      <color indexed="62"/>
      <name val="Calibri"/>
      <family val="2"/>
      <charset val="162"/>
      <scheme val="minor"/>
    </font>
    <font>
      <b/>
      <sz val="11"/>
      <color indexed="62"/>
      <name val="Calibri"/>
      <family val="2"/>
      <charset val="162"/>
      <scheme val="minor"/>
    </font>
    <font>
      <b/>
      <sz val="11"/>
      <color indexed="10"/>
      <name val="Calibri"/>
      <family val="2"/>
      <charset val="162"/>
      <scheme val="minor"/>
    </font>
    <font>
      <sz val="10"/>
      <name val="Arial Tur"/>
      <charset val="162"/>
    </font>
    <font>
      <sz val="11"/>
      <color indexed="8"/>
      <name val="Calibri"/>
      <family val="2"/>
    </font>
    <font>
      <sz val="11"/>
      <color indexed="8"/>
      <name val="Calibri"/>
      <family val="2"/>
      <charset val="162"/>
    </font>
    <font>
      <sz val="11"/>
      <color indexed="19"/>
      <name val="Calibri"/>
      <family val="2"/>
      <charset val="162"/>
      <scheme val="minor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  <font>
      <sz val="10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vertAlign val="superscript"/>
      <sz val="12"/>
      <name val="Times New Roman"/>
      <family val="1"/>
      <charset val="162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9"/>
      </patternFill>
    </fill>
    <fill>
      <patternFill patternType="solid">
        <fgColor indexed="43"/>
      </patternFill>
    </fill>
    <fill>
      <patternFill patternType="solid">
        <fgColor indexed="46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5"/>
      </top>
      <bottom/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5"/>
      </top>
      <bottom/>
      <diagonal/>
    </border>
    <border>
      <left style="medium">
        <color indexed="64"/>
      </left>
      <right style="medium">
        <color indexed="64"/>
      </right>
      <top style="thin">
        <color indexed="6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5"/>
      </left>
      <right/>
      <top/>
      <bottom style="medium">
        <color indexed="64"/>
      </bottom>
      <diagonal/>
    </border>
    <border>
      <left style="thin">
        <color indexed="8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5"/>
      </left>
      <right style="thin">
        <color indexed="8"/>
      </right>
      <top/>
      <bottom style="medium">
        <color indexed="64"/>
      </bottom>
      <diagonal/>
    </border>
  </borders>
  <cellStyleXfs count="83">
    <xf numFmtId="0" fontId="0" fillId="0" borderId="0"/>
    <xf numFmtId="0" fontId="9" fillId="0" borderId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3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5" fillId="16" borderId="2" applyNumberFormat="0" applyAlignment="0" applyProtection="0"/>
    <xf numFmtId="0" fontId="4" fillId="17" borderId="1" applyNumberFormat="0" applyAlignment="0" applyProtection="0"/>
    <xf numFmtId="0" fontId="15" fillId="16" borderId="1" applyNumberFormat="0" applyAlignment="0" applyProtection="0"/>
    <xf numFmtId="0" fontId="2" fillId="12" borderId="0" applyNumberFormat="0" applyBorder="0" applyAlignment="0" applyProtection="0"/>
    <xf numFmtId="0" fontId="3" fillId="18" borderId="0" applyNumberFormat="0" applyBorder="0" applyAlignment="0" applyProtection="0"/>
    <xf numFmtId="0" fontId="16" fillId="0" borderId="0"/>
    <xf numFmtId="0" fontId="16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7" fillId="0" borderId="0"/>
    <xf numFmtId="0" fontId="1" fillId="0" borderId="0"/>
    <xf numFmtId="0" fontId="18" fillId="3" borderId="3" applyNumberFormat="0" applyFont="0" applyAlignment="0" applyProtection="0"/>
    <xf numFmtId="0" fontId="18" fillId="3" borderId="3" applyNumberFormat="0" applyFont="0" applyAlignment="0" applyProtection="0"/>
    <xf numFmtId="0" fontId="19" fillId="2" borderId="0" applyNumberFormat="0" applyBorder="0" applyAlignment="0" applyProtection="0"/>
    <xf numFmtId="0" fontId="6" fillId="0" borderId="9" applyNumberFormat="0" applyFill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</cellStyleXfs>
  <cellXfs count="211">
    <xf numFmtId="0" fontId="0" fillId="0" borderId="0" xfId="0"/>
    <xf numFmtId="0" fontId="21" fillId="22" borderId="4" xfId="1" applyFont="1" applyFill="1" applyBorder="1" applyAlignment="1">
      <alignment horizontal="left" vertical="center" shrinkToFit="1"/>
    </xf>
    <xf numFmtId="0" fontId="21" fillId="22" borderId="4" xfId="1" applyFont="1" applyFill="1" applyBorder="1" applyAlignment="1">
      <alignment horizontal="center" vertical="center" shrinkToFit="1"/>
    </xf>
    <xf numFmtId="0" fontId="21" fillId="22" borderId="4" xfId="1" applyFont="1" applyFill="1" applyBorder="1" applyAlignment="1">
      <alignment horizontal="right" vertical="center" wrapText="1" shrinkToFit="1"/>
    </xf>
    <xf numFmtId="0" fontId="21" fillId="22" borderId="4" xfId="1" applyFont="1" applyFill="1" applyBorder="1" applyAlignment="1">
      <alignment horizontal="right" vertical="center" shrinkToFit="1"/>
    </xf>
    <xf numFmtId="0" fontId="21" fillId="22" borderId="4" xfId="63" applyFont="1" applyFill="1" applyBorder="1" applyAlignment="1">
      <alignment horizontal="left" vertical="center" wrapText="1"/>
    </xf>
    <xf numFmtId="0" fontId="21" fillId="22" borderId="4" xfId="63" applyFont="1" applyFill="1" applyBorder="1" applyAlignment="1">
      <alignment horizontal="center" vertical="center" wrapText="1" shrinkToFit="1"/>
    </xf>
    <xf numFmtId="0" fontId="21" fillId="22" borderId="4" xfId="63" applyFont="1" applyFill="1" applyBorder="1" applyAlignment="1">
      <alignment horizontal="right" vertical="center" wrapText="1" shrinkToFit="1"/>
    </xf>
    <xf numFmtId="0" fontId="21" fillId="22" borderId="4" xfId="1" applyFont="1" applyFill="1" applyBorder="1" applyAlignment="1">
      <alignment horizontal="left" vertical="center"/>
    </xf>
    <xf numFmtId="0" fontId="21" fillId="22" borderId="4" xfId="1" applyFont="1" applyFill="1" applyBorder="1" applyAlignment="1">
      <alignment horizontal="center" vertical="center"/>
    </xf>
    <xf numFmtId="0" fontId="21" fillId="22" borderId="4" xfId="1" applyFont="1" applyFill="1" applyBorder="1" applyAlignment="1">
      <alignment horizontal="right" vertical="center" wrapText="1"/>
    </xf>
    <xf numFmtId="0" fontId="21" fillId="22" borderId="4" xfId="0" applyFont="1" applyFill="1" applyBorder="1" applyAlignment="1">
      <alignment horizontal="left" vertical="center" wrapText="1" shrinkToFit="1"/>
    </xf>
    <xf numFmtId="0" fontId="21" fillId="22" borderId="4" xfId="63" applyFont="1" applyFill="1" applyBorder="1" applyAlignment="1">
      <alignment horizontal="left" vertical="center" wrapText="1" shrinkToFit="1"/>
    </xf>
    <xf numFmtId="2" fontId="21" fillId="22" borderId="4" xfId="63" applyNumberFormat="1" applyFont="1" applyFill="1" applyBorder="1" applyAlignment="1">
      <alignment horizontal="left" vertical="center" shrinkToFit="1"/>
    </xf>
    <xf numFmtId="0" fontId="21" fillId="22" borderId="4" xfId="63" applyFont="1" applyFill="1" applyBorder="1" applyAlignment="1">
      <alignment horizontal="left" vertical="center"/>
    </xf>
    <xf numFmtId="0" fontId="21" fillId="22" borderId="4" xfId="63" applyFont="1" applyFill="1" applyBorder="1" applyAlignment="1">
      <alignment horizontal="center" vertical="center"/>
    </xf>
    <xf numFmtId="0" fontId="21" fillId="22" borderId="4" xfId="63" applyFont="1" applyFill="1" applyBorder="1" applyAlignment="1">
      <alignment horizontal="right" vertical="center" wrapText="1"/>
    </xf>
    <xf numFmtId="0" fontId="21" fillId="22" borderId="4" xfId="63" applyNumberFormat="1" applyFont="1" applyFill="1" applyBorder="1" applyAlignment="1">
      <alignment horizontal="center" vertical="center" shrinkToFit="1"/>
    </xf>
    <xf numFmtId="0" fontId="21" fillId="22" borderId="4" xfId="63" applyFont="1" applyFill="1" applyBorder="1" applyAlignment="1">
      <alignment horizontal="right" vertical="center" shrinkToFit="1"/>
    </xf>
    <xf numFmtId="0" fontId="21" fillId="22" borderId="4" xfId="1" applyFont="1" applyFill="1" applyBorder="1" applyAlignment="1">
      <alignment horizontal="left" vertical="center" wrapText="1" shrinkToFit="1"/>
    </xf>
    <xf numFmtId="0" fontId="21" fillId="22" borderId="4" xfId="0" applyNumberFormat="1" applyFont="1" applyFill="1" applyBorder="1" applyAlignment="1">
      <alignment horizontal="center" vertical="center" wrapText="1" shrinkToFit="1"/>
    </xf>
    <xf numFmtId="14" fontId="21" fillId="22" borderId="4" xfId="0" applyNumberFormat="1" applyFont="1" applyFill="1" applyBorder="1" applyAlignment="1">
      <alignment horizontal="center" vertical="center" wrapText="1" shrinkToFit="1"/>
    </xf>
    <xf numFmtId="0" fontId="21" fillId="22" borderId="4" xfId="0" applyFont="1" applyFill="1" applyBorder="1" applyAlignment="1">
      <alignment horizontal="left" vertical="center" wrapText="1"/>
    </xf>
    <xf numFmtId="164" fontId="21" fillId="22" borderId="4" xfId="0" applyNumberFormat="1" applyFont="1" applyFill="1" applyBorder="1" applyAlignment="1">
      <alignment horizontal="right" vertical="center" wrapText="1"/>
    </xf>
    <xf numFmtId="0" fontId="21" fillId="22" borderId="4" xfId="0" applyNumberFormat="1" applyFont="1" applyFill="1" applyBorder="1" applyAlignment="1">
      <alignment horizontal="center" vertical="center"/>
    </xf>
    <xf numFmtId="14" fontId="21" fillId="22" borderId="4" xfId="0" applyNumberFormat="1" applyFont="1" applyFill="1" applyBorder="1" applyAlignment="1">
      <alignment horizontal="center" vertical="center" wrapText="1"/>
    </xf>
    <xf numFmtId="0" fontId="21" fillId="22" borderId="4" xfId="0" applyNumberFormat="1" applyFont="1" applyFill="1" applyBorder="1" applyAlignment="1">
      <alignment horizontal="center" vertical="center" wrapText="1"/>
    </xf>
    <xf numFmtId="164" fontId="21" fillId="22" borderId="4" xfId="1" applyNumberFormat="1" applyFont="1" applyFill="1" applyBorder="1" applyAlignment="1">
      <alignment horizontal="right" vertical="center" wrapText="1" shrinkToFit="1"/>
    </xf>
    <xf numFmtId="0" fontId="21" fillId="22" borderId="4" xfId="1" applyNumberFormat="1" applyFont="1" applyFill="1" applyBorder="1" applyAlignment="1">
      <alignment horizontal="center" vertical="center" wrapText="1" shrinkToFit="1"/>
    </xf>
    <xf numFmtId="164" fontId="21" fillId="22" borderId="4" xfId="0" applyNumberFormat="1" applyFont="1" applyFill="1" applyBorder="1" applyAlignment="1">
      <alignment horizontal="right" vertical="center" shrinkToFit="1"/>
    </xf>
    <xf numFmtId="164" fontId="21" fillId="22" borderId="4" xfId="1" applyNumberFormat="1" applyFont="1" applyFill="1" applyBorder="1" applyAlignment="1">
      <alignment horizontal="right" vertical="center"/>
    </xf>
    <xf numFmtId="14" fontId="21" fillId="22" borderId="4" xfId="1" applyNumberFormat="1" applyFont="1" applyFill="1" applyBorder="1" applyAlignment="1">
      <alignment horizontal="center" vertical="center" wrapText="1" shrinkToFit="1"/>
    </xf>
    <xf numFmtId="14" fontId="21" fillId="22" borderId="4" xfId="0" applyNumberFormat="1" applyFont="1" applyFill="1" applyBorder="1" applyAlignment="1">
      <alignment horizontal="center" vertical="center"/>
    </xf>
    <xf numFmtId="0" fontId="21" fillId="22" borderId="11" xfId="63" applyFont="1" applyFill="1" applyBorder="1" applyAlignment="1">
      <alignment horizontal="left" vertical="center" wrapText="1"/>
    </xf>
    <xf numFmtId="0" fontId="21" fillId="22" borderId="11" xfId="1" applyFont="1" applyFill="1" applyBorder="1" applyAlignment="1">
      <alignment horizontal="left" vertical="center" shrinkToFit="1"/>
    </xf>
    <xf numFmtId="14" fontId="21" fillId="22" borderId="11" xfId="0" applyNumberFormat="1" applyFont="1" applyFill="1" applyBorder="1" applyAlignment="1">
      <alignment horizontal="center" vertical="center" wrapText="1" shrinkToFit="1"/>
    </xf>
    <xf numFmtId="164" fontId="21" fillId="22" borderId="11" xfId="0" applyNumberFormat="1" applyFont="1" applyFill="1" applyBorder="1" applyAlignment="1">
      <alignment horizontal="right" vertical="center"/>
    </xf>
    <xf numFmtId="0" fontId="21" fillId="22" borderId="0" xfId="0" applyFont="1" applyFill="1"/>
    <xf numFmtId="164" fontId="21" fillId="22" borderId="0" xfId="0" applyNumberFormat="1" applyFont="1" applyFill="1"/>
    <xf numFmtId="0" fontId="21" fillId="22" borderId="0" xfId="0" applyFont="1" applyFill="1" applyAlignment="1"/>
    <xf numFmtId="164" fontId="21" fillId="22" borderId="0" xfId="0" applyNumberFormat="1" applyFont="1" applyFill="1" applyAlignment="1">
      <alignment horizontal="center"/>
    </xf>
    <xf numFmtId="0" fontId="21" fillId="22" borderId="0" xfId="0" applyFont="1" applyFill="1" applyAlignment="1">
      <alignment horizontal="center"/>
    </xf>
    <xf numFmtId="14" fontId="21" fillId="22" borderId="0" xfId="0" applyNumberFormat="1" applyFont="1" applyFill="1"/>
    <xf numFmtId="0" fontId="21" fillId="22" borderId="4" xfId="1" applyFont="1" applyFill="1" applyBorder="1" applyAlignment="1">
      <alignment vertical="center"/>
    </xf>
    <xf numFmtId="0" fontId="21" fillId="22" borderId="4" xfId="0" applyFont="1" applyFill="1" applyBorder="1" applyAlignment="1">
      <alignment vertical="center"/>
    </xf>
    <xf numFmtId="0" fontId="21" fillId="22" borderId="4" xfId="0" applyFont="1" applyFill="1" applyBorder="1" applyAlignment="1">
      <alignment horizontal="left" vertical="center"/>
    </xf>
    <xf numFmtId="0" fontId="21" fillId="22" borderId="4" xfId="0" applyFont="1" applyFill="1" applyBorder="1" applyAlignment="1">
      <alignment horizontal="left" vertical="center" shrinkToFit="1"/>
    </xf>
    <xf numFmtId="0" fontId="22" fillId="22" borderId="4" xfId="0" applyFont="1" applyFill="1" applyBorder="1" applyAlignment="1">
      <alignment horizontal="left" vertical="center" wrapText="1"/>
    </xf>
    <xf numFmtId="0" fontId="21" fillId="22" borderId="11" xfId="0" applyFont="1" applyFill="1" applyBorder="1" applyAlignment="1">
      <alignment horizontal="left" vertical="center" wrapText="1"/>
    </xf>
    <xf numFmtId="164" fontId="21" fillId="22" borderId="4" xfId="0" applyNumberFormat="1" applyFont="1" applyFill="1" applyBorder="1" applyAlignment="1">
      <alignment horizontal="right" vertical="center" wrapText="1" shrinkToFit="1"/>
    </xf>
    <xf numFmtId="164" fontId="21" fillId="22" borderId="4" xfId="0" applyNumberFormat="1" applyFont="1" applyFill="1" applyBorder="1" applyAlignment="1">
      <alignment horizontal="right" vertical="center"/>
    </xf>
    <xf numFmtId="0" fontId="21" fillId="22" borderId="18" xfId="1" applyFont="1" applyFill="1" applyBorder="1" applyAlignment="1">
      <alignment horizontal="right" vertical="center" wrapText="1" shrinkToFit="1"/>
    </xf>
    <xf numFmtId="0" fontId="21" fillId="22" borderId="18" xfId="1" applyFont="1" applyFill="1" applyBorder="1" applyAlignment="1">
      <alignment horizontal="right" vertical="center" shrinkToFit="1"/>
    </xf>
    <xf numFmtId="0" fontId="21" fillId="22" borderId="18" xfId="63" applyFont="1" applyFill="1" applyBorder="1" applyAlignment="1">
      <alignment horizontal="right" vertical="center" wrapText="1" shrinkToFit="1"/>
    </xf>
    <xf numFmtId="0" fontId="21" fillId="22" borderId="18" xfId="1" applyFont="1" applyFill="1" applyBorder="1" applyAlignment="1">
      <alignment horizontal="right" vertical="center" wrapText="1"/>
    </xf>
    <xf numFmtId="0" fontId="21" fillId="22" borderId="18" xfId="63" applyFont="1" applyFill="1" applyBorder="1" applyAlignment="1">
      <alignment horizontal="right" vertical="center" wrapText="1"/>
    </xf>
    <xf numFmtId="0" fontId="21" fillId="22" borderId="18" xfId="63" applyFont="1" applyFill="1" applyBorder="1" applyAlignment="1">
      <alignment horizontal="right" vertical="center" shrinkToFit="1"/>
    </xf>
    <xf numFmtId="2" fontId="21" fillId="22" borderId="18" xfId="0" applyNumberFormat="1" applyFont="1" applyFill="1" applyBorder="1" applyAlignment="1">
      <alignment horizontal="right" vertical="center" wrapText="1" shrinkToFit="1"/>
    </xf>
    <xf numFmtId="0" fontId="21" fillId="22" borderId="18" xfId="0" applyNumberFormat="1" applyFont="1" applyFill="1" applyBorder="1" applyAlignment="1">
      <alignment horizontal="right" vertical="center" wrapText="1" shrinkToFit="1"/>
    </xf>
    <xf numFmtId="2" fontId="21" fillId="22" borderId="18" xfId="0" applyNumberFormat="1" applyFont="1" applyFill="1" applyBorder="1" applyAlignment="1">
      <alignment horizontal="right" vertical="center" wrapText="1"/>
    </xf>
    <xf numFmtId="2" fontId="21" fillId="22" borderId="18" xfId="0" applyNumberFormat="1" applyFont="1" applyFill="1" applyBorder="1" applyAlignment="1">
      <alignment horizontal="right" vertical="center"/>
    </xf>
    <xf numFmtId="2" fontId="21" fillId="22" borderId="18" xfId="1" applyNumberFormat="1" applyFont="1" applyFill="1" applyBorder="1" applyAlignment="1">
      <alignment horizontal="right" vertical="center" wrapText="1" shrinkToFit="1"/>
    </xf>
    <xf numFmtId="0" fontId="21" fillId="22" borderId="18" xfId="0" applyFont="1" applyFill="1" applyBorder="1" applyAlignment="1">
      <alignment horizontal="right" vertical="center"/>
    </xf>
    <xf numFmtId="0" fontId="21" fillId="22" borderId="18" xfId="1" applyFont="1" applyFill="1" applyBorder="1" applyAlignment="1">
      <alignment horizontal="right" vertical="center"/>
    </xf>
    <xf numFmtId="164" fontId="21" fillId="22" borderId="18" xfId="0" applyNumberFormat="1" applyFont="1" applyFill="1" applyBorder="1" applyAlignment="1">
      <alignment horizontal="right" vertical="center" wrapText="1" shrinkToFit="1"/>
    </xf>
    <xf numFmtId="1" fontId="21" fillId="22" borderId="18" xfId="0" applyNumberFormat="1" applyFont="1" applyFill="1" applyBorder="1" applyAlignment="1">
      <alignment horizontal="right" vertical="center"/>
    </xf>
    <xf numFmtId="2" fontId="21" fillId="22" borderId="21" xfId="0" applyNumberFormat="1" applyFont="1" applyFill="1" applyBorder="1" applyAlignment="1">
      <alignment horizontal="right" vertical="center"/>
    </xf>
    <xf numFmtId="0" fontId="21" fillId="22" borderId="10" xfId="1" applyFont="1" applyFill="1" applyBorder="1" applyAlignment="1">
      <alignment horizontal="left" vertical="center" shrinkToFit="1"/>
    </xf>
    <xf numFmtId="0" fontId="21" fillId="22" borderId="10" xfId="63" applyFont="1" applyFill="1" applyBorder="1" applyAlignment="1">
      <alignment horizontal="left" vertical="center" wrapText="1"/>
    </xf>
    <xf numFmtId="0" fontId="21" fillId="22" borderId="10" xfId="1" applyFont="1" applyFill="1" applyBorder="1" applyAlignment="1">
      <alignment horizontal="left" vertical="center"/>
    </xf>
    <xf numFmtId="0" fontId="21" fillId="22" borderId="10" xfId="0" applyFont="1" applyFill="1" applyBorder="1" applyAlignment="1">
      <alignment horizontal="left" vertical="center" wrapText="1" shrinkToFit="1"/>
    </xf>
    <xf numFmtId="0" fontId="21" fillId="22" borderId="10" xfId="63" applyFont="1" applyFill="1" applyBorder="1" applyAlignment="1">
      <alignment horizontal="left" vertical="center" wrapText="1" shrinkToFit="1"/>
    </xf>
    <xf numFmtId="0" fontId="21" fillId="22" borderId="10" xfId="63" applyFont="1" applyFill="1" applyBorder="1" applyAlignment="1">
      <alignment horizontal="left" vertical="center"/>
    </xf>
    <xf numFmtId="0" fontId="21" fillId="22" borderId="22" xfId="0" applyFont="1" applyFill="1" applyBorder="1"/>
    <xf numFmtId="0" fontId="21" fillId="22" borderId="10" xfId="1" applyFont="1" applyFill="1" applyBorder="1" applyAlignment="1">
      <alignment horizontal="left" vertical="center" wrapText="1" shrinkToFit="1"/>
    </xf>
    <xf numFmtId="0" fontId="21" fillId="22" borderId="10" xfId="0" applyFont="1" applyFill="1" applyBorder="1" applyAlignment="1">
      <alignment horizontal="left" vertical="center" wrapText="1"/>
    </xf>
    <xf numFmtId="0" fontId="21" fillId="22" borderId="13" xfId="63" applyFont="1" applyFill="1" applyBorder="1" applyAlignment="1">
      <alignment horizontal="left" vertical="center" wrapText="1"/>
    </xf>
    <xf numFmtId="0" fontId="21" fillId="22" borderId="23" xfId="1" applyFont="1" applyFill="1" applyBorder="1" applyAlignment="1">
      <alignment horizontal="left" vertical="center" shrinkToFit="1"/>
    </xf>
    <xf numFmtId="0" fontId="21" fillId="22" borderId="23" xfId="63" applyFont="1" applyFill="1" applyBorder="1" applyAlignment="1">
      <alignment horizontal="left" vertical="center" wrapText="1"/>
    </xf>
    <xf numFmtId="0" fontId="21" fillId="22" borderId="24" xfId="1" applyFont="1" applyFill="1" applyBorder="1" applyAlignment="1">
      <alignment horizontal="left" vertical="center" shrinkToFit="1"/>
    </xf>
    <xf numFmtId="0" fontId="21" fillId="22" borderId="24" xfId="63" applyFont="1" applyFill="1" applyBorder="1" applyAlignment="1">
      <alignment horizontal="left" vertical="center" wrapText="1"/>
    </xf>
    <xf numFmtId="0" fontId="23" fillId="23" borderId="4" xfId="0" applyFont="1" applyFill="1" applyBorder="1" applyAlignment="1">
      <alignment vertical="center"/>
    </xf>
    <xf numFmtId="0" fontId="23" fillId="23" borderId="17" xfId="0" applyFont="1" applyFill="1" applyBorder="1" applyAlignment="1">
      <alignment vertical="center"/>
    </xf>
    <xf numFmtId="0" fontId="21" fillId="22" borderId="25" xfId="1" applyFont="1" applyFill="1" applyBorder="1" applyAlignment="1">
      <alignment horizontal="left" vertical="center" shrinkToFit="1"/>
    </xf>
    <xf numFmtId="0" fontId="21" fillId="22" borderId="17" xfId="1" applyFont="1" applyFill="1" applyBorder="1" applyAlignment="1">
      <alignment horizontal="left" vertical="center" shrinkToFit="1"/>
    </xf>
    <xf numFmtId="0" fontId="21" fillId="22" borderId="17" xfId="1" applyFont="1" applyFill="1" applyBorder="1" applyAlignment="1">
      <alignment horizontal="center" vertical="center" shrinkToFit="1"/>
    </xf>
    <xf numFmtId="0" fontId="21" fillId="22" borderId="17" xfId="1" applyFont="1" applyFill="1" applyBorder="1" applyAlignment="1">
      <alignment horizontal="right" vertical="center" wrapText="1" shrinkToFit="1"/>
    </xf>
    <xf numFmtId="0" fontId="21" fillId="22" borderId="20" xfId="1" applyFont="1" applyFill="1" applyBorder="1" applyAlignment="1">
      <alignment horizontal="right" vertical="center" wrapText="1" shrinkToFit="1"/>
    </xf>
    <xf numFmtId="0" fontId="20" fillId="22" borderId="26" xfId="0" applyFont="1" applyFill="1" applyBorder="1" applyAlignment="1">
      <alignment horizontal="left" vertical="center" wrapText="1" shrinkToFit="1"/>
    </xf>
    <xf numFmtId="0" fontId="20" fillId="22" borderId="27" xfId="0" applyFont="1" applyFill="1" applyBorder="1" applyAlignment="1">
      <alignment horizontal="left" vertical="center"/>
    </xf>
    <xf numFmtId="0" fontId="20" fillId="22" borderId="26" xfId="0" applyFont="1" applyFill="1" applyBorder="1" applyAlignment="1">
      <alignment horizontal="left" vertical="center"/>
    </xf>
    <xf numFmtId="0" fontId="20" fillId="22" borderId="26" xfId="0" applyFont="1" applyFill="1" applyBorder="1" applyAlignment="1">
      <alignment horizontal="center" vertical="center" wrapText="1"/>
    </xf>
    <xf numFmtId="164" fontId="20" fillId="22" borderId="26" xfId="0" applyNumberFormat="1" applyFont="1" applyFill="1" applyBorder="1" applyAlignment="1">
      <alignment horizontal="center" vertical="center" wrapText="1"/>
    </xf>
    <xf numFmtId="164" fontId="20" fillId="22" borderId="12" xfId="0" applyNumberFormat="1" applyFont="1" applyFill="1" applyBorder="1" applyAlignment="1">
      <alignment horizontal="center" vertical="top" wrapText="1"/>
    </xf>
    <xf numFmtId="0" fontId="21" fillId="22" borderId="23" xfId="1" applyFont="1" applyFill="1" applyBorder="1" applyAlignment="1">
      <alignment horizontal="left" vertical="center"/>
    </xf>
    <xf numFmtId="0" fontId="21" fillId="22" borderId="23" xfId="0" applyFont="1" applyFill="1" applyBorder="1" applyAlignment="1">
      <alignment horizontal="left" vertical="center" wrapText="1" shrinkToFit="1"/>
    </xf>
    <xf numFmtId="0" fontId="21" fillId="22" borderId="23" xfId="63" applyFont="1" applyFill="1" applyBorder="1" applyAlignment="1">
      <alignment horizontal="left" vertical="center" wrapText="1" shrinkToFit="1"/>
    </xf>
    <xf numFmtId="0" fontId="21" fillId="22" borderId="24" xfId="1" applyFont="1" applyFill="1" applyBorder="1" applyAlignment="1">
      <alignment horizontal="left" vertical="center"/>
    </xf>
    <xf numFmtId="0" fontId="21" fillId="22" borderId="24" xfId="0" applyFont="1" applyFill="1" applyBorder="1" applyAlignment="1">
      <alignment horizontal="left" vertical="center" wrapText="1" shrinkToFit="1"/>
    </xf>
    <xf numFmtId="0" fontId="21" fillId="22" borderId="24" xfId="63" applyFont="1" applyFill="1" applyBorder="1" applyAlignment="1">
      <alignment horizontal="left" vertical="center" wrapText="1" shrinkToFit="1"/>
    </xf>
    <xf numFmtId="0" fontId="21" fillId="22" borderId="23" xfId="63" applyFont="1" applyFill="1" applyBorder="1" applyAlignment="1">
      <alignment horizontal="left" vertical="center"/>
    </xf>
    <xf numFmtId="0" fontId="21" fillId="22" borderId="24" xfId="63" applyFont="1" applyFill="1" applyBorder="1" applyAlignment="1">
      <alignment horizontal="left" vertical="center"/>
    </xf>
    <xf numFmtId="0" fontId="21" fillId="22" borderId="17" xfId="63" applyFont="1" applyFill="1" applyBorder="1" applyAlignment="1">
      <alignment horizontal="left" vertical="center" shrinkToFit="1"/>
    </xf>
    <xf numFmtId="0" fontId="21" fillId="22" borderId="24" xfId="0" applyFont="1" applyFill="1" applyBorder="1"/>
    <xf numFmtId="0" fontId="20" fillId="0" borderId="0" xfId="0" applyFont="1"/>
    <xf numFmtId="0" fontId="21" fillId="22" borderId="28" xfId="1" applyFont="1" applyFill="1" applyBorder="1" applyAlignment="1">
      <alignment horizontal="left" vertical="center" shrinkToFit="1"/>
    </xf>
    <xf numFmtId="0" fontId="20" fillId="22" borderId="29" xfId="0" applyFont="1" applyFill="1" applyBorder="1" applyAlignment="1">
      <alignment horizontal="center" vertical="center" wrapText="1"/>
    </xf>
    <xf numFmtId="0" fontId="21" fillId="22" borderId="18" xfId="63" applyFont="1" applyFill="1" applyBorder="1" applyAlignment="1">
      <alignment horizontal="right" vertical="center" wrapText="1" shrinkToFit="1"/>
    </xf>
    <xf numFmtId="2" fontId="21" fillId="22" borderId="18" xfId="1" applyNumberFormat="1" applyFont="1" applyFill="1" applyBorder="1" applyAlignment="1">
      <alignment horizontal="right" vertical="center" wrapText="1" shrinkToFit="1"/>
    </xf>
    <xf numFmtId="164" fontId="21" fillId="22" borderId="4" xfId="0" applyNumberFormat="1" applyFont="1" applyFill="1" applyBorder="1" applyAlignment="1">
      <alignment horizontal="right" vertical="center"/>
    </xf>
    <xf numFmtId="2" fontId="21" fillId="22" borderId="18" xfId="0" applyNumberFormat="1" applyFont="1" applyFill="1" applyBorder="1" applyAlignment="1">
      <alignment horizontal="right" vertical="center"/>
    </xf>
    <xf numFmtId="164" fontId="21" fillId="22" borderId="4" xfId="0" applyNumberFormat="1" applyFont="1" applyFill="1" applyBorder="1" applyAlignment="1">
      <alignment horizontal="right" vertical="center" wrapText="1" shrinkToFit="1"/>
    </xf>
    <xf numFmtId="2" fontId="21" fillId="22" borderId="18" xfId="0" applyNumberFormat="1" applyFont="1" applyFill="1" applyBorder="1" applyAlignment="1">
      <alignment horizontal="right" vertical="center" wrapText="1" shrinkToFit="1"/>
    </xf>
    <xf numFmtId="0" fontId="0" fillId="0" borderId="0" xfId="0" applyAlignment="1">
      <alignment horizontal="left"/>
    </xf>
    <xf numFmtId="0" fontId="0" fillId="0" borderId="0" xfId="0" applyNumberFormat="1"/>
    <xf numFmtId="0" fontId="25" fillId="24" borderId="31" xfId="0" applyFont="1" applyFill="1" applyBorder="1"/>
    <xf numFmtId="0" fontId="0" fillId="0" borderId="30" xfId="0" applyBorder="1" applyAlignment="1">
      <alignment horizontal="left"/>
    </xf>
    <xf numFmtId="0" fontId="0" fillId="0" borderId="30" xfId="0" applyNumberFormat="1" applyBorder="1"/>
    <xf numFmtId="164" fontId="21" fillId="22" borderId="4" xfId="0" applyNumberFormat="1" applyFont="1" applyFill="1" applyBorder="1" applyAlignment="1">
      <alignment horizontal="right" vertical="center" wrapText="1" shrinkToFit="1"/>
    </xf>
    <xf numFmtId="2" fontId="21" fillId="22" borderId="18" xfId="0" applyNumberFormat="1" applyFont="1" applyFill="1" applyBorder="1" applyAlignment="1">
      <alignment horizontal="right" vertical="center" wrapText="1" shrinkToFit="1"/>
    </xf>
    <xf numFmtId="164" fontId="20" fillId="22" borderId="0" xfId="0" applyNumberFormat="1" applyFont="1" applyFill="1" applyBorder="1" applyAlignment="1">
      <alignment horizontal="center" vertical="top" wrapText="1"/>
    </xf>
    <xf numFmtId="0" fontId="21" fillId="22" borderId="0" xfId="1" applyFont="1" applyFill="1" applyBorder="1" applyAlignment="1">
      <alignment horizontal="right" vertical="center" wrapText="1" shrinkToFit="1"/>
    </xf>
    <xf numFmtId="0" fontId="21" fillId="22" borderId="0" xfId="1" applyFont="1" applyFill="1" applyBorder="1" applyAlignment="1">
      <alignment horizontal="right" vertical="center" shrinkToFit="1"/>
    </xf>
    <xf numFmtId="0" fontId="21" fillId="22" borderId="0" xfId="63" applyFont="1" applyFill="1" applyBorder="1" applyAlignment="1">
      <alignment horizontal="right" vertical="center" wrapText="1" shrinkToFit="1"/>
    </xf>
    <xf numFmtId="0" fontId="21" fillId="22" borderId="0" xfId="1" applyFont="1" applyFill="1" applyBorder="1" applyAlignment="1">
      <alignment horizontal="right" vertical="center" wrapText="1"/>
    </xf>
    <xf numFmtId="0" fontId="21" fillId="22" borderId="0" xfId="63" applyFont="1" applyFill="1" applyBorder="1" applyAlignment="1">
      <alignment horizontal="right" vertical="center" wrapText="1"/>
    </xf>
    <xf numFmtId="0" fontId="21" fillId="22" borderId="0" xfId="63" applyFont="1" applyFill="1" applyBorder="1" applyAlignment="1">
      <alignment horizontal="right" vertical="center" shrinkToFit="1"/>
    </xf>
    <xf numFmtId="2" fontId="21" fillId="22" borderId="0" xfId="1" applyNumberFormat="1" applyFont="1" applyFill="1" applyBorder="1" applyAlignment="1">
      <alignment horizontal="right" vertical="center" wrapText="1" shrinkToFit="1"/>
    </xf>
    <xf numFmtId="2" fontId="21" fillId="22" borderId="0" xfId="0" applyNumberFormat="1" applyFont="1" applyFill="1" applyBorder="1" applyAlignment="1">
      <alignment horizontal="right" vertical="center" wrapText="1" shrinkToFit="1"/>
    </xf>
    <xf numFmtId="0" fontId="21" fillId="22" borderId="0" xfId="0" applyNumberFormat="1" applyFont="1" applyFill="1" applyBorder="1" applyAlignment="1">
      <alignment horizontal="right" vertical="center" wrapText="1" shrinkToFit="1"/>
    </xf>
    <xf numFmtId="2" fontId="21" fillId="22" borderId="0" xfId="0" applyNumberFormat="1" applyFont="1" applyFill="1" applyBorder="1" applyAlignment="1">
      <alignment horizontal="right" vertical="center" wrapText="1"/>
    </xf>
    <xf numFmtId="2" fontId="21" fillId="22" borderId="0" xfId="0" applyNumberFormat="1" applyFont="1" applyFill="1" applyBorder="1" applyAlignment="1">
      <alignment horizontal="right" vertical="center"/>
    </xf>
    <xf numFmtId="0" fontId="21" fillId="22" borderId="0" xfId="0" applyFont="1" applyFill="1" applyBorder="1" applyAlignment="1">
      <alignment horizontal="right" vertical="center"/>
    </xf>
    <xf numFmtId="0" fontId="21" fillId="22" borderId="0" xfId="1" applyFont="1" applyFill="1" applyBorder="1" applyAlignment="1">
      <alignment horizontal="right" vertical="center"/>
    </xf>
    <xf numFmtId="164" fontId="21" fillId="22" borderId="0" xfId="0" applyNumberFormat="1" applyFont="1" applyFill="1" applyBorder="1" applyAlignment="1">
      <alignment horizontal="right" vertical="center" wrapText="1" shrinkToFit="1"/>
    </xf>
    <xf numFmtId="1" fontId="21" fillId="22" borderId="0" xfId="0" applyNumberFormat="1" applyFont="1" applyFill="1" applyBorder="1" applyAlignment="1">
      <alignment horizontal="right" vertical="center"/>
    </xf>
    <xf numFmtId="0" fontId="21" fillId="22" borderId="0" xfId="0" applyNumberFormat="1" applyFont="1" applyFill="1" applyBorder="1" applyAlignment="1">
      <alignment horizontal="center" vertical="center" wrapText="1" shrinkToFit="1"/>
    </xf>
    <xf numFmtId="0" fontId="0" fillId="0" borderId="0" xfId="0" pivotButton="1"/>
    <xf numFmtId="0" fontId="20" fillId="22" borderId="39" xfId="0" applyFont="1" applyFill="1" applyBorder="1" applyAlignment="1">
      <alignment horizontal="left" vertical="center"/>
    </xf>
    <xf numFmtId="0" fontId="20" fillId="22" borderId="40" xfId="0" applyFont="1" applyFill="1" applyBorder="1" applyAlignment="1">
      <alignment horizontal="left" vertical="center"/>
    </xf>
    <xf numFmtId="0" fontId="20" fillId="22" borderId="40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/>
    </xf>
    <xf numFmtId="0" fontId="0" fillId="0" borderId="42" xfId="0" applyBorder="1"/>
    <xf numFmtId="0" fontId="0" fillId="0" borderId="0" xfId="0" applyFont="1" applyBorder="1" applyAlignment="1">
      <alignment horizontal="left"/>
    </xf>
    <xf numFmtId="0" fontId="0" fillId="0" borderId="0" xfId="0" applyAlignment="1">
      <alignment horizontal="center"/>
    </xf>
    <xf numFmtId="0" fontId="20" fillId="22" borderId="43" xfId="0" applyFont="1" applyFill="1" applyBorder="1" applyAlignment="1">
      <alignment horizontal="center" vertical="center" wrapText="1"/>
    </xf>
    <xf numFmtId="0" fontId="20" fillId="22" borderId="40" xfId="0" applyFont="1" applyFill="1" applyBorder="1" applyAlignment="1">
      <alignment horizontal="left" vertical="center" wrapText="1" shrinkToFit="1"/>
    </xf>
    <xf numFmtId="164" fontId="20" fillId="22" borderId="40" xfId="0" applyNumberFormat="1" applyFont="1" applyFill="1" applyBorder="1" applyAlignment="1">
      <alignment horizontal="center" vertical="center" wrapText="1"/>
    </xf>
    <xf numFmtId="164" fontId="20" fillId="22" borderId="44" xfId="0" applyNumberFormat="1" applyFont="1" applyFill="1" applyBorder="1" applyAlignment="1">
      <alignment horizontal="center" vertical="top" wrapText="1"/>
    </xf>
    <xf numFmtId="0" fontId="0" fillId="0" borderId="46" xfId="0" applyFont="1" applyBorder="1" applyAlignment="1">
      <alignment horizontal="left"/>
    </xf>
    <xf numFmtId="0" fontId="0" fillId="0" borderId="32" xfId="0" applyFont="1" applyBorder="1"/>
    <xf numFmtId="0" fontId="26" fillId="0" borderId="33" xfId="0" applyFont="1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8" xfId="0" applyBorder="1"/>
    <xf numFmtId="0" fontId="0" fillId="0" borderId="49" xfId="0" applyBorder="1"/>
    <xf numFmtId="0" fontId="0" fillId="0" borderId="50" xfId="0" applyBorder="1" applyAlignment="1">
      <alignment horizontal="left"/>
    </xf>
    <xf numFmtId="0" fontId="26" fillId="0" borderId="52" xfId="0" applyFont="1" applyBorder="1"/>
    <xf numFmtId="0" fontId="26" fillId="0" borderId="52" xfId="0" applyFon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34" xfId="0" applyBorder="1" applyAlignment="1">
      <alignment horizontal="left"/>
    </xf>
    <xf numFmtId="0" fontId="0" fillId="0" borderId="34" xfId="0" applyBorder="1" applyAlignment="1">
      <alignment horizontal="center"/>
    </xf>
    <xf numFmtId="0" fontId="0" fillId="0" borderId="17" xfId="0" applyBorder="1" applyAlignment="1">
      <alignment horizontal="left"/>
    </xf>
    <xf numFmtId="14" fontId="0" fillId="0" borderId="34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14" fontId="0" fillId="0" borderId="57" xfId="0" applyNumberFormat="1" applyBorder="1" applyAlignment="1">
      <alignment horizontal="center"/>
    </xf>
    <xf numFmtId="14" fontId="0" fillId="0" borderId="56" xfId="0" applyNumberFormat="1" applyBorder="1" applyAlignment="1">
      <alignment horizontal="center"/>
    </xf>
    <xf numFmtId="0" fontId="0" fillId="0" borderId="56" xfId="0" applyBorder="1" applyAlignment="1">
      <alignment horizontal="center"/>
    </xf>
    <xf numFmtId="0" fontId="26" fillId="0" borderId="59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41" xfId="0" applyBorder="1" applyAlignment="1">
      <alignment horizontal="left"/>
    </xf>
    <xf numFmtId="0" fontId="0" fillId="0" borderId="52" xfId="0" applyBorder="1"/>
    <xf numFmtId="0" fontId="0" fillId="0" borderId="52" xfId="0" applyBorder="1" applyAlignment="1">
      <alignment horizontal="center"/>
    </xf>
    <xf numFmtId="4" fontId="0" fillId="0" borderId="34" xfId="0" applyNumberFormat="1" applyBorder="1" applyAlignment="1">
      <alignment horizontal="center"/>
    </xf>
    <xf numFmtId="4" fontId="0" fillId="0" borderId="35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36" xfId="0" applyNumberFormat="1" applyBorder="1" applyAlignment="1">
      <alignment horizontal="center"/>
    </xf>
    <xf numFmtId="4" fontId="26" fillId="0" borderId="11" xfId="0" applyNumberFormat="1" applyFont="1" applyBorder="1" applyAlignment="1">
      <alignment horizontal="center"/>
    </xf>
    <xf numFmtId="4" fontId="26" fillId="0" borderId="38" xfId="0" applyNumberFormat="1" applyFont="1" applyBorder="1" applyAlignment="1">
      <alignment horizontal="center"/>
    </xf>
    <xf numFmtId="4" fontId="0" fillId="0" borderId="17" xfId="0" applyNumberFormat="1" applyBorder="1" applyAlignment="1">
      <alignment horizontal="center"/>
    </xf>
    <xf numFmtId="4" fontId="0" fillId="0" borderId="45" xfId="0" applyNumberFormat="1" applyBorder="1" applyAlignment="1">
      <alignment horizontal="center"/>
    </xf>
    <xf numFmtId="4" fontId="26" fillId="0" borderId="54" xfId="0" applyNumberFormat="1" applyFont="1" applyBorder="1" applyAlignment="1">
      <alignment horizontal="center"/>
    </xf>
    <xf numFmtId="4" fontId="26" fillId="0" borderId="55" xfId="0" applyNumberFormat="1" applyFont="1" applyBorder="1" applyAlignment="1">
      <alignment horizontal="center"/>
    </xf>
    <xf numFmtId="4" fontId="27" fillId="0" borderId="54" xfId="0" applyNumberFormat="1" applyFont="1" applyBorder="1" applyAlignment="1">
      <alignment horizontal="center"/>
    </xf>
    <xf numFmtId="4" fontId="27" fillId="0" borderId="55" xfId="0" applyNumberFormat="1" applyFont="1" applyBorder="1" applyAlignment="1">
      <alignment horizontal="center"/>
    </xf>
    <xf numFmtId="3" fontId="0" fillId="0" borderId="58" xfId="0" applyNumberForma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3" fontId="26" fillId="0" borderId="13" xfId="0" applyNumberFormat="1" applyFont="1" applyBorder="1" applyAlignment="1">
      <alignment horizontal="center"/>
    </xf>
    <xf numFmtId="3" fontId="0" fillId="0" borderId="25" xfId="0" applyNumberFormat="1" applyBorder="1" applyAlignment="1">
      <alignment horizontal="center"/>
    </xf>
    <xf numFmtId="3" fontId="0" fillId="0" borderId="24" xfId="0" applyNumberFormat="1" applyBorder="1" applyAlignment="1">
      <alignment horizontal="center"/>
    </xf>
    <xf numFmtId="3" fontId="26" fillId="0" borderId="37" xfId="0" applyNumberFormat="1" applyFont="1" applyBorder="1" applyAlignment="1">
      <alignment horizontal="center"/>
    </xf>
    <xf numFmtId="3" fontId="0" fillId="0" borderId="51" xfId="0" applyNumberFormat="1" applyBorder="1" applyAlignment="1">
      <alignment horizontal="center"/>
    </xf>
    <xf numFmtId="3" fontId="26" fillId="0" borderId="53" xfId="0" applyNumberFormat="1" applyFont="1" applyBorder="1" applyAlignment="1">
      <alignment horizontal="center"/>
    </xf>
    <xf numFmtId="3" fontId="27" fillId="0" borderId="53" xfId="0" applyNumberFormat="1" applyFont="1" applyBorder="1" applyAlignment="1">
      <alignment horizontal="center"/>
    </xf>
    <xf numFmtId="0" fontId="20" fillId="22" borderId="14" xfId="0" applyFont="1" applyFill="1" applyBorder="1" applyAlignment="1">
      <alignment horizontal="left" vertical="center"/>
    </xf>
    <xf numFmtId="0" fontId="20" fillId="22" borderId="15" xfId="0" applyFont="1" applyFill="1" applyBorder="1" applyAlignment="1">
      <alignment horizontal="left" vertical="center"/>
    </xf>
    <xf numFmtId="0" fontId="20" fillId="22" borderId="12" xfId="0" applyFont="1" applyFill="1" applyBorder="1" applyAlignment="1">
      <alignment horizontal="left" vertical="center"/>
    </xf>
    <xf numFmtId="0" fontId="21" fillId="22" borderId="18" xfId="63" applyFont="1" applyFill="1" applyBorder="1" applyAlignment="1">
      <alignment horizontal="right" vertical="center" wrapText="1" shrinkToFit="1"/>
    </xf>
    <xf numFmtId="2" fontId="21" fillId="22" borderId="18" xfId="1" applyNumberFormat="1" applyFont="1" applyFill="1" applyBorder="1" applyAlignment="1">
      <alignment horizontal="right" vertical="center" wrapText="1" shrinkToFit="1"/>
    </xf>
    <xf numFmtId="164" fontId="21" fillId="22" borderId="16" xfId="0" applyNumberFormat="1" applyFont="1" applyFill="1" applyBorder="1" applyAlignment="1">
      <alignment horizontal="right" vertical="center" wrapText="1" shrinkToFit="1"/>
    </xf>
    <xf numFmtId="164" fontId="21" fillId="22" borderId="17" xfId="0" applyNumberFormat="1" applyFont="1" applyFill="1" applyBorder="1" applyAlignment="1">
      <alignment horizontal="right" vertical="center" wrapText="1" shrinkToFit="1"/>
    </xf>
    <xf numFmtId="0" fontId="21" fillId="22" borderId="19" xfId="0" applyNumberFormat="1" applyFont="1" applyFill="1" applyBorder="1" applyAlignment="1">
      <alignment horizontal="right" vertical="center" wrapText="1" shrinkToFit="1"/>
    </xf>
    <xf numFmtId="0" fontId="21" fillId="22" borderId="20" xfId="0" applyNumberFormat="1" applyFont="1" applyFill="1" applyBorder="1" applyAlignment="1">
      <alignment horizontal="right" vertical="center" wrapText="1" shrinkToFit="1"/>
    </xf>
    <xf numFmtId="164" fontId="21" fillId="22" borderId="4" xfId="0" applyNumberFormat="1" applyFont="1" applyFill="1" applyBorder="1" applyAlignment="1">
      <alignment horizontal="right" vertical="center"/>
    </xf>
    <xf numFmtId="2" fontId="21" fillId="22" borderId="18" xfId="0" applyNumberFormat="1" applyFont="1" applyFill="1" applyBorder="1" applyAlignment="1">
      <alignment horizontal="right" vertical="center"/>
    </xf>
    <xf numFmtId="164" fontId="21" fillId="22" borderId="4" xfId="0" applyNumberFormat="1" applyFont="1" applyFill="1" applyBorder="1" applyAlignment="1">
      <alignment horizontal="right" vertical="center" wrapText="1" shrinkToFit="1"/>
    </xf>
    <xf numFmtId="2" fontId="21" fillId="22" borderId="18" xfId="0" applyNumberFormat="1" applyFont="1" applyFill="1" applyBorder="1" applyAlignment="1">
      <alignment horizontal="right" vertical="center" wrapText="1" shrinkToFit="1"/>
    </xf>
    <xf numFmtId="164" fontId="21" fillId="22" borderId="16" xfId="0" applyNumberFormat="1" applyFont="1" applyFill="1" applyBorder="1" applyAlignment="1">
      <alignment horizontal="center" vertical="center" wrapText="1" shrinkToFit="1"/>
    </xf>
    <xf numFmtId="164" fontId="21" fillId="22" borderId="17" xfId="0" applyNumberFormat="1" applyFont="1" applyFill="1" applyBorder="1" applyAlignment="1">
      <alignment horizontal="center" vertical="center" wrapText="1" shrinkToFit="1"/>
    </xf>
    <xf numFmtId="0" fontId="21" fillId="22" borderId="19" xfId="0" applyNumberFormat="1" applyFont="1" applyFill="1" applyBorder="1" applyAlignment="1">
      <alignment horizontal="center" vertical="center" wrapText="1" shrinkToFit="1"/>
    </xf>
    <xf numFmtId="0" fontId="21" fillId="22" borderId="20" xfId="0" applyNumberFormat="1" applyFont="1" applyFill="1" applyBorder="1" applyAlignment="1">
      <alignment horizontal="center" vertical="center" wrapText="1" shrinkToFit="1"/>
    </xf>
  </cellXfs>
  <cellStyles count="83">
    <cellStyle name="%20 - Vurgu1 2" xfId="2"/>
    <cellStyle name="%20 - Vurgu1 2 2" xfId="3"/>
    <cellStyle name="%20 - Vurgu1 3" xfId="4"/>
    <cellStyle name="%20 - Vurgu1 3 2" xfId="5"/>
    <cellStyle name="%20 - Vurgu2 2" xfId="6"/>
    <cellStyle name="%20 - Vurgu2 2 2" xfId="7"/>
    <cellStyle name="%20 - Vurgu2 3" xfId="8"/>
    <cellStyle name="%20 - Vurgu2 3 2" xfId="9"/>
    <cellStyle name="%20 - Vurgu3 2" xfId="10"/>
    <cellStyle name="%20 - Vurgu3 2 2" xfId="11"/>
    <cellStyle name="%20 - Vurgu3 3" xfId="12"/>
    <cellStyle name="%20 - Vurgu3 3 2" xfId="13"/>
    <cellStyle name="%20 - Vurgu4 2" xfId="14"/>
    <cellStyle name="%20 - Vurgu4 2 2" xfId="15"/>
    <cellStyle name="%20 - Vurgu4 3" xfId="16"/>
    <cellStyle name="%20 - Vurgu4 3 2" xfId="17"/>
    <cellStyle name="%20 - Vurgu5 2" xfId="18"/>
    <cellStyle name="%20 - Vurgu5 2 2" xfId="19"/>
    <cellStyle name="%20 - Vurgu6 2" xfId="20"/>
    <cellStyle name="%20 - Vurgu6 2 2" xfId="21"/>
    <cellStyle name="%20 - Vurgu6 3" xfId="22"/>
    <cellStyle name="%20 - Vurgu6 3 2" xfId="23"/>
    <cellStyle name="%40 - Vurgu1 2" xfId="24"/>
    <cellStyle name="%40 - Vurgu1 2 2" xfId="25"/>
    <cellStyle name="%40 - Vurgu1 3" xfId="26"/>
    <cellStyle name="%40 - Vurgu1 3 2" xfId="27"/>
    <cellStyle name="%40 - Vurgu2 2" xfId="28"/>
    <cellStyle name="%40 - Vurgu2 2 2" xfId="29"/>
    <cellStyle name="%40 - Vurgu3 2" xfId="30"/>
    <cellStyle name="%40 - Vurgu3 2 2" xfId="31"/>
    <cellStyle name="%40 - Vurgu3 3" xfId="32"/>
    <cellStyle name="%40 - Vurgu3 3 2" xfId="33"/>
    <cellStyle name="%40 - Vurgu4 2" xfId="34"/>
    <cellStyle name="%40 - Vurgu4 2 2" xfId="35"/>
    <cellStyle name="%40 - Vurgu4 3" xfId="36"/>
    <cellStyle name="%40 - Vurgu4 3 2" xfId="37"/>
    <cellStyle name="%40 - Vurgu5 2" xfId="38"/>
    <cellStyle name="%40 - Vurgu5 2 2" xfId="39"/>
    <cellStyle name="%40 - Vurgu5 3" xfId="40"/>
    <cellStyle name="%40 - Vurgu5 3 2" xfId="41"/>
    <cellStyle name="%40 - Vurgu6 2" xfId="42"/>
    <cellStyle name="%40 - Vurgu6 2 2" xfId="43"/>
    <cellStyle name="%40 - Vurgu6 3" xfId="44"/>
    <cellStyle name="%40 - Vurgu6 3 2" xfId="45"/>
    <cellStyle name="%60 - Vurgu1 2" xfId="46"/>
    <cellStyle name="%60 - Vurgu2 2" xfId="47"/>
    <cellStyle name="%60 - Vurgu3 2" xfId="48"/>
    <cellStyle name="%60 - Vurgu4 2" xfId="49"/>
    <cellStyle name="%60 - Vurgu5 2" xfId="50"/>
    <cellStyle name="%60 - Vurgu6 2" xfId="51"/>
    <cellStyle name="Ana Başlık 2" xfId="52"/>
    <cellStyle name="Bağlı Hücre 2" xfId="53"/>
    <cellStyle name="Başlık 1 2" xfId="54"/>
    <cellStyle name="Başlık 2 2" xfId="55"/>
    <cellStyle name="Başlık 3 2" xfId="56"/>
    <cellStyle name="Başlık 4 2" xfId="57"/>
    <cellStyle name="Çıkış 2" xfId="58"/>
    <cellStyle name="Giriş 2" xfId="59"/>
    <cellStyle name="Hesaplama 2" xfId="60"/>
    <cellStyle name="İyi 2" xfId="61"/>
    <cellStyle name="Kötü 2" xfId="62"/>
    <cellStyle name="Normal" xfId="0" builtinId="0"/>
    <cellStyle name="Normal 2" xfId="63"/>
    <cellStyle name="Normal 2 2" xfId="64"/>
    <cellStyle name="Normal 3" xfId="65"/>
    <cellStyle name="Normal 4" xfId="66"/>
    <cellStyle name="Normal 4 2" xfId="67"/>
    <cellStyle name="Normal 4 2 2" xfId="68"/>
    <cellStyle name="Normal 4 3" xfId="69"/>
    <cellStyle name="Normal 4 4" xfId="70"/>
    <cellStyle name="Normal 5" xfId="71"/>
    <cellStyle name="Normal 6" xfId="72"/>
    <cellStyle name="Normal 7" xfId="73"/>
    <cellStyle name="Normal_Sayfa1" xfId="1"/>
    <cellStyle name="Not 2" xfId="74"/>
    <cellStyle name="Not 3" xfId="75"/>
    <cellStyle name="Nötr 2" xfId="76"/>
    <cellStyle name="Toplam 2" xfId="77"/>
    <cellStyle name="Vurgu1 2" xfId="78"/>
    <cellStyle name="Vurgu2 2" xfId="79"/>
    <cellStyle name="Vurgu3 2" xfId="80"/>
    <cellStyle name="Vurgu4 2" xfId="81"/>
    <cellStyle name="Vurgu6 2" xfId="82"/>
  </cellStyles>
  <dxfs count="2126"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42"/>
        </patternFill>
      </fill>
    </dxf>
    <dxf>
      <numFmt numFmtId="3" formatCode="#,##0"/>
    </dxf>
    <dxf>
      <numFmt numFmtId="4" formatCode="#,##0.00"/>
    </dxf>
    <dxf>
      <font>
        <sz val="12"/>
      </font>
    </dxf>
    <dxf>
      <font>
        <b/>
      </font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right style="medium">
          <color indexed="64"/>
        </right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alignment horizontal="center" readingOrder="0"/>
    </dxf>
    <dxf>
      <alignment horizontal="center" readingOrder="0"/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font>
        <color theme="5" tint="-0.249977111117893"/>
      </font>
    </dxf>
    <dxf>
      <font>
        <color theme="1"/>
      </font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2.4.2.Özel Sektör Tarafından İnşa Edilen Hidroelektrik Santraller,  Kurulu Güç (MW) 1924-2014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3540516787306079E-2"/>
          <c:y val="0.13040079129657256"/>
          <c:w val="0.96433138012381769"/>
          <c:h val="0.7038777462796659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dLbl>
              <c:idx val="0"/>
              <c:layout>
                <c:manualLayout>
                  <c:x val="9.1152817579048147E-3"/>
                  <c:y val="0.103816802390308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#,##0.000" sourceLinked="0"/>
            <c:txPr>
              <a:bodyPr rot="-5400000" vert="horz"/>
              <a:lstStyle/>
              <a:p>
                <a:pPr>
                  <a:defRPr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Sayfa1!$I$2:$I$67</c:f>
              <c:strCache>
                <c:ptCount val="66"/>
                <c:pt idx="0">
                  <c:v>Adana</c:v>
                </c:pt>
                <c:pt idx="1">
                  <c:v>Kahramanmaraş</c:v>
                </c:pt>
                <c:pt idx="2">
                  <c:v>Antalya</c:v>
                </c:pt>
                <c:pt idx="3">
                  <c:v>Şanlıurfa</c:v>
                </c:pt>
                <c:pt idx="4">
                  <c:v>Giresun</c:v>
                </c:pt>
                <c:pt idx="5">
                  <c:v>Erzurum</c:v>
                </c:pt>
                <c:pt idx="6">
                  <c:v>Sinop</c:v>
                </c:pt>
                <c:pt idx="7">
                  <c:v>Gümüşhane</c:v>
                </c:pt>
                <c:pt idx="8">
                  <c:v>Trabzon</c:v>
                </c:pt>
                <c:pt idx="9">
                  <c:v>Siirt</c:v>
                </c:pt>
                <c:pt idx="10">
                  <c:v>Rize</c:v>
                </c:pt>
                <c:pt idx="11">
                  <c:v>Kayseri</c:v>
                </c:pt>
                <c:pt idx="12">
                  <c:v>Ordu</c:v>
                </c:pt>
                <c:pt idx="13">
                  <c:v>Tunceli</c:v>
                </c:pt>
                <c:pt idx="14">
                  <c:v>Artvin</c:v>
                </c:pt>
                <c:pt idx="15">
                  <c:v>Mersin</c:v>
                </c:pt>
                <c:pt idx="16">
                  <c:v>Sivas</c:v>
                </c:pt>
                <c:pt idx="17">
                  <c:v>Muğla</c:v>
                </c:pt>
                <c:pt idx="18">
                  <c:v>Adıyaman</c:v>
                </c:pt>
                <c:pt idx="19">
                  <c:v>Bursa</c:v>
                </c:pt>
                <c:pt idx="20">
                  <c:v>Karaman</c:v>
                </c:pt>
                <c:pt idx="21">
                  <c:v>Kars</c:v>
                </c:pt>
                <c:pt idx="22">
                  <c:v>Tokat</c:v>
                </c:pt>
                <c:pt idx="23">
                  <c:v>Osmaniye</c:v>
                </c:pt>
                <c:pt idx="24">
                  <c:v>Erzincan</c:v>
                </c:pt>
                <c:pt idx="25">
                  <c:v>Amasya</c:v>
                </c:pt>
                <c:pt idx="26">
                  <c:v>Bolu</c:v>
                </c:pt>
                <c:pt idx="27">
                  <c:v>Isparta</c:v>
                </c:pt>
                <c:pt idx="28">
                  <c:v>Elazığ</c:v>
                </c:pt>
                <c:pt idx="29">
                  <c:v>Nevşehir</c:v>
                </c:pt>
                <c:pt idx="30">
                  <c:v>Düzce</c:v>
                </c:pt>
                <c:pt idx="31">
                  <c:v>Denizli</c:v>
                </c:pt>
                <c:pt idx="32">
                  <c:v>Karabük</c:v>
                </c:pt>
                <c:pt idx="33">
                  <c:v>Van</c:v>
                </c:pt>
                <c:pt idx="34">
                  <c:v>Malatya</c:v>
                </c:pt>
                <c:pt idx="35">
                  <c:v>Sakarya</c:v>
                </c:pt>
                <c:pt idx="36">
                  <c:v>Hakkari</c:v>
                </c:pt>
                <c:pt idx="37">
                  <c:v>Batman</c:v>
                </c:pt>
                <c:pt idx="38">
                  <c:v>Diyarbakır</c:v>
                </c:pt>
                <c:pt idx="39">
                  <c:v>Aydın</c:v>
                </c:pt>
                <c:pt idx="40">
                  <c:v>Bingöl</c:v>
                </c:pt>
                <c:pt idx="41">
                  <c:v>Çorum</c:v>
                </c:pt>
                <c:pt idx="42">
                  <c:v>Samsun</c:v>
                </c:pt>
                <c:pt idx="43">
                  <c:v>Zonguldak</c:v>
                </c:pt>
                <c:pt idx="44">
                  <c:v>Ankara</c:v>
                </c:pt>
                <c:pt idx="45">
                  <c:v>Bayburt</c:v>
                </c:pt>
                <c:pt idx="46">
                  <c:v>Kastamonu</c:v>
                </c:pt>
                <c:pt idx="47">
                  <c:v>Bilecik</c:v>
                </c:pt>
                <c:pt idx="48">
                  <c:v>Ardahan</c:v>
                </c:pt>
                <c:pt idx="49">
                  <c:v>Eskişehir</c:v>
                </c:pt>
                <c:pt idx="50">
                  <c:v>Kırıkkale</c:v>
                </c:pt>
                <c:pt idx="51">
                  <c:v>Mardin</c:v>
                </c:pt>
                <c:pt idx="52">
                  <c:v>Balıkesir</c:v>
                </c:pt>
                <c:pt idx="53">
                  <c:v>Hatay</c:v>
                </c:pt>
                <c:pt idx="54">
                  <c:v>Konya</c:v>
                </c:pt>
                <c:pt idx="55">
                  <c:v>Bartın</c:v>
                </c:pt>
                <c:pt idx="56">
                  <c:v>Muş</c:v>
                </c:pt>
                <c:pt idx="57">
                  <c:v>Kütahya</c:v>
                </c:pt>
                <c:pt idx="58">
                  <c:v>Afyonkarahisar</c:v>
                </c:pt>
                <c:pt idx="59">
                  <c:v>Iğdır</c:v>
                </c:pt>
                <c:pt idx="60">
                  <c:v>Gaziantep</c:v>
                </c:pt>
                <c:pt idx="61">
                  <c:v>Bitlis</c:v>
                </c:pt>
                <c:pt idx="62">
                  <c:v>Çankırı</c:v>
                </c:pt>
                <c:pt idx="63">
                  <c:v>Şırnak</c:v>
                </c:pt>
                <c:pt idx="64">
                  <c:v>Kocaeli</c:v>
                </c:pt>
                <c:pt idx="65">
                  <c:v>Niğde</c:v>
                </c:pt>
              </c:strCache>
            </c:strRef>
          </c:cat>
          <c:val>
            <c:numRef>
              <c:f>Sayfa1!$J$2:$J$67</c:f>
              <c:numCache>
                <c:formatCode>General</c:formatCode>
                <c:ptCount val="66"/>
                <c:pt idx="0">
                  <c:v>1140.796</c:v>
                </c:pt>
                <c:pt idx="1">
                  <c:v>743.16039999999998</c:v>
                </c:pt>
                <c:pt idx="2">
                  <c:v>695.75300000000004</c:v>
                </c:pt>
                <c:pt idx="3">
                  <c:v>672</c:v>
                </c:pt>
                <c:pt idx="4">
                  <c:v>631.95900000000006</c:v>
                </c:pt>
                <c:pt idx="5">
                  <c:v>580.79600000000005</c:v>
                </c:pt>
                <c:pt idx="6">
                  <c:v>536.13000000000011</c:v>
                </c:pt>
                <c:pt idx="7">
                  <c:v>468.59699999999998</c:v>
                </c:pt>
                <c:pt idx="8">
                  <c:v>434.19599999999991</c:v>
                </c:pt>
                <c:pt idx="9">
                  <c:v>342.9</c:v>
                </c:pt>
                <c:pt idx="10">
                  <c:v>337.84400000000005</c:v>
                </c:pt>
                <c:pt idx="11">
                  <c:v>245.11719999999997</c:v>
                </c:pt>
                <c:pt idx="12">
                  <c:v>243.93899999999999</c:v>
                </c:pt>
                <c:pt idx="13">
                  <c:v>233.98</c:v>
                </c:pt>
                <c:pt idx="14">
                  <c:v>230.58599999999996</c:v>
                </c:pt>
                <c:pt idx="15">
                  <c:v>228.11600000000001</c:v>
                </c:pt>
                <c:pt idx="16">
                  <c:v>214.73200000000003</c:v>
                </c:pt>
                <c:pt idx="17">
                  <c:v>186.983</c:v>
                </c:pt>
                <c:pt idx="18">
                  <c:v>186.70000000000002</c:v>
                </c:pt>
                <c:pt idx="19">
                  <c:v>179.72399999999999</c:v>
                </c:pt>
                <c:pt idx="20">
                  <c:v>175.643</c:v>
                </c:pt>
                <c:pt idx="21">
                  <c:v>159.5814</c:v>
                </c:pt>
                <c:pt idx="22">
                  <c:v>155.87</c:v>
                </c:pt>
                <c:pt idx="23">
                  <c:v>151.59800000000001</c:v>
                </c:pt>
                <c:pt idx="24">
                  <c:v>143.86799999999999</c:v>
                </c:pt>
                <c:pt idx="25">
                  <c:v>134.06800000000001</c:v>
                </c:pt>
                <c:pt idx="26">
                  <c:v>107.745</c:v>
                </c:pt>
                <c:pt idx="27">
                  <c:v>102.11999999999999</c:v>
                </c:pt>
                <c:pt idx="28">
                  <c:v>92.335000000000008</c:v>
                </c:pt>
                <c:pt idx="29">
                  <c:v>86.26</c:v>
                </c:pt>
                <c:pt idx="30">
                  <c:v>84.734000000000009</c:v>
                </c:pt>
                <c:pt idx="31">
                  <c:v>77.106999999999999</c:v>
                </c:pt>
                <c:pt idx="32">
                  <c:v>71.335999999999999</c:v>
                </c:pt>
                <c:pt idx="33">
                  <c:v>63.054000000000002</c:v>
                </c:pt>
                <c:pt idx="34">
                  <c:v>53.576000000000008</c:v>
                </c:pt>
                <c:pt idx="35">
                  <c:v>49.584000000000003</c:v>
                </c:pt>
                <c:pt idx="36">
                  <c:v>47.712000000000003</c:v>
                </c:pt>
                <c:pt idx="37">
                  <c:v>47.45</c:v>
                </c:pt>
                <c:pt idx="38">
                  <c:v>47.152999999999999</c:v>
                </c:pt>
                <c:pt idx="39">
                  <c:v>44.02</c:v>
                </c:pt>
                <c:pt idx="40">
                  <c:v>41.435000000000002</c:v>
                </c:pt>
                <c:pt idx="41">
                  <c:v>36.048999999999999</c:v>
                </c:pt>
                <c:pt idx="42">
                  <c:v>34.71</c:v>
                </c:pt>
                <c:pt idx="43">
                  <c:v>33</c:v>
                </c:pt>
                <c:pt idx="44">
                  <c:v>27.309000000000001</c:v>
                </c:pt>
                <c:pt idx="45">
                  <c:v>25.703000000000003</c:v>
                </c:pt>
                <c:pt idx="46">
                  <c:v>25.002000000000002</c:v>
                </c:pt>
                <c:pt idx="47">
                  <c:v>21.876999999999999</c:v>
                </c:pt>
                <c:pt idx="48">
                  <c:v>17.286999999999999</c:v>
                </c:pt>
                <c:pt idx="49">
                  <c:v>16.8</c:v>
                </c:pt>
                <c:pt idx="50">
                  <c:v>16.7</c:v>
                </c:pt>
                <c:pt idx="51">
                  <c:v>14.4</c:v>
                </c:pt>
                <c:pt idx="52">
                  <c:v>14.2</c:v>
                </c:pt>
                <c:pt idx="53">
                  <c:v>14.071999999999999</c:v>
                </c:pt>
                <c:pt idx="54">
                  <c:v>12.515000000000001</c:v>
                </c:pt>
                <c:pt idx="55">
                  <c:v>7.3140000000000001</c:v>
                </c:pt>
                <c:pt idx="56">
                  <c:v>5.258</c:v>
                </c:pt>
                <c:pt idx="57">
                  <c:v>4.4800000000000004</c:v>
                </c:pt>
                <c:pt idx="58">
                  <c:v>3</c:v>
                </c:pt>
                <c:pt idx="59">
                  <c:v>2.76</c:v>
                </c:pt>
                <c:pt idx="60">
                  <c:v>2.25</c:v>
                </c:pt>
                <c:pt idx="61">
                  <c:v>1.464</c:v>
                </c:pt>
                <c:pt idx="62">
                  <c:v>1.06</c:v>
                </c:pt>
                <c:pt idx="63">
                  <c:v>0.64</c:v>
                </c:pt>
                <c:pt idx="64">
                  <c:v>0.38</c:v>
                </c:pt>
                <c:pt idx="65">
                  <c:v>6.88E-2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107264"/>
        <c:axId val="67172544"/>
      </c:barChart>
      <c:catAx>
        <c:axId val="156107264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67172544"/>
        <c:crosses val="autoZero"/>
        <c:auto val="1"/>
        <c:lblAlgn val="ctr"/>
        <c:lblOffset val="100"/>
        <c:noMultiLvlLbl val="0"/>
      </c:catAx>
      <c:valAx>
        <c:axId val="67172544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tr-TR"/>
          </a:p>
        </c:txPr>
        <c:crossAx val="156107264"/>
        <c:crosses val="autoZero"/>
        <c:crossBetween val="between"/>
      </c:valAx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 sz="1800" b="1" i="0" baseline="0">
                <a:effectLst/>
              </a:rPr>
              <a:t>2.4.2.Özel Sektör Tarafından İnşa Edilen Hidroelektrik Santraller,  Ortalama Enerji Üretimi (GWh/Yıl), 1924-2014</a:t>
            </a:r>
            <a:endParaRPr lang="tr-TR">
              <a:effectLst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914582369815406E-2"/>
          <c:y val="0.15034874169470369"/>
          <c:w val="0.96254425242657804"/>
          <c:h val="0.6368754416138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txPr>
              <a:bodyPr rot="-5400000" vert="horz"/>
              <a:lstStyle/>
              <a:p>
                <a:pPr>
                  <a:defRPr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Sayfa1!$M$2:$M$67</c:f>
              <c:strCache>
                <c:ptCount val="66"/>
                <c:pt idx="0">
                  <c:v>Adana</c:v>
                </c:pt>
                <c:pt idx="1">
                  <c:v>Şanlıurfa</c:v>
                </c:pt>
                <c:pt idx="2">
                  <c:v>Antalya</c:v>
                </c:pt>
                <c:pt idx="3">
                  <c:v>Giresun</c:v>
                </c:pt>
                <c:pt idx="4">
                  <c:v>Kahramanmaraş</c:v>
                </c:pt>
                <c:pt idx="5">
                  <c:v>Erzurum</c:v>
                </c:pt>
                <c:pt idx="6">
                  <c:v>Gümüşhane</c:v>
                </c:pt>
                <c:pt idx="7">
                  <c:v>Trabzon</c:v>
                </c:pt>
                <c:pt idx="8">
                  <c:v>Sinop</c:v>
                </c:pt>
                <c:pt idx="9">
                  <c:v>Rize</c:v>
                </c:pt>
                <c:pt idx="10">
                  <c:v>Kayseri</c:v>
                </c:pt>
                <c:pt idx="11">
                  <c:v>Siirt</c:v>
                </c:pt>
                <c:pt idx="12">
                  <c:v>Sivas</c:v>
                </c:pt>
                <c:pt idx="13">
                  <c:v>Tokat</c:v>
                </c:pt>
                <c:pt idx="14">
                  <c:v>Mersin</c:v>
                </c:pt>
                <c:pt idx="15">
                  <c:v>Adıyaman</c:v>
                </c:pt>
                <c:pt idx="16">
                  <c:v>Tunceli</c:v>
                </c:pt>
                <c:pt idx="17">
                  <c:v>Muğla</c:v>
                </c:pt>
                <c:pt idx="18">
                  <c:v>Ordu</c:v>
                </c:pt>
                <c:pt idx="19">
                  <c:v>Artvin</c:v>
                </c:pt>
                <c:pt idx="20">
                  <c:v>Bursa</c:v>
                </c:pt>
                <c:pt idx="21">
                  <c:v>Karaman</c:v>
                </c:pt>
                <c:pt idx="22">
                  <c:v>Kars</c:v>
                </c:pt>
                <c:pt idx="23">
                  <c:v>Osmaniye</c:v>
                </c:pt>
                <c:pt idx="24">
                  <c:v>Erzincan</c:v>
                </c:pt>
                <c:pt idx="25">
                  <c:v>Amasya</c:v>
                </c:pt>
                <c:pt idx="26">
                  <c:v>Isparta</c:v>
                </c:pt>
                <c:pt idx="27">
                  <c:v>Nevşehir</c:v>
                </c:pt>
                <c:pt idx="28">
                  <c:v>Bolu</c:v>
                </c:pt>
                <c:pt idx="29">
                  <c:v>Düzce</c:v>
                </c:pt>
                <c:pt idx="30">
                  <c:v>Sakarya</c:v>
                </c:pt>
                <c:pt idx="31">
                  <c:v>Denizli</c:v>
                </c:pt>
                <c:pt idx="32">
                  <c:v>Van</c:v>
                </c:pt>
                <c:pt idx="33">
                  <c:v>Elazığ</c:v>
                </c:pt>
                <c:pt idx="34">
                  <c:v>Karabük</c:v>
                </c:pt>
                <c:pt idx="35">
                  <c:v>Malatya</c:v>
                </c:pt>
                <c:pt idx="36">
                  <c:v>Çorum</c:v>
                </c:pt>
                <c:pt idx="37">
                  <c:v>Batman</c:v>
                </c:pt>
                <c:pt idx="38">
                  <c:v>Ankara</c:v>
                </c:pt>
                <c:pt idx="39">
                  <c:v>Samsun</c:v>
                </c:pt>
                <c:pt idx="40">
                  <c:v>Aydın</c:v>
                </c:pt>
                <c:pt idx="41">
                  <c:v>Hakkari</c:v>
                </c:pt>
                <c:pt idx="42">
                  <c:v>Diyarbakır</c:v>
                </c:pt>
                <c:pt idx="43">
                  <c:v>Zonguldak</c:v>
                </c:pt>
                <c:pt idx="44">
                  <c:v>Bingöl</c:v>
                </c:pt>
                <c:pt idx="45">
                  <c:v>Bilecik</c:v>
                </c:pt>
                <c:pt idx="46">
                  <c:v>Bayburt</c:v>
                </c:pt>
                <c:pt idx="47">
                  <c:v>Kırıkkale</c:v>
                </c:pt>
                <c:pt idx="48">
                  <c:v>Eskişehir</c:v>
                </c:pt>
                <c:pt idx="49">
                  <c:v>Konya</c:v>
                </c:pt>
                <c:pt idx="50">
                  <c:v>Kastamonu</c:v>
                </c:pt>
                <c:pt idx="51">
                  <c:v>Balıkesir</c:v>
                </c:pt>
                <c:pt idx="52">
                  <c:v>Ardahan</c:v>
                </c:pt>
                <c:pt idx="53">
                  <c:v>Hatay</c:v>
                </c:pt>
                <c:pt idx="54">
                  <c:v>Mardin</c:v>
                </c:pt>
                <c:pt idx="55">
                  <c:v>Bartın</c:v>
                </c:pt>
                <c:pt idx="56">
                  <c:v>Afyonkarahisar</c:v>
                </c:pt>
                <c:pt idx="57">
                  <c:v>Kütahya</c:v>
                </c:pt>
                <c:pt idx="58">
                  <c:v>Muş</c:v>
                </c:pt>
                <c:pt idx="59">
                  <c:v>Iğdır</c:v>
                </c:pt>
                <c:pt idx="60">
                  <c:v>Gaziantep</c:v>
                </c:pt>
                <c:pt idx="61">
                  <c:v>Çankırı</c:v>
                </c:pt>
                <c:pt idx="62">
                  <c:v>Bitlis</c:v>
                </c:pt>
                <c:pt idx="63">
                  <c:v>Kocaeli</c:v>
                </c:pt>
                <c:pt idx="64">
                  <c:v>Şırnak</c:v>
                </c:pt>
                <c:pt idx="65">
                  <c:v>Niğde</c:v>
                </c:pt>
              </c:strCache>
            </c:strRef>
          </c:cat>
          <c:val>
            <c:numRef>
              <c:f>Sayfa1!$N$2:$N$67</c:f>
              <c:numCache>
                <c:formatCode>General</c:formatCode>
                <c:ptCount val="66"/>
                <c:pt idx="0">
                  <c:v>3929.2890000000002</c:v>
                </c:pt>
                <c:pt idx="1">
                  <c:v>2516</c:v>
                </c:pt>
                <c:pt idx="2">
                  <c:v>2150.8709999999996</c:v>
                </c:pt>
                <c:pt idx="3">
                  <c:v>2074.973</c:v>
                </c:pt>
                <c:pt idx="4">
                  <c:v>2026.5699999999995</c:v>
                </c:pt>
                <c:pt idx="5">
                  <c:v>1896.65</c:v>
                </c:pt>
                <c:pt idx="6">
                  <c:v>1611.57</c:v>
                </c:pt>
                <c:pt idx="7">
                  <c:v>1560.8130000000003</c:v>
                </c:pt>
                <c:pt idx="8">
                  <c:v>1560.03</c:v>
                </c:pt>
                <c:pt idx="9">
                  <c:v>1330.8300000000004</c:v>
                </c:pt>
                <c:pt idx="10">
                  <c:v>1119.73</c:v>
                </c:pt>
                <c:pt idx="11">
                  <c:v>1109.0900000000001</c:v>
                </c:pt>
                <c:pt idx="12">
                  <c:v>922.55499999999995</c:v>
                </c:pt>
                <c:pt idx="13">
                  <c:v>833.9</c:v>
                </c:pt>
                <c:pt idx="14">
                  <c:v>814.2</c:v>
                </c:pt>
                <c:pt idx="15">
                  <c:v>783.98</c:v>
                </c:pt>
                <c:pt idx="16">
                  <c:v>781.00199999999995</c:v>
                </c:pt>
                <c:pt idx="17">
                  <c:v>774.49</c:v>
                </c:pt>
                <c:pt idx="18">
                  <c:v>769.55499999999995</c:v>
                </c:pt>
                <c:pt idx="19">
                  <c:v>687.82800000000009</c:v>
                </c:pt>
                <c:pt idx="20">
                  <c:v>643.52</c:v>
                </c:pt>
                <c:pt idx="21">
                  <c:v>595.53</c:v>
                </c:pt>
                <c:pt idx="22">
                  <c:v>560.98099999999999</c:v>
                </c:pt>
                <c:pt idx="23">
                  <c:v>506.03999999999996</c:v>
                </c:pt>
                <c:pt idx="24">
                  <c:v>489.89</c:v>
                </c:pt>
                <c:pt idx="25">
                  <c:v>486.56699999999995</c:v>
                </c:pt>
                <c:pt idx="26">
                  <c:v>393.09000000000003</c:v>
                </c:pt>
                <c:pt idx="27">
                  <c:v>376.64</c:v>
                </c:pt>
                <c:pt idx="28">
                  <c:v>316.17</c:v>
                </c:pt>
                <c:pt idx="29">
                  <c:v>291.37</c:v>
                </c:pt>
                <c:pt idx="30">
                  <c:v>284.34000000000003</c:v>
                </c:pt>
                <c:pt idx="31">
                  <c:v>256.66399999999999</c:v>
                </c:pt>
                <c:pt idx="32">
                  <c:v>252.7</c:v>
                </c:pt>
                <c:pt idx="33">
                  <c:v>252.68</c:v>
                </c:pt>
                <c:pt idx="34">
                  <c:v>250.43</c:v>
                </c:pt>
                <c:pt idx="35">
                  <c:v>247.095</c:v>
                </c:pt>
                <c:pt idx="36">
                  <c:v>211.2</c:v>
                </c:pt>
                <c:pt idx="37">
                  <c:v>210</c:v>
                </c:pt>
                <c:pt idx="38">
                  <c:v>171</c:v>
                </c:pt>
                <c:pt idx="39">
                  <c:v>169.96800000000002</c:v>
                </c:pt>
                <c:pt idx="40">
                  <c:v>163.34999999999997</c:v>
                </c:pt>
                <c:pt idx="41">
                  <c:v>160.41800000000001</c:v>
                </c:pt>
                <c:pt idx="42">
                  <c:v>150.095</c:v>
                </c:pt>
                <c:pt idx="43">
                  <c:v>141</c:v>
                </c:pt>
                <c:pt idx="44">
                  <c:v>127</c:v>
                </c:pt>
                <c:pt idx="45">
                  <c:v>122.11</c:v>
                </c:pt>
                <c:pt idx="46">
                  <c:v>94.55</c:v>
                </c:pt>
                <c:pt idx="47">
                  <c:v>90</c:v>
                </c:pt>
                <c:pt idx="48">
                  <c:v>87.2</c:v>
                </c:pt>
                <c:pt idx="49">
                  <c:v>73.400000000000006</c:v>
                </c:pt>
                <c:pt idx="50">
                  <c:v>70.599999999999994</c:v>
                </c:pt>
                <c:pt idx="51">
                  <c:v>67.66</c:v>
                </c:pt>
                <c:pt idx="52">
                  <c:v>62.32</c:v>
                </c:pt>
                <c:pt idx="53">
                  <c:v>50.67</c:v>
                </c:pt>
                <c:pt idx="54">
                  <c:v>42</c:v>
                </c:pt>
                <c:pt idx="55">
                  <c:v>24</c:v>
                </c:pt>
                <c:pt idx="56">
                  <c:v>22.3</c:v>
                </c:pt>
                <c:pt idx="57">
                  <c:v>18</c:v>
                </c:pt>
                <c:pt idx="58">
                  <c:v>14.93</c:v>
                </c:pt>
                <c:pt idx="59">
                  <c:v>12</c:v>
                </c:pt>
                <c:pt idx="60">
                  <c:v>11.52</c:v>
                </c:pt>
                <c:pt idx="61">
                  <c:v>5</c:v>
                </c:pt>
                <c:pt idx="62">
                  <c:v>2.0649999999999999</c:v>
                </c:pt>
                <c:pt idx="63">
                  <c:v>1.44</c:v>
                </c:pt>
                <c:pt idx="64">
                  <c:v>1.2</c:v>
                </c:pt>
                <c:pt idx="65">
                  <c:v>0.6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108288"/>
        <c:axId val="133154496"/>
      </c:barChart>
      <c:catAx>
        <c:axId val="156108288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133154496"/>
        <c:crosses val="autoZero"/>
        <c:auto val="1"/>
        <c:lblAlgn val="ctr"/>
        <c:lblOffset val="100"/>
        <c:noMultiLvlLbl val="0"/>
      </c:catAx>
      <c:valAx>
        <c:axId val="133154496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156108288"/>
        <c:crosses val="autoZero"/>
        <c:crossBetween val="between"/>
      </c:valAx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2.4.</a:t>
            </a:r>
            <a:r>
              <a:rPr lang="tr-TR" sz="1800" b="1" i="0" baseline="0">
                <a:effectLst/>
              </a:rPr>
              <a:t>2</a:t>
            </a:r>
            <a:r>
              <a:rPr lang="en-US" sz="1800" b="1" i="0" baseline="0">
                <a:effectLst/>
              </a:rPr>
              <a:t>.İl Bazında Özel Sektör Tarafından İnşa Edilen Hidroelektrik Santraller</a:t>
            </a:r>
            <a:r>
              <a:rPr lang="tr-TR" sz="1800" b="1" i="0" baseline="0">
                <a:effectLst/>
              </a:rPr>
              <a:t> (adet)</a:t>
            </a:r>
            <a:r>
              <a:rPr lang="en-US" sz="1800" b="1" i="0" baseline="0">
                <a:effectLst/>
              </a:rPr>
              <a:t>, 1924-201</a:t>
            </a:r>
            <a:r>
              <a:rPr lang="tr-TR" sz="1800" b="1" i="0" baseline="0">
                <a:effectLst/>
              </a:rPr>
              <a:t>4</a:t>
            </a:r>
            <a:endParaRPr lang="tr-TR">
              <a:effectLst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6209135894271266E-2"/>
          <c:y val="0.13362290333151636"/>
          <c:w val="0.96266636873935574"/>
          <c:h val="0.66274705342087648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txPr>
              <a:bodyPr/>
              <a:lstStyle/>
              <a:p>
                <a:pPr>
                  <a:defRPr sz="1050"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'[1]2.4.3.Tablo 2'!$C$6:$C$71</c:f>
              <c:strCache>
                <c:ptCount val="66"/>
                <c:pt idx="0">
                  <c:v>Balıkesir</c:v>
                </c:pt>
                <c:pt idx="1">
                  <c:v>Aydın</c:v>
                </c:pt>
                <c:pt idx="2">
                  <c:v>Denizli</c:v>
                </c:pt>
                <c:pt idx="3">
                  <c:v>Muğla</c:v>
                </c:pt>
                <c:pt idx="4">
                  <c:v>Afyonkarahisar</c:v>
                </c:pt>
                <c:pt idx="5">
                  <c:v>Kütahya</c:v>
                </c:pt>
                <c:pt idx="6">
                  <c:v>Bursa</c:v>
                </c:pt>
                <c:pt idx="7">
                  <c:v>Eskişehir</c:v>
                </c:pt>
                <c:pt idx="8">
                  <c:v>Bilecik</c:v>
                </c:pt>
                <c:pt idx="9">
                  <c:v>Kocaeli</c:v>
                </c:pt>
                <c:pt idx="10">
                  <c:v>Sakarya</c:v>
                </c:pt>
                <c:pt idx="11">
                  <c:v>Düzce</c:v>
                </c:pt>
                <c:pt idx="12">
                  <c:v>Bolu</c:v>
                </c:pt>
                <c:pt idx="13">
                  <c:v>Ankara</c:v>
                </c:pt>
                <c:pt idx="14">
                  <c:v>Konya</c:v>
                </c:pt>
                <c:pt idx="15">
                  <c:v>Karaman</c:v>
                </c:pt>
                <c:pt idx="16">
                  <c:v>Antalya</c:v>
                </c:pt>
                <c:pt idx="17">
                  <c:v>Isparta</c:v>
                </c:pt>
                <c:pt idx="18">
                  <c:v>Adana</c:v>
                </c:pt>
                <c:pt idx="19">
                  <c:v>Mersin</c:v>
                </c:pt>
                <c:pt idx="20">
                  <c:v>Hatay</c:v>
                </c:pt>
                <c:pt idx="21">
                  <c:v>Kahramanmaraş</c:v>
                </c:pt>
                <c:pt idx="22">
                  <c:v>Osmaniye</c:v>
                </c:pt>
                <c:pt idx="23">
                  <c:v>Kırıkkale</c:v>
                </c:pt>
                <c:pt idx="24">
                  <c:v>Niğde</c:v>
                </c:pt>
                <c:pt idx="25">
                  <c:v>Nevşehir</c:v>
                </c:pt>
                <c:pt idx="26">
                  <c:v>Kayseri</c:v>
                </c:pt>
                <c:pt idx="27">
                  <c:v>Sivas</c:v>
                </c:pt>
                <c:pt idx="28">
                  <c:v>Zonguldak</c:v>
                </c:pt>
                <c:pt idx="29">
                  <c:v>Karabük</c:v>
                </c:pt>
                <c:pt idx="30">
                  <c:v>Bartın</c:v>
                </c:pt>
                <c:pt idx="31">
                  <c:v>Kastamonu</c:v>
                </c:pt>
                <c:pt idx="32">
                  <c:v>Çankırı</c:v>
                </c:pt>
                <c:pt idx="33">
                  <c:v>Sinop</c:v>
                </c:pt>
                <c:pt idx="34">
                  <c:v>Samsun</c:v>
                </c:pt>
                <c:pt idx="35">
                  <c:v>Tokat</c:v>
                </c:pt>
                <c:pt idx="36">
                  <c:v>Çorum</c:v>
                </c:pt>
                <c:pt idx="37">
                  <c:v>Amasya</c:v>
                </c:pt>
                <c:pt idx="38">
                  <c:v>Trabzon</c:v>
                </c:pt>
                <c:pt idx="39">
                  <c:v>Ordu</c:v>
                </c:pt>
                <c:pt idx="40">
                  <c:v>Giresun</c:v>
                </c:pt>
                <c:pt idx="41">
                  <c:v>Rize</c:v>
                </c:pt>
                <c:pt idx="42">
                  <c:v>Artvin</c:v>
                </c:pt>
                <c:pt idx="43">
                  <c:v>Gümüşhane</c:v>
                </c:pt>
                <c:pt idx="44">
                  <c:v>Erzurum</c:v>
                </c:pt>
                <c:pt idx="45">
                  <c:v>Erzincan</c:v>
                </c:pt>
                <c:pt idx="46">
                  <c:v>Bayburt</c:v>
                </c:pt>
                <c:pt idx="47">
                  <c:v>Kars</c:v>
                </c:pt>
                <c:pt idx="48">
                  <c:v>Iğdır</c:v>
                </c:pt>
                <c:pt idx="49">
                  <c:v>Ardahan</c:v>
                </c:pt>
                <c:pt idx="50">
                  <c:v>Malatya</c:v>
                </c:pt>
                <c:pt idx="51">
                  <c:v>Elazığ</c:v>
                </c:pt>
                <c:pt idx="52">
                  <c:v>Bingöl</c:v>
                </c:pt>
                <c:pt idx="53">
                  <c:v>Tunceli</c:v>
                </c:pt>
                <c:pt idx="54">
                  <c:v>Van</c:v>
                </c:pt>
                <c:pt idx="55">
                  <c:v>Muş</c:v>
                </c:pt>
                <c:pt idx="56">
                  <c:v>Bitlis</c:v>
                </c:pt>
                <c:pt idx="57">
                  <c:v>Hakkari</c:v>
                </c:pt>
                <c:pt idx="58">
                  <c:v>Gaziantep</c:v>
                </c:pt>
                <c:pt idx="59">
                  <c:v>Adıyaman</c:v>
                </c:pt>
                <c:pt idx="60">
                  <c:v>Şanlıurfa</c:v>
                </c:pt>
                <c:pt idx="61">
                  <c:v>Diyarbakır</c:v>
                </c:pt>
                <c:pt idx="62">
                  <c:v>Mardin</c:v>
                </c:pt>
                <c:pt idx="63">
                  <c:v>Batman</c:v>
                </c:pt>
                <c:pt idx="64">
                  <c:v>Şırnak</c:v>
                </c:pt>
                <c:pt idx="65">
                  <c:v>Siirt</c:v>
                </c:pt>
              </c:strCache>
            </c:strRef>
          </c:cat>
          <c:val>
            <c:numRef>
              <c:f>'[1]2.4.3.Tablo 2'!$D$6:$D$71</c:f>
              <c:numCache>
                <c:formatCode>General</c:formatCode>
                <c:ptCount val="66"/>
                <c:pt idx="0">
                  <c:v>2</c:v>
                </c:pt>
                <c:pt idx="1">
                  <c:v>4</c:v>
                </c:pt>
                <c:pt idx="2">
                  <c:v>10</c:v>
                </c:pt>
                <c:pt idx="3">
                  <c:v>12</c:v>
                </c:pt>
                <c:pt idx="4">
                  <c:v>1</c:v>
                </c:pt>
                <c:pt idx="5">
                  <c:v>2</c:v>
                </c:pt>
                <c:pt idx="6">
                  <c:v>12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2</c:v>
                </c:pt>
                <c:pt idx="14">
                  <c:v>4</c:v>
                </c:pt>
                <c:pt idx="15">
                  <c:v>6</c:v>
                </c:pt>
                <c:pt idx="16">
                  <c:v>16</c:v>
                </c:pt>
                <c:pt idx="17">
                  <c:v>7</c:v>
                </c:pt>
                <c:pt idx="18">
                  <c:v>17</c:v>
                </c:pt>
                <c:pt idx="19">
                  <c:v>12</c:v>
                </c:pt>
                <c:pt idx="20">
                  <c:v>2</c:v>
                </c:pt>
                <c:pt idx="21">
                  <c:v>29</c:v>
                </c:pt>
                <c:pt idx="22">
                  <c:v>13</c:v>
                </c:pt>
                <c:pt idx="23">
                  <c:v>1</c:v>
                </c:pt>
                <c:pt idx="24">
                  <c:v>1</c:v>
                </c:pt>
                <c:pt idx="25">
                  <c:v>5</c:v>
                </c:pt>
                <c:pt idx="26">
                  <c:v>10</c:v>
                </c:pt>
                <c:pt idx="27">
                  <c:v>18</c:v>
                </c:pt>
                <c:pt idx="28">
                  <c:v>1</c:v>
                </c:pt>
                <c:pt idx="29">
                  <c:v>3</c:v>
                </c:pt>
                <c:pt idx="30">
                  <c:v>2</c:v>
                </c:pt>
                <c:pt idx="31">
                  <c:v>4</c:v>
                </c:pt>
                <c:pt idx="32">
                  <c:v>1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3</c:v>
                </c:pt>
                <c:pt idx="37">
                  <c:v>11</c:v>
                </c:pt>
                <c:pt idx="38">
                  <c:v>32</c:v>
                </c:pt>
                <c:pt idx="39">
                  <c:v>9</c:v>
                </c:pt>
                <c:pt idx="40">
                  <c:v>27</c:v>
                </c:pt>
                <c:pt idx="41">
                  <c:v>14</c:v>
                </c:pt>
                <c:pt idx="42">
                  <c:v>13</c:v>
                </c:pt>
                <c:pt idx="43">
                  <c:v>9</c:v>
                </c:pt>
                <c:pt idx="44">
                  <c:v>20</c:v>
                </c:pt>
                <c:pt idx="45">
                  <c:v>12</c:v>
                </c:pt>
                <c:pt idx="46">
                  <c:v>3</c:v>
                </c:pt>
                <c:pt idx="47">
                  <c:v>9</c:v>
                </c:pt>
                <c:pt idx="48">
                  <c:v>1</c:v>
                </c:pt>
                <c:pt idx="49">
                  <c:v>2</c:v>
                </c:pt>
                <c:pt idx="50">
                  <c:v>9</c:v>
                </c:pt>
                <c:pt idx="51">
                  <c:v>4</c:v>
                </c:pt>
                <c:pt idx="52">
                  <c:v>2</c:v>
                </c:pt>
                <c:pt idx="53">
                  <c:v>5</c:v>
                </c:pt>
                <c:pt idx="54">
                  <c:v>6</c:v>
                </c:pt>
                <c:pt idx="55">
                  <c:v>3</c:v>
                </c:pt>
                <c:pt idx="56">
                  <c:v>2</c:v>
                </c:pt>
                <c:pt idx="57">
                  <c:v>3</c:v>
                </c:pt>
                <c:pt idx="58">
                  <c:v>2</c:v>
                </c:pt>
                <c:pt idx="59">
                  <c:v>12</c:v>
                </c:pt>
                <c:pt idx="60">
                  <c:v>1</c:v>
                </c:pt>
                <c:pt idx="61">
                  <c:v>3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0"/>
        <c:overlap val="-9"/>
        <c:axId val="156109312"/>
        <c:axId val="133157952"/>
      </c:barChart>
      <c:catAx>
        <c:axId val="156109312"/>
        <c:scaling>
          <c:orientation val="minMax"/>
        </c:scaling>
        <c:delete val="0"/>
        <c:axPos val="b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133157952"/>
        <c:crosses val="autoZero"/>
        <c:auto val="1"/>
        <c:lblAlgn val="ctr"/>
        <c:lblOffset val="100"/>
        <c:noMultiLvlLbl val="0"/>
      </c:catAx>
      <c:valAx>
        <c:axId val="133157952"/>
        <c:scaling>
          <c:orientation val="minMax"/>
          <c:max val="35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tr-TR"/>
          </a:p>
        </c:txPr>
        <c:crossAx val="156109312"/>
        <c:crosses val="autoZero"/>
        <c:crossBetween val="between"/>
      </c:valAx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2.4.2.Özel Sektör Tarafından İnşa Edilen Hidroelektrik Santraller,  Kurulu Güç (MW) 1924-2014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3540516787306079E-2"/>
          <c:y val="0.13040079129657256"/>
          <c:w val="0.96433138012381769"/>
          <c:h val="0.7038777462796659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dLbl>
              <c:idx val="0"/>
              <c:layout>
                <c:manualLayout>
                  <c:x val="9.1152817579048147E-3"/>
                  <c:y val="0.103816802390308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#,##0.000" sourceLinked="0"/>
            <c:txPr>
              <a:bodyPr rot="-5400000" vert="horz"/>
              <a:lstStyle/>
              <a:p>
                <a:pPr>
                  <a:defRPr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Sayfa1!$I$2:$I$67</c:f>
              <c:strCache>
                <c:ptCount val="66"/>
                <c:pt idx="0">
                  <c:v>Adana</c:v>
                </c:pt>
                <c:pt idx="1">
                  <c:v>Kahramanmaraş</c:v>
                </c:pt>
                <c:pt idx="2">
                  <c:v>Antalya</c:v>
                </c:pt>
                <c:pt idx="3">
                  <c:v>Şanlıurfa</c:v>
                </c:pt>
                <c:pt idx="4">
                  <c:v>Giresun</c:v>
                </c:pt>
                <c:pt idx="5">
                  <c:v>Erzurum</c:v>
                </c:pt>
                <c:pt idx="6">
                  <c:v>Sinop</c:v>
                </c:pt>
                <c:pt idx="7">
                  <c:v>Gümüşhane</c:v>
                </c:pt>
                <c:pt idx="8">
                  <c:v>Trabzon</c:v>
                </c:pt>
                <c:pt idx="9">
                  <c:v>Siirt</c:v>
                </c:pt>
                <c:pt idx="10">
                  <c:v>Rize</c:v>
                </c:pt>
                <c:pt idx="11">
                  <c:v>Kayseri</c:v>
                </c:pt>
                <c:pt idx="12">
                  <c:v>Ordu</c:v>
                </c:pt>
                <c:pt idx="13">
                  <c:v>Tunceli</c:v>
                </c:pt>
                <c:pt idx="14">
                  <c:v>Artvin</c:v>
                </c:pt>
                <c:pt idx="15">
                  <c:v>Mersin</c:v>
                </c:pt>
                <c:pt idx="16">
                  <c:v>Sivas</c:v>
                </c:pt>
                <c:pt idx="17">
                  <c:v>Muğla</c:v>
                </c:pt>
                <c:pt idx="18">
                  <c:v>Adıyaman</c:v>
                </c:pt>
                <c:pt idx="19">
                  <c:v>Bursa</c:v>
                </c:pt>
                <c:pt idx="20">
                  <c:v>Karaman</c:v>
                </c:pt>
                <c:pt idx="21">
                  <c:v>Kars</c:v>
                </c:pt>
                <c:pt idx="22">
                  <c:v>Tokat</c:v>
                </c:pt>
                <c:pt idx="23">
                  <c:v>Osmaniye</c:v>
                </c:pt>
                <c:pt idx="24">
                  <c:v>Erzincan</c:v>
                </c:pt>
                <c:pt idx="25">
                  <c:v>Amasya</c:v>
                </c:pt>
                <c:pt idx="26">
                  <c:v>Bolu</c:v>
                </c:pt>
                <c:pt idx="27">
                  <c:v>Isparta</c:v>
                </c:pt>
                <c:pt idx="28">
                  <c:v>Elazığ</c:v>
                </c:pt>
                <c:pt idx="29">
                  <c:v>Nevşehir</c:v>
                </c:pt>
                <c:pt idx="30">
                  <c:v>Düzce</c:v>
                </c:pt>
                <c:pt idx="31">
                  <c:v>Denizli</c:v>
                </c:pt>
                <c:pt idx="32">
                  <c:v>Karabük</c:v>
                </c:pt>
                <c:pt idx="33">
                  <c:v>Van</c:v>
                </c:pt>
                <c:pt idx="34">
                  <c:v>Malatya</c:v>
                </c:pt>
                <c:pt idx="35">
                  <c:v>Sakarya</c:v>
                </c:pt>
                <c:pt idx="36">
                  <c:v>Hakkari</c:v>
                </c:pt>
                <c:pt idx="37">
                  <c:v>Batman</c:v>
                </c:pt>
                <c:pt idx="38">
                  <c:v>Diyarbakır</c:v>
                </c:pt>
                <c:pt idx="39">
                  <c:v>Aydın</c:v>
                </c:pt>
                <c:pt idx="40">
                  <c:v>Bingöl</c:v>
                </c:pt>
                <c:pt idx="41">
                  <c:v>Çorum</c:v>
                </c:pt>
                <c:pt idx="42">
                  <c:v>Samsun</c:v>
                </c:pt>
                <c:pt idx="43">
                  <c:v>Zonguldak</c:v>
                </c:pt>
                <c:pt idx="44">
                  <c:v>Ankara</c:v>
                </c:pt>
                <c:pt idx="45">
                  <c:v>Bayburt</c:v>
                </c:pt>
                <c:pt idx="46">
                  <c:v>Kastamonu</c:v>
                </c:pt>
                <c:pt idx="47">
                  <c:v>Bilecik</c:v>
                </c:pt>
                <c:pt idx="48">
                  <c:v>Ardahan</c:v>
                </c:pt>
                <c:pt idx="49">
                  <c:v>Eskişehir</c:v>
                </c:pt>
                <c:pt idx="50">
                  <c:v>Kırıkkale</c:v>
                </c:pt>
                <c:pt idx="51">
                  <c:v>Mardin</c:v>
                </c:pt>
                <c:pt idx="52">
                  <c:v>Balıkesir</c:v>
                </c:pt>
                <c:pt idx="53">
                  <c:v>Hatay</c:v>
                </c:pt>
                <c:pt idx="54">
                  <c:v>Konya</c:v>
                </c:pt>
                <c:pt idx="55">
                  <c:v>Bartın</c:v>
                </c:pt>
                <c:pt idx="56">
                  <c:v>Muş</c:v>
                </c:pt>
                <c:pt idx="57">
                  <c:v>Kütahya</c:v>
                </c:pt>
                <c:pt idx="58">
                  <c:v>Afyonkarahisar</c:v>
                </c:pt>
                <c:pt idx="59">
                  <c:v>Iğdır</c:v>
                </c:pt>
                <c:pt idx="60">
                  <c:v>Gaziantep</c:v>
                </c:pt>
                <c:pt idx="61">
                  <c:v>Bitlis</c:v>
                </c:pt>
                <c:pt idx="62">
                  <c:v>Çankırı</c:v>
                </c:pt>
                <c:pt idx="63">
                  <c:v>Şırnak</c:v>
                </c:pt>
                <c:pt idx="64">
                  <c:v>Kocaeli</c:v>
                </c:pt>
                <c:pt idx="65">
                  <c:v>Niğde</c:v>
                </c:pt>
              </c:strCache>
            </c:strRef>
          </c:cat>
          <c:val>
            <c:numRef>
              <c:f>Sayfa1!$J$2:$J$67</c:f>
              <c:numCache>
                <c:formatCode>General</c:formatCode>
                <c:ptCount val="66"/>
                <c:pt idx="0">
                  <c:v>1140.796</c:v>
                </c:pt>
                <c:pt idx="1">
                  <c:v>743.16039999999998</c:v>
                </c:pt>
                <c:pt idx="2">
                  <c:v>695.75300000000004</c:v>
                </c:pt>
                <c:pt idx="3">
                  <c:v>672</c:v>
                </c:pt>
                <c:pt idx="4">
                  <c:v>631.95900000000006</c:v>
                </c:pt>
                <c:pt idx="5">
                  <c:v>580.79600000000005</c:v>
                </c:pt>
                <c:pt idx="6">
                  <c:v>536.13000000000011</c:v>
                </c:pt>
                <c:pt idx="7">
                  <c:v>468.59699999999998</c:v>
                </c:pt>
                <c:pt idx="8">
                  <c:v>434.19599999999991</c:v>
                </c:pt>
                <c:pt idx="9">
                  <c:v>342.9</c:v>
                </c:pt>
                <c:pt idx="10">
                  <c:v>337.84400000000005</c:v>
                </c:pt>
                <c:pt idx="11">
                  <c:v>245.11719999999997</c:v>
                </c:pt>
                <c:pt idx="12">
                  <c:v>243.93899999999999</c:v>
                </c:pt>
                <c:pt idx="13">
                  <c:v>233.98</c:v>
                </c:pt>
                <c:pt idx="14">
                  <c:v>230.58599999999996</c:v>
                </c:pt>
                <c:pt idx="15">
                  <c:v>228.11600000000001</c:v>
                </c:pt>
                <c:pt idx="16">
                  <c:v>214.73200000000003</c:v>
                </c:pt>
                <c:pt idx="17">
                  <c:v>186.983</c:v>
                </c:pt>
                <c:pt idx="18">
                  <c:v>186.70000000000002</c:v>
                </c:pt>
                <c:pt idx="19">
                  <c:v>179.72399999999999</c:v>
                </c:pt>
                <c:pt idx="20">
                  <c:v>175.643</c:v>
                </c:pt>
                <c:pt idx="21">
                  <c:v>159.5814</c:v>
                </c:pt>
                <c:pt idx="22">
                  <c:v>155.87</c:v>
                </c:pt>
                <c:pt idx="23">
                  <c:v>151.59800000000001</c:v>
                </c:pt>
                <c:pt idx="24">
                  <c:v>143.86799999999999</c:v>
                </c:pt>
                <c:pt idx="25">
                  <c:v>134.06800000000001</c:v>
                </c:pt>
                <c:pt idx="26">
                  <c:v>107.745</c:v>
                </c:pt>
                <c:pt idx="27">
                  <c:v>102.11999999999999</c:v>
                </c:pt>
                <c:pt idx="28">
                  <c:v>92.335000000000008</c:v>
                </c:pt>
                <c:pt idx="29">
                  <c:v>86.26</c:v>
                </c:pt>
                <c:pt idx="30">
                  <c:v>84.734000000000009</c:v>
                </c:pt>
                <c:pt idx="31">
                  <c:v>77.106999999999999</c:v>
                </c:pt>
                <c:pt idx="32">
                  <c:v>71.335999999999999</c:v>
                </c:pt>
                <c:pt idx="33">
                  <c:v>63.054000000000002</c:v>
                </c:pt>
                <c:pt idx="34">
                  <c:v>53.576000000000008</c:v>
                </c:pt>
                <c:pt idx="35">
                  <c:v>49.584000000000003</c:v>
                </c:pt>
                <c:pt idx="36">
                  <c:v>47.712000000000003</c:v>
                </c:pt>
                <c:pt idx="37">
                  <c:v>47.45</c:v>
                </c:pt>
                <c:pt idx="38">
                  <c:v>47.152999999999999</c:v>
                </c:pt>
                <c:pt idx="39">
                  <c:v>44.02</c:v>
                </c:pt>
                <c:pt idx="40">
                  <c:v>41.435000000000002</c:v>
                </c:pt>
                <c:pt idx="41">
                  <c:v>36.048999999999999</c:v>
                </c:pt>
                <c:pt idx="42">
                  <c:v>34.71</c:v>
                </c:pt>
                <c:pt idx="43">
                  <c:v>33</c:v>
                </c:pt>
                <c:pt idx="44">
                  <c:v>27.309000000000001</c:v>
                </c:pt>
                <c:pt idx="45">
                  <c:v>25.703000000000003</c:v>
                </c:pt>
                <c:pt idx="46">
                  <c:v>25.002000000000002</c:v>
                </c:pt>
                <c:pt idx="47">
                  <c:v>21.876999999999999</c:v>
                </c:pt>
                <c:pt idx="48">
                  <c:v>17.286999999999999</c:v>
                </c:pt>
                <c:pt idx="49">
                  <c:v>16.8</c:v>
                </c:pt>
                <c:pt idx="50">
                  <c:v>16.7</c:v>
                </c:pt>
                <c:pt idx="51">
                  <c:v>14.4</c:v>
                </c:pt>
                <c:pt idx="52">
                  <c:v>14.2</c:v>
                </c:pt>
                <c:pt idx="53">
                  <c:v>14.071999999999999</c:v>
                </c:pt>
                <c:pt idx="54">
                  <c:v>12.515000000000001</c:v>
                </c:pt>
                <c:pt idx="55">
                  <c:v>7.3140000000000001</c:v>
                </c:pt>
                <c:pt idx="56">
                  <c:v>5.258</c:v>
                </c:pt>
                <c:pt idx="57">
                  <c:v>4.4800000000000004</c:v>
                </c:pt>
                <c:pt idx="58">
                  <c:v>3</c:v>
                </c:pt>
                <c:pt idx="59">
                  <c:v>2.76</c:v>
                </c:pt>
                <c:pt idx="60">
                  <c:v>2.25</c:v>
                </c:pt>
                <c:pt idx="61">
                  <c:v>1.464</c:v>
                </c:pt>
                <c:pt idx="62">
                  <c:v>1.06</c:v>
                </c:pt>
                <c:pt idx="63">
                  <c:v>0.64</c:v>
                </c:pt>
                <c:pt idx="64">
                  <c:v>0.38</c:v>
                </c:pt>
                <c:pt idx="65">
                  <c:v>6.88E-2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108800"/>
        <c:axId val="67912832"/>
      </c:barChart>
      <c:catAx>
        <c:axId val="156108800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67912832"/>
        <c:crosses val="autoZero"/>
        <c:auto val="1"/>
        <c:lblAlgn val="ctr"/>
        <c:lblOffset val="100"/>
        <c:noMultiLvlLbl val="0"/>
      </c:catAx>
      <c:valAx>
        <c:axId val="6791283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tr-TR"/>
          </a:p>
        </c:txPr>
        <c:crossAx val="156108800"/>
        <c:crosses val="autoZero"/>
        <c:crossBetween val="between"/>
      </c:valAx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 sz="1800" b="1" i="0" baseline="0">
                <a:effectLst/>
              </a:rPr>
              <a:t>2.4.2.Özel Sektör Tarafından İnşa Edilen Hidroelektrik Santraller,  Ortalama Enerji Üretimi (GWh/Yıl), 1924-2014</a:t>
            </a:r>
            <a:endParaRPr lang="tr-TR">
              <a:effectLst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914582369815406E-2"/>
          <c:y val="0.15034874169470369"/>
          <c:w val="0.96254425242657804"/>
          <c:h val="0.6368754416138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txPr>
              <a:bodyPr rot="-5400000" vert="horz"/>
              <a:lstStyle/>
              <a:p>
                <a:pPr>
                  <a:defRPr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Sayfa1!$M$2:$M$67</c:f>
              <c:strCache>
                <c:ptCount val="66"/>
                <c:pt idx="0">
                  <c:v>Adana</c:v>
                </c:pt>
                <c:pt idx="1">
                  <c:v>Şanlıurfa</c:v>
                </c:pt>
                <c:pt idx="2">
                  <c:v>Antalya</c:v>
                </c:pt>
                <c:pt idx="3">
                  <c:v>Giresun</c:v>
                </c:pt>
                <c:pt idx="4">
                  <c:v>Kahramanmaraş</c:v>
                </c:pt>
                <c:pt idx="5">
                  <c:v>Erzurum</c:v>
                </c:pt>
                <c:pt idx="6">
                  <c:v>Gümüşhane</c:v>
                </c:pt>
                <c:pt idx="7">
                  <c:v>Trabzon</c:v>
                </c:pt>
                <c:pt idx="8">
                  <c:v>Sinop</c:v>
                </c:pt>
                <c:pt idx="9">
                  <c:v>Rize</c:v>
                </c:pt>
                <c:pt idx="10">
                  <c:v>Kayseri</c:v>
                </c:pt>
                <c:pt idx="11">
                  <c:v>Siirt</c:v>
                </c:pt>
                <c:pt idx="12">
                  <c:v>Sivas</c:v>
                </c:pt>
                <c:pt idx="13">
                  <c:v>Tokat</c:v>
                </c:pt>
                <c:pt idx="14">
                  <c:v>Mersin</c:v>
                </c:pt>
                <c:pt idx="15">
                  <c:v>Adıyaman</c:v>
                </c:pt>
                <c:pt idx="16">
                  <c:v>Tunceli</c:v>
                </c:pt>
                <c:pt idx="17">
                  <c:v>Muğla</c:v>
                </c:pt>
                <c:pt idx="18">
                  <c:v>Ordu</c:v>
                </c:pt>
                <c:pt idx="19">
                  <c:v>Artvin</c:v>
                </c:pt>
                <c:pt idx="20">
                  <c:v>Bursa</c:v>
                </c:pt>
                <c:pt idx="21">
                  <c:v>Karaman</c:v>
                </c:pt>
                <c:pt idx="22">
                  <c:v>Kars</c:v>
                </c:pt>
                <c:pt idx="23">
                  <c:v>Osmaniye</c:v>
                </c:pt>
                <c:pt idx="24">
                  <c:v>Erzincan</c:v>
                </c:pt>
                <c:pt idx="25">
                  <c:v>Amasya</c:v>
                </c:pt>
                <c:pt idx="26">
                  <c:v>Isparta</c:v>
                </c:pt>
                <c:pt idx="27">
                  <c:v>Nevşehir</c:v>
                </c:pt>
                <c:pt idx="28">
                  <c:v>Bolu</c:v>
                </c:pt>
                <c:pt idx="29">
                  <c:v>Düzce</c:v>
                </c:pt>
                <c:pt idx="30">
                  <c:v>Sakarya</c:v>
                </c:pt>
                <c:pt idx="31">
                  <c:v>Denizli</c:v>
                </c:pt>
                <c:pt idx="32">
                  <c:v>Van</c:v>
                </c:pt>
                <c:pt idx="33">
                  <c:v>Elazığ</c:v>
                </c:pt>
                <c:pt idx="34">
                  <c:v>Karabük</c:v>
                </c:pt>
                <c:pt idx="35">
                  <c:v>Malatya</c:v>
                </c:pt>
                <c:pt idx="36">
                  <c:v>Çorum</c:v>
                </c:pt>
                <c:pt idx="37">
                  <c:v>Batman</c:v>
                </c:pt>
                <c:pt idx="38">
                  <c:v>Ankara</c:v>
                </c:pt>
                <c:pt idx="39">
                  <c:v>Samsun</c:v>
                </c:pt>
                <c:pt idx="40">
                  <c:v>Aydın</c:v>
                </c:pt>
                <c:pt idx="41">
                  <c:v>Hakkari</c:v>
                </c:pt>
                <c:pt idx="42">
                  <c:v>Diyarbakır</c:v>
                </c:pt>
                <c:pt idx="43">
                  <c:v>Zonguldak</c:v>
                </c:pt>
                <c:pt idx="44">
                  <c:v>Bingöl</c:v>
                </c:pt>
                <c:pt idx="45">
                  <c:v>Bilecik</c:v>
                </c:pt>
                <c:pt idx="46">
                  <c:v>Bayburt</c:v>
                </c:pt>
                <c:pt idx="47">
                  <c:v>Kırıkkale</c:v>
                </c:pt>
                <c:pt idx="48">
                  <c:v>Eskişehir</c:v>
                </c:pt>
                <c:pt idx="49">
                  <c:v>Konya</c:v>
                </c:pt>
                <c:pt idx="50">
                  <c:v>Kastamonu</c:v>
                </c:pt>
                <c:pt idx="51">
                  <c:v>Balıkesir</c:v>
                </c:pt>
                <c:pt idx="52">
                  <c:v>Ardahan</c:v>
                </c:pt>
                <c:pt idx="53">
                  <c:v>Hatay</c:v>
                </c:pt>
                <c:pt idx="54">
                  <c:v>Mardin</c:v>
                </c:pt>
                <c:pt idx="55">
                  <c:v>Bartın</c:v>
                </c:pt>
                <c:pt idx="56">
                  <c:v>Afyonkarahisar</c:v>
                </c:pt>
                <c:pt idx="57">
                  <c:v>Kütahya</c:v>
                </c:pt>
                <c:pt idx="58">
                  <c:v>Muş</c:v>
                </c:pt>
                <c:pt idx="59">
                  <c:v>Iğdır</c:v>
                </c:pt>
                <c:pt idx="60">
                  <c:v>Gaziantep</c:v>
                </c:pt>
                <c:pt idx="61">
                  <c:v>Çankırı</c:v>
                </c:pt>
                <c:pt idx="62">
                  <c:v>Bitlis</c:v>
                </c:pt>
                <c:pt idx="63">
                  <c:v>Kocaeli</c:v>
                </c:pt>
                <c:pt idx="64">
                  <c:v>Şırnak</c:v>
                </c:pt>
                <c:pt idx="65">
                  <c:v>Niğde</c:v>
                </c:pt>
              </c:strCache>
            </c:strRef>
          </c:cat>
          <c:val>
            <c:numRef>
              <c:f>Sayfa1!$N$2:$N$67</c:f>
              <c:numCache>
                <c:formatCode>General</c:formatCode>
                <c:ptCount val="66"/>
                <c:pt idx="0">
                  <c:v>3929.2890000000002</c:v>
                </c:pt>
                <c:pt idx="1">
                  <c:v>2516</c:v>
                </c:pt>
                <c:pt idx="2">
                  <c:v>2150.8709999999996</c:v>
                </c:pt>
                <c:pt idx="3">
                  <c:v>2074.973</c:v>
                </c:pt>
                <c:pt idx="4">
                  <c:v>2026.5699999999995</c:v>
                </c:pt>
                <c:pt idx="5">
                  <c:v>1896.65</c:v>
                </c:pt>
                <c:pt idx="6">
                  <c:v>1611.57</c:v>
                </c:pt>
                <c:pt idx="7">
                  <c:v>1560.8130000000003</c:v>
                </c:pt>
                <c:pt idx="8">
                  <c:v>1560.03</c:v>
                </c:pt>
                <c:pt idx="9">
                  <c:v>1330.8300000000004</c:v>
                </c:pt>
                <c:pt idx="10">
                  <c:v>1119.73</c:v>
                </c:pt>
                <c:pt idx="11">
                  <c:v>1109.0900000000001</c:v>
                </c:pt>
                <c:pt idx="12">
                  <c:v>922.55499999999995</c:v>
                </c:pt>
                <c:pt idx="13">
                  <c:v>833.9</c:v>
                </c:pt>
                <c:pt idx="14">
                  <c:v>814.2</c:v>
                </c:pt>
                <c:pt idx="15">
                  <c:v>783.98</c:v>
                </c:pt>
                <c:pt idx="16">
                  <c:v>781.00199999999995</c:v>
                </c:pt>
                <c:pt idx="17">
                  <c:v>774.49</c:v>
                </c:pt>
                <c:pt idx="18">
                  <c:v>769.55499999999995</c:v>
                </c:pt>
                <c:pt idx="19">
                  <c:v>687.82800000000009</c:v>
                </c:pt>
                <c:pt idx="20">
                  <c:v>643.52</c:v>
                </c:pt>
                <c:pt idx="21">
                  <c:v>595.53</c:v>
                </c:pt>
                <c:pt idx="22">
                  <c:v>560.98099999999999</c:v>
                </c:pt>
                <c:pt idx="23">
                  <c:v>506.03999999999996</c:v>
                </c:pt>
                <c:pt idx="24">
                  <c:v>489.89</c:v>
                </c:pt>
                <c:pt idx="25">
                  <c:v>486.56699999999995</c:v>
                </c:pt>
                <c:pt idx="26">
                  <c:v>393.09000000000003</c:v>
                </c:pt>
                <c:pt idx="27">
                  <c:v>376.64</c:v>
                </c:pt>
                <c:pt idx="28">
                  <c:v>316.17</c:v>
                </c:pt>
                <c:pt idx="29">
                  <c:v>291.37</c:v>
                </c:pt>
                <c:pt idx="30">
                  <c:v>284.34000000000003</c:v>
                </c:pt>
                <c:pt idx="31">
                  <c:v>256.66399999999999</c:v>
                </c:pt>
                <c:pt idx="32">
                  <c:v>252.7</c:v>
                </c:pt>
                <c:pt idx="33">
                  <c:v>252.68</c:v>
                </c:pt>
                <c:pt idx="34">
                  <c:v>250.43</c:v>
                </c:pt>
                <c:pt idx="35">
                  <c:v>247.095</c:v>
                </c:pt>
                <c:pt idx="36">
                  <c:v>211.2</c:v>
                </c:pt>
                <c:pt idx="37">
                  <c:v>210</c:v>
                </c:pt>
                <c:pt idx="38">
                  <c:v>171</c:v>
                </c:pt>
                <c:pt idx="39">
                  <c:v>169.96800000000002</c:v>
                </c:pt>
                <c:pt idx="40">
                  <c:v>163.34999999999997</c:v>
                </c:pt>
                <c:pt idx="41">
                  <c:v>160.41800000000001</c:v>
                </c:pt>
                <c:pt idx="42">
                  <c:v>150.095</c:v>
                </c:pt>
                <c:pt idx="43">
                  <c:v>141</c:v>
                </c:pt>
                <c:pt idx="44">
                  <c:v>127</c:v>
                </c:pt>
                <c:pt idx="45">
                  <c:v>122.11</c:v>
                </c:pt>
                <c:pt idx="46">
                  <c:v>94.55</c:v>
                </c:pt>
                <c:pt idx="47">
                  <c:v>90</c:v>
                </c:pt>
                <c:pt idx="48">
                  <c:v>87.2</c:v>
                </c:pt>
                <c:pt idx="49">
                  <c:v>73.400000000000006</c:v>
                </c:pt>
                <c:pt idx="50">
                  <c:v>70.599999999999994</c:v>
                </c:pt>
                <c:pt idx="51">
                  <c:v>67.66</c:v>
                </c:pt>
                <c:pt idx="52">
                  <c:v>62.32</c:v>
                </c:pt>
                <c:pt idx="53">
                  <c:v>50.67</c:v>
                </c:pt>
                <c:pt idx="54">
                  <c:v>42</c:v>
                </c:pt>
                <c:pt idx="55">
                  <c:v>24</c:v>
                </c:pt>
                <c:pt idx="56">
                  <c:v>22.3</c:v>
                </c:pt>
                <c:pt idx="57">
                  <c:v>18</c:v>
                </c:pt>
                <c:pt idx="58">
                  <c:v>14.93</c:v>
                </c:pt>
                <c:pt idx="59">
                  <c:v>12</c:v>
                </c:pt>
                <c:pt idx="60">
                  <c:v>11.52</c:v>
                </c:pt>
                <c:pt idx="61">
                  <c:v>5</c:v>
                </c:pt>
                <c:pt idx="62">
                  <c:v>2.0649999999999999</c:v>
                </c:pt>
                <c:pt idx="63">
                  <c:v>1.44</c:v>
                </c:pt>
                <c:pt idx="64">
                  <c:v>1.2</c:v>
                </c:pt>
                <c:pt idx="65">
                  <c:v>0.6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577792"/>
        <c:axId val="67916288"/>
      </c:barChart>
      <c:catAx>
        <c:axId val="156577792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67916288"/>
        <c:crosses val="autoZero"/>
        <c:auto val="1"/>
        <c:lblAlgn val="ctr"/>
        <c:lblOffset val="100"/>
        <c:noMultiLvlLbl val="0"/>
      </c:catAx>
      <c:valAx>
        <c:axId val="6791628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156577792"/>
        <c:crosses val="autoZero"/>
        <c:crossBetween val="between"/>
      </c:valAx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497417</xdr:colOff>
      <xdr:row>1</xdr:row>
      <xdr:rowOff>47625</xdr:rowOff>
    </xdr:from>
    <xdr:to>
      <xdr:col>8</xdr:col>
      <xdr:colOff>878417</xdr:colOff>
      <xdr:row>1</xdr:row>
      <xdr:rowOff>295275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4392" y="190500"/>
          <a:ext cx="3810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527</xdr:row>
      <xdr:rowOff>0</xdr:rowOff>
    </xdr:from>
    <xdr:to>
      <xdr:col>18</xdr:col>
      <xdr:colOff>285750</xdr:colOff>
      <xdr:row>557</xdr:row>
      <xdr:rowOff>128868</xdr:rowOff>
    </xdr:to>
    <xdr:graphicFrame macro="">
      <xdr:nvGraphicFramePr>
        <xdr:cNvPr id="3" name="Grafik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</xdr:colOff>
      <xdr:row>559</xdr:row>
      <xdr:rowOff>0</xdr:rowOff>
    </xdr:from>
    <xdr:to>
      <xdr:col>18</xdr:col>
      <xdr:colOff>353787</xdr:colOff>
      <xdr:row>583</xdr:row>
      <xdr:rowOff>164887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</xdr:colOff>
      <xdr:row>585</xdr:row>
      <xdr:rowOff>111125</xdr:rowOff>
    </xdr:from>
    <xdr:to>
      <xdr:col>18</xdr:col>
      <xdr:colOff>394607</xdr:colOff>
      <xdr:row>617</xdr:row>
      <xdr:rowOff>138339</xdr:rowOff>
    </xdr:to>
    <xdr:graphicFrame macro="">
      <xdr:nvGraphicFramePr>
        <xdr:cNvPr id="5" name="Grafi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0.00304</cdr:x>
      <cdr:y>0.00884</cdr:y>
    </cdr:from>
    <cdr:to>
      <cdr:x>0.04004</cdr:x>
      <cdr:y>0.07699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50799" y="50800"/>
          <a:ext cx="618567" cy="3918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0.00302</cdr:x>
      <cdr:y>0.01072</cdr:y>
    </cdr:from>
    <cdr:to>
      <cdr:x>0.034</cdr:x>
      <cdr:y>0.09317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50800" y="50799"/>
          <a:ext cx="520700" cy="3905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0.00446</cdr:x>
      <cdr:y>0.0117</cdr:y>
    </cdr:from>
    <cdr:to>
      <cdr:x>0.04189</cdr:x>
      <cdr:y>0.08253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50800" y="50800"/>
          <a:ext cx="426373" cy="30764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</cdr:pic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497417</xdr:colOff>
      <xdr:row>1</xdr:row>
      <xdr:rowOff>84667</xdr:rowOff>
    </xdr:from>
    <xdr:to>
      <xdr:col>8</xdr:col>
      <xdr:colOff>878417</xdr:colOff>
      <xdr:row>1</xdr:row>
      <xdr:rowOff>370417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0" y="328084"/>
          <a:ext cx="3810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25399</xdr:colOff>
      <xdr:row>461</xdr:row>
      <xdr:rowOff>95250</xdr:rowOff>
    </xdr:from>
    <xdr:to>
      <xdr:col>20</xdr:col>
      <xdr:colOff>215899</xdr:colOff>
      <xdr:row>485</xdr:row>
      <xdr:rowOff>22412</xdr:rowOff>
    </xdr:to>
    <xdr:graphicFrame macro="">
      <xdr:nvGraphicFramePr>
        <xdr:cNvPr id="3" name="Grafik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11206</xdr:colOff>
      <xdr:row>485</xdr:row>
      <xdr:rowOff>81642</xdr:rowOff>
    </xdr:from>
    <xdr:to>
      <xdr:col>20</xdr:col>
      <xdr:colOff>204107</xdr:colOff>
      <xdr:row>504</xdr:row>
      <xdr:rowOff>134470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0.00304</cdr:x>
      <cdr:y>0.00884</cdr:y>
    </cdr:from>
    <cdr:to>
      <cdr:x>0.04004</cdr:x>
      <cdr:y>0.07699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50799" y="50800"/>
          <a:ext cx="618567" cy="3918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</cdr:pic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0.00302</cdr:x>
      <cdr:y>0.01072</cdr:y>
    </cdr:from>
    <cdr:to>
      <cdr:x>0.034</cdr:x>
      <cdr:y>0.09317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50800" y="50799"/>
          <a:ext cx="520700" cy="3905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</cdr:pic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.4.3.&#304;l%20Baz&#305;nda%20&#214;zel%20Sekt&#246;r%20Taraf&#305;ndan%20&#304;n&#351;a%20Edilen%20Hidroelektrik%20Santrall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4.3.Tablo 1"/>
      <sheetName val="2.4.3.Tablo 2"/>
      <sheetName val="1"/>
    </sheetNames>
    <sheetDataSet>
      <sheetData sheetId="0"/>
      <sheetData sheetId="1">
        <row r="6">
          <cell r="C6" t="str">
            <v>Balıkesir</v>
          </cell>
          <cell r="D6">
            <v>2</v>
          </cell>
        </row>
        <row r="7">
          <cell r="C7" t="str">
            <v>Aydın</v>
          </cell>
          <cell r="D7">
            <v>4</v>
          </cell>
        </row>
        <row r="8">
          <cell r="C8" t="str">
            <v>Denizli</v>
          </cell>
          <cell r="D8">
            <v>10</v>
          </cell>
        </row>
        <row r="9">
          <cell r="C9" t="str">
            <v>Muğla</v>
          </cell>
          <cell r="D9">
            <v>12</v>
          </cell>
        </row>
        <row r="10">
          <cell r="C10" t="str">
            <v>Afyonkarahisar</v>
          </cell>
          <cell r="D10">
            <v>1</v>
          </cell>
        </row>
        <row r="11">
          <cell r="C11" t="str">
            <v>Kütahya</v>
          </cell>
          <cell r="D11">
            <v>2</v>
          </cell>
        </row>
        <row r="12">
          <cell r="C12" t="str">
            <v>Bursa</v>
          </cell>
          <cell r="D12">
            <v>12</v>
          </cell>
        </row>
        <row r="13">
          <cell r="C13" t="str">
            <v>Eskişehir</v>
          </cell>
          <cell r="D13">
            <v>1</v>
          </cell>
        </row>
        <row r="14">
          <cell r="C14" t="str">
            <v>Bilecik</v>
          </cell>
          <cell r="D14">
            <v>3</v>
          </cell>
        </row>
        <row r="15">
          <cell r="C15" t="str">
            <v>Kocaeli</v>
          </cell>
          <cell r="D15">
            <v>1</v>
          </cell>
        </row>
        <row r="16">
          <cell r="C16" t="str">
            <v>Sakarya</v>
          </cell>
          <cell r="D16">
            <v>5</v>
          </cell>
        </row>
        <row r="17">
          <cell r="C17" t="str">
            <v>Düzce</v>
          </cell>
          <cell r="D17">
            <v>6</v>
          </cell>
        </row>
        <row r="18">
          <cell r="C18" t="str">
            <v>Bolu</v>
          </cell>
          <cell r="D18">
            <v>6</v>
          </cell>
        </row>
        <row r="19">
          <cell r="C19" t="str">
            <v>Ankara</v>
          </cell>
          <cell r="D19">
            <v>2</v>
          </cell>
        </row>
        <row r="20">
          <cell r="C20" t="str">
            <v>Konya</v>
          </cell>
          <cell r="D20">
            <v>4</v>
          </cell>
        </row>
        <row r="21">
          <cell r="C21" t="str">
            <v>Karaman</v>
          </cell>
          <cell r="D21">
            <v>6</v>
          </cell>
        </row>
        <row r="22">
          <cell r="C22" t="str">
            <v>Antalya</v>
          </cell>
          <cell r="D22">
            <v>16</v>
          </cell>
        </row>
        <row r="23">
          <cell r="C23" t="str">
            <v>Isparta</v>
          </cell>
          <cell r="D23">
            <v>7</v>
          </cell>
        </row>
        <row r="24">
          <cell r="C24" t="str">
            <v>Adana</v>
          </cell>
          <cell r="D24">
            <v>17</v>
          </cell>
        </row>
        <row r="25">
          <cell r="C25" t="str">
            <v>Mersin</v>
          </cell>
          <cell r="D25">
            <v>12</v>
          </cell>
        </row>
        <row r="26">
          <cell r="C26" t="str">
            <v>Hatay</v>
          </cell>
          <cell r="D26">
            <v>2</v>
          </cell>
        </row>
        <row r="27">
          <cell r="C27" t="str">
            <v>Kahramanmaraş</v>
          </cell>
          <cell r="D27">
            <v>29</v>
          </cell>
        </row>
        <row r="28">
          <cell r="C28" t="str">
            <v>Osmaniye</v>
          </cell>
          <cell r="D28">
            <v>13</v>
          </cell>
        </row>
        <row r="29">
          <cell r="C29" t="str">
            <v>Kırıkkale</v>
          </cell>
          <cell r="D29">
            <v>1</v>
          </cell>
        </row>
        <row r="30">
          <cell r="C30" t="str">
            <v>Niğde</v>
          </cell>
          <cell r="D30">
            <v>1</v>
          </cell>
        </row>
        <row r="31">
          <cell r="C31" t="str">
            <v>Nevşehir</v>
          </cell>
          <cell r="D31">
            <v>5</v>
          </cell>
        </row>
        <row r="32">
          <cell r="C32" t="str">
            <v>Kayseri</v>
          </cell>
          <cell r="D32">
            <v>10</v>
          </cell>
        </row>
        <row r="33">
          <cell r="C33" t="str">
            <v>Sivas</v>
          </cell>
          <cell r="D33">
            <v>18</v>
          </cell>
        </row>
        <row r="34">
          <cell r="C34" t="str">
            <v>Zonguldak</v>
          </cell>
          <cell r="D34">
            <v>1</v>
          </cell>
        </row>
        <row r="35">
          <cell r="C35" t="str">
            <v>Karabük</v>
          </cell>
          <cell r="D35">
            <v>3</v>
          </cell>
        </row>
        <row r="36">
          <cell r="C36" t="str">
            <v>Bartın</v>
          </cell>
          <cell r="D36">
            <v>2</v>
          </cell>
        </row>
        <row r="37">
          <cell r="C37" t="str">
            <v>Kastamonu</v>
          </cell>
          <cell r="D37">
            <v>4</v>
          </cell>
        </row>
        <row r="38">
          <cell r="C38" t="str">
            <v>Çankırı</v>
          </cell>
          <cell r="D38">
            <v>1</v>
          </cell>
        </row>
        <row r="39">
          <cell r="C39" t="str">
            <v>Sinop</v>
          </cell>
          <cell r="D39">
            <v>4</v>
          </cell>
        </row>
        <row r="40">
          <cell r="C40" t="str">
            <v>Samsun</v>
          </cell>
          <cell r="D40">
            <v>4</v>
          </cell>
        </row>
        <row r="41">
          <cell r="C41" t="str">
            <v>Tokat</v>
          </cell>
          <cell r="D41">
            <v>4</v>
          </cell>
        </row>
        <row r="42">
          <cell r="C42" t="str">
            <v>Çorum</v>
          </cell>
          <cell r="D42">
            <v>3</v>
          </cell>
        </row>
        <row r="43">
          <cell r="C43" t="str">
            <v>Amasya</v>
          </cell>
          <cell r="D43">
            <v>11</v>
          </cell>
        </row>
        <row r="44">
          <cell r="C44" t="str">
            <v>Trabzon</v>
          </cell>
          <cell r="D44">
            <v>32</v>
          </cell>
        </row>
        <row r="45">
          <cell r="C45" t="str">
            <v>Ordu</v>
          </cell>
          <cell r="D45">
            <v>9</v>
          </cell>
        </row>
        <row r="46">
          <cell r="C46" t="str">
            <v>Giresun</v>
          </cell>
          <cell r="D46">
            <v>27</v>
          </cell>
        </row>
        <row r="47">
          <cell r="C47" t="str">
            <v>Rize</v>
          </cell>
          <cell r="D47">
            <v>14</v>
          </cell>
        </row>
        <row r="48">
          <cell r="C48" t="str">
            <v>Artvin</v>
          </cell>
          <cell r="D48">
            <v>13</v>
          </cell>
        </row>
        <row r="49">
          <cell r="C49" t="str">
            <v>Gümüşhane</v>
          </cell>
          <cell r="D49">
            <v>9</v>
          </cell>
        </row>
        <row r="50">
          <cell r="C50" t="str">
            <v>Erzurum</v>
          </cell>
          <cell r="D50">
            <v>20</v>
          </cell>
        </row>
        <row r="51">
          <cell r="C51" t="str">
            <v>Erzincan</v>
          </cell>
          <cell r="D51">
            <v>12</v>
          </cell>
        </row>
        <row r="52">
          <cell r="C52" t="str">
            <v>Bayburt</v>
          </cell>
          <cell r="D52">
            <v>3</v>
          </cell>
        </row>
        <row r="53">
          <cell r="C53" t="str">
            <v>Kars</v>
          </cell>
          <cell r="D53">
            <v>9</v>
          </cell>
        </row>
        <row r="54">
          <cell r="C54" t="str">
            <v>Iğdır</v>
          </cell>
          <cell r="D54">
            <v>1</v>
          </cell>
        </row>
        <row r="55">
          <cell r="C55" t="str">
            <v>Ardahan</v>
          </cell>
          <cell r="D55">
            <v>2</v>
          </cell>
        </row>
        <row r="56">
          <cell r="C56" t="str">
            <v>Malatya</v>
          </cell>
          <cell r="D56">
            <v>9</v>
          </cell>
        </row>
        <row r="57">
          <cell r="C57" t="str">
            <v>Elazığ</v>
          </cell>
          <cell r="D57">
            <v>4</v>
          </cell>
        </row>
        <row r="58">
          <cell r="C58" t="str">
            <v>Bingöl</v>
          </cell>
          <cell r="D58">
            <v>2</v>
          </cell>
        </row>
        <row r="59">
          <cell r="C59" t="str">
            <v>Tunceli</v>
          </cell>
          <cell r="D59">
            <v>5</v>
          </cell>
        </row>
        <row r="60">
          <cell r="C60" t="str">
            <v>Van</v>
          </cell>
          <cell r="D60">
            <v>6</v>
          </cell>
        </row>
        <row r="61">
          <cell r="C61" t="str">
            <v>Muş</v>
          </cell>
          <cell r="D61">
            <v>3</v>
          </cell>
        </row>
        <row r="62">
          <cell r="C62" t="str">
            <v>Bitlis</v>
          </cell>
          <cell r="D62">
            <v>2</v>
          </cell>
        </row>
        <row r="63">
          <cell r="C63" t="str">
            <v>Hakkari</v>
          </cell>
          <cell r="D63">
            <v>3</v>
          </cell>
        </row>
        <row r="64">
          <cell r="C64" t="str">
            <v>Gaziantep</v>
          </cell>
          <cell r="D64">
            <v>2</v>
          </cell>
        </row>
        <row r="65">
          <cell r="C65" t="str">
            <v>Adıyaman</v>
          </cell>
          <cell r="D65">
            <v>12</v>
          </cell>
        </row>
        <row r="66">
          <cell r="C66" t="str">
            <v>Şanlıurfa</v>
          </cell>
          <cell r="D66">
            <v>1</v>
          </cell>
        </row>
        <row r="67">
          <cell r="C67" t="str">
            <v>Diyarbakır</v>
          </cell>
          <cell r="D67">
            <v>3</v>
          </cell>
        </row>
        <row r="68">
          <cell r="C68" t="str">
            <v>Mardin</v>
          </cell>
          <cell r="D68">
            <v>1</v>
          </cell>
        </row>
        <row r="69">
          <cell r="C69" t="str">
            <v>Batman</v>
          </cell>
          <cell r="D69">
            <v>1</v>
          </cell>
        </row>
        <row r="70">
          <cell r="C70" t="str">
            <v>Şırnak</v>
          </cell>
          <cell r="D70">
            <v>1</v>
          </cell>
        </row>
        <row r="71">
          <cell r="C71" t="str">
            <v>Siirt</v>
          </cell>
          <cell r="D71">
            <v>3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Oğuzhan Bayramoğlu" refreshedDate="42348.440366435185" createdVersion="4" refreshedVersion="4" minRefreshableVersion="3" recordCount="454">
  <cacheSource type="worksheet">
    <worksheetSource ref="B3:I457" sheet="Sayfa"/>
  </cacheSource>
  <cacheFields count="8">
    <cacheField name="IBBS(1) - 3. Düzey" numFmtId="0">
      <sharedItems count="66">
        <s v="TR422"/>
        <s v="TR413"/>
        <s v="TR521"/>
        <s v="TR831"/>
        <s v="TR834"/>
        <s v="TRB21"/>
        <s v="TR632"/>
        <s v="TRA23"/>
        <s v="TRA22"/>
        <s v="TR905"/>
        <s v="TR522"/>
        <s v="TR901"/>
        <s v="TR411"/>
        <s v="TR633"/>
        <s v="TR631"/>
        <s v="TRA12"/>
        <s v="TRB11"/>
        <s v="TRB14"/>
        <s v="TRC31"/>
        <s v="TRC33"/>
        <s v="TR721"/>
        <s v="TR611"/>
        <s v="TRB23"/>
        <s v="TRB22"/>
        <s v="TRB24"/>
        <s v="TR612"/>
        <s v="TRC12"/>
        <s v="TRA13"/>
        <s v="TR813"/>
        <s v="TR423"/>
        <s v="TR622"/>
        <s v="TR412"/>
        <s v="TRA11"/>
        <s v="TR904"/>
        <s v="TR333"/>
        <s v="TR713"/>
        <s v="TRC21"/>
        <s v="TR332"/>
        <s v="TR722"/>
        <s v="TR322"/>
        <s v="TR323"/>
        <s v="TR221"/>
        <s v="TRB12"/>
        <s v="TR902"/>
        <s v="TR321"/>
        <s v="TR821"/>
        <s v="TR903"/>
        <s v="TR906"/>
        <s v="TRC34"/>
        <s v="TR714"/>
        <s v="TR823"/>
        <s v="TRC11"/>
        <s v="TR424"/>
        <s v="TR621"/>
        <s v="TR510"/>
        <s v="TRC32"/>
        <s v="TR833"/>
        <s v="TR711"/>
        <s v="TR421"/>
        <s v="TRC22"/>
        <s v="TRA24"/>
        <s v="TR832"/>
        <s v="TRB13"/>
        <s v="TR811"/>
        <s v="TR812"/>
        <s v="TR822"/>
      </sharedItems>
    </cacheField>
    <cacheField name="Proje Adı" numFmtId="0">
      <sharedItems count="452">
        <s v="Pazarköy-Akyazı HES"/>
        <s v="Haraklı-Hendek HES"/>
        <s v="Bozüyük HES"/>
        <s v="İvriz  HES"/>
        <s v="Dere HES"/>
        <s v="Göksu HES"/>
        <s v="Ladik-Büyükkızoğlu  HES"/>
        <s v="Durucasu HES"/>
        <s v="Engil HES"/>
        <s v="Koçköprü Barajı ve HES"/>
        <s v="Zernek (Hoşap) Barajı ve HES"/>
        <s v="Erciş HES"/>
        <s v="Kısık HES "/>
        <s v="Kiti HES"/>
        <s v="Arpaçay-Telek HES"/>
        <s v="Esendal  HES"/>
        <s v="Bozkır HES"/>
        <s v="Ermenek  HES"/>
        <s v="Visera (Işıklar) HES"/>
        <s v="Suuçtu-Mustafa Kemal Paşa HES"/>
        <s v="Değirmendere HES"/>
        <s v="Karaçay HES"/>
        <s v="Kuzuculu HES"/>
        <s v="Girlevik I HES"/>
        <s v="Kernek HES"/>
        <s v="Erkenek HES"/>
        <s v="Derme-Kapuluk HES"/>
        <s v="Çemişgezek HES"/>
        <s v="Çağçağ  HES"/>
        <s v="Uludere HES"/>
        <s v="Sızır HES"/>
        <s v="Pınarbaşı HES"/>
        <s v="Bünyan HES"/>
        <s v="Turunçova-Finike HES"/>
        <s v="Ahlat  HES"/>
        <s v="Adilcevaz HES"/>
        <s v="Malazgirt  HES"/>
        <s v="Varto-Sönmez HES"/>
        <s v="Otluca  HES"/>
        <s v="Kovada I HES"/>
        <s v="Kovada II HES"/>
        <s v="Besni HES"/>
        <s v="Bayburt  HES"/>
        <s v="Kayadibi  HES"/>
        <s v="Hasanlar Barajı ve HES"/>
        <s v="Berdan Barajı ve HES"/>
        <s v="Oymapınar Barajı ve HES"/>
        <s v="Beyköy HES"/>
        <s v="Ataköy Barajı ve HES"/>
        <s v="Kuzgun Barajı ve HES"/>
        <s v="Tercan Barajı ve HES"/>
        <s v="Mercan-Ovacık HES"/>
        <s v="İkizdere HES"/>
        <s v="Çıldır  HES"/>
        <s v="İnegöl-Cerrah HES"/>
        <s v="İznik-Dereköy HES"/>
        <s v="Kayaköy HES"/>
        <s v="Çamardı HES"/>
        <s v="Girlevik II HES"/>
        <s v="Mercan HES"/>
        <s v="Tohma-Medik HES"/>
        <s v="Çamlıca I Barajı ve HES"/>
        <s v="Yamula Barajı ve HES"/>
        <s v="Birecik Barajı ve HES"/>
        <s v="Çayköy (Aksu) HES"/>
        <s v="Dinar II HES"/>
        <s v="Sütçüler HES"/>
        <s v="Ahiköy I HES"/>
        <s v="Ahiköy II HES"/>
        <s v="Suçatı Barajı ve HES"/>
        <s v="Çal HES"/>
        <s v="Fethiye HES"/>
        <s v="Gaziler HES"/>
        <s v="Gönen Barajı ve HES"/>
        <s v="Hazar I (İHD) HES"/>
        <s v="Hazar II (İHD) HES"/>
        <s v="Açma HES"/>
        <s v="Adacami HES"/>
        <s v="Adasu HES"/>
        <s v="Ağkolu HES"/>
        <s v="Akbaş HES"/>
        <s v="Akçay HES"/>
        <s v="Akkaya HES"/>
        <s v="Akkent-Çalkuyucak HES"/>
        <s v="Akköy-Espiye HES"/>
        <s v="Akköy I Barajı ve HES"/>
        <s v="Akköy II Barajı ve HES"/>
        <s v="Akocak HES"/>
        <s v="Aksu Reg. ve HES"/>
        <s v="Aksu Reg. ve Şahmallar HES "/>
        <s v="Alabalık I-II Reg. ve HES"/>
        <s v="Alakır HES"/>
        <s v="Alkumru Barajı ve HES"/>
        <s v="Altıntepe-Suşehri HES "/>
        <s v="Beypınarı-Suşehri HES "/>
        <s v="Gölova HES-Suşehri HES "/>
        <s v="Konak-Suşehri HES"/>
        <s v="Sevindik HES-Suşehri HES "/>
        <s v="Anak HES"/>
        <s v="Andırın  HES"/>
        <s v="Araklı I Reg. ve HES"/>
        <s v="Araklı IV. Reg. ve HES"/>
        <s v="Aralık HES"/>
        <s v="Arca Reg. ve HES"/>
        <s v="Arpa Reg. ve HES"/>
        <s v="Aslancık Barajı HES"/>
        <s v="Aşağıdalaman I HES (OTOP)"/>
        <s v="Aşağıdalaman II HES (OTOP)"/>
        <s v="Aşağıdalaman III HES (OTOP)"/>
        <s v="Aşağıdalaman IV HES (OTOP)"/>
        <s v="Aşağıdalaman V HES (OTOP)"/>
        <s v="Avanos Reg. ve Cemel HES"/>
        <s v="Avcılar Reg. ve  HES"/>
        <s v="Ayancık HES"/>
        <s v="Ayvasıl Reg. ve HES"/>
        <s v="Azmak I-II ve Kirpilik HES"/>
        <s v="Bağcı-Beyobası HES (OTOP)"/>
        <s v="Bağışlı Reg. ve HES"/>
        <s v="Bağıştaş II  HES"/>
        <s v="Balkodu I Reg. ve HES"/>
        <s v="Balkusan Barajı ve HES"/>
        <s v="Bangal Reg. ve Kuşluk HES"/>
        <s v="Başak HES"/>
        <s v="Başaran HES "/>
        <s v="Bayburt HES"/>
        <s v="Bayramhacılı Barajı ve HES"/>
        <s v="Bayramlı HES"/>
        <s v="Bektemur HES"/>
        <s v="Bereket I HES (Serbest Ürt)"/>
        <s v="Bereket II HES (Serbest Ürt)"/>
        <s v="Berke HES"/>
        <s v="Birkapılı HES (Serbest Ürt)"/>
        <s v="Boyabat Barajı ve HES"/>
        <s v="Boztepe Reg. ve HES"/>
        <s v="Bucakköy HES"/>
        <s v="Bulam Reg ve  HES"/>
        <s v="Burçak  HES"/>
        <s v="Burç Bendi ve HES"/>
        <s v="Bükor II HES"/>
        <s v="Büyükdüz HES"/>
        <s v="Can I HES"/>
        <s v="Cansu HES "/>
        <s v="Cevher I-II HES"/>
        <s v="Cevizlidere HES"/>
        <s v="Cevizlik Barajı ve HES"/>
        <s v="Ceyhan Barajı ve HES"/>
        <s v="Cindere Barajı ve HES"/>
        <s v="Cüniş Reg. ve HES"/>
        <s v="Çağlayan Reg. ve HES"/>
        <s v="Çakırlar HES"/>
        <s v="Çakırman Reg. ve HES"/>
        <s v="Çakıt HES"/>
        <s v="Çaldere HES "/>
        <s v="Çalkışla Reg. ve HES "/>
        <s v="Çambaşı Reg. ve HES"/>
        <s v="Çamlıca Iıı Barajı ve  HES"/>
        <s v="Çamlıkaya HES"/>
        <s v="Çanakçı HES"/>
        <s v="Çarşamba Reg. ve HES"/>
        <s v="Çataloluk HES"/>
        <s v="Çaygören Barajı ve HES "/>
        <s v="Çeltikdere HES"/>
        <s v="Çenger Reg. ve HES"/>
        <s v="Çermikler Barajı ve HES"/>
        <s v="Çeşmebaşı HES"/>
        <s v="Çınar I HES"/>
        <s v="Çırakdamı Reg. ve HES"/>
        <s v="Çifteköprü HES "/>
        <s v="Çiğdem Reg. ve HES"/>
        <s v="Çobanlı HES"/>
        <s v="Çoraklı HES"/>
        <s v="Çukurçayı HES"/>
        <s v="Damlapınar HES"/>
        <s v="Daran  HES"/>
        <s v="Darca HES"/>
        <s v="Darıca HES I"/>
        <s v="Darıveren HES"/>
        <s v="Defne HES"/>
        <s v="Değirmen HES"/>
        <s v="Değirmenüstü HES"/>
        <s v="Demirciler HES"/>
        <s v="Devecikonağı Barajı ve HES"/>
        <s v="Dim Barajı ve HES"/>
        <s v="Dinar Reg. ve HES"/>
        <s v="Dinç Reg. ve HES"/>
        <s v="Diyoban HES"/>
        <s v="Dodurgalar HES"/>
        <s v="Doğankaya HES"/>
        <s v="Doruk HES (Akfen)"/>
        <s v="Dumlu Reg. ve HES"/>
        <s v="Duru I Reg ve HES"/>
        <s v="Duru II Reg. ve HES"/>
        <s v="Ege I HES"/>
        <s v="Egemen I HES"/>
        <s v="Eğer HES"/>
        <s v="Eğlence I HES"/>
        <s v="Eğlence II HES"/>
        <s v="Erem HES"/>
        <s v="Erenköy HES"/>
        <s v="Erenler HES"/>
        <s v="Erfelek HES"/>
        <s v="Erkenek Reg. ve HES"/>
        <s v="Esendurak HES"/>
        <s v="Eskiköy HES"/>
        <s v="Eşen I Barajı HES"/>
        <s v="Eşen  II  HES (Serbest Ürt)"/>
        <s v="Feke I HES"/>
        <s v="Feke II Barajı ve HES "/>
        <s v="Feslek HES (Serbest Ürt)"/>
        <s v="Fındık HES"/>
        <s v="Fırnıs HES "/>
        <s v="Garzan Barajı ve HES"/>
        <s v="Gecür HES"/>
        <s v="Gelinkaya HES"/>
        <s v="Gemciler Reg.ve HES"/>
        <s v="Gök HES"/>
        <s v="Gökgedik HES"/>
        <s v="Gökmen HES"/>
        <s v="Gökyar HES "/>
        <s v="Gözede I HES "/>
        <s v="Gözede II HES"/>
        <s v="Güdül I-II HES"/>
        <s v="Güllübağ Barajı ve HES"/>
        <s v="Günayşe Reg. ve HES"/>
        <s v="Günder Barajı ve HES"/>
        <s v="Güneşli HES"/>
        <s v="Güneşli II HES"/>
        <s v="Güzelçay I HES"/>
        <s v="Güzeloluk HES"/>
        <s v="Hacılar (Gökpınar) (OTOP)"/>
        <s v="Hacınınoğlu Kandil  HES"/>
        <s v="Hamzalı HES"/>
        <s v="Hasankale HES"/>
        <s v="Hasanlar Kanal HES"/>
        <s v="Horu HES"/>
        <s v="Horyan HES"/>
        <s v="Irmak HES"/>
        <s v="İncesu HES"/>
        <s v="İncirli HES"/>
        <s v="Kabaca Reg. ve HES"/>
        <s v="Kahraman Reg. ve HES"/>
        <s v="Kahta I HES"/>
        <s v="Kale HES "/>
        <s v="Kale HES"/>
        <s v="Kale Reg. ve HES"/>
        <s v="Kalealtı HES "/>
        <s v="Kalecik I-II-III HES"/>
        <s v="Kalen I HES"/>
        <s v="Kalen II HES"/>
        <s v="Aksu HES"/>
        <s v="Kaletepe HES"/>
        <s v="Kandil Barajı ve HES"/>
        <s v="Kandil Dağdelen HES"/>
        <s v="Karaköy HES"/>
        <s v="Karasu HES "/>
        <s v="Karasu I HES"/>
        <s v="Karasu II  HES"/>
        <s v="Karasu IV-II"/>
        <s v="Karasu IV-III"/>
        <s v="Karasu V  HES"/>
        <s v="Kargılık HES (Serbest Ürt)"/>
        <s v="Karşıyaka HES"/>
        <s v="Kartalkaya HES"/>
        <s v="Kavakçalı HES"/>
        <s v="Kavşak Bendi HES"/>
        <s v="Kayabükü HES"/>
        <s v="Kayaköprü II HES"/>
        <s v="Kayalık Reg.ve HES"/>
        <s v="Keban Deresi HES "/>
        <s v="Keklicek HES"/>
        <s v="Kemerçayır HES"/>
        <s v="Kepezkaya HES"/>
        <s v="Kesme Reg ve HES"/>
        <s v="Kıran HES"/>
        <s v="Kırıkdağ HES"/>
        <s v="Kıy HES"/>
        <s v="Kirazdere HES (Kızkalesi HES)"/>
        <s v="Kirazlık HES"/>
        <s v="Koçak HES"/>
        <s v="Koruköy HES"/>
        <s v="Koyulhisar"/>
        <s v="Kozak Bendi ve HES"/>
        <s v="Kozan HES (Kozan Barajı Dipsavak Çıkışı)"/>
        <s v="Kozdere HES"/>
        <s v="Köknar HES"/>
        <s v="Köprü Barajı ve HES"/>
        <s v="Köprübaşı  Barajı ve HES"/>
        <s v="Köprübaşı HES"/>
        <s v="Köyobası HES"/>
        <s v="Kulp I HES"/>
        <s v="Kulp IV HES"/>
        <s v="Kumköy HES"/>
        <s v="Kuşaklı Barajı ve HES"/>
        <s v="Kürce HES"/>
        <s v="Lamas III-IV HES"/>
        <s v="Mavi HES"/>
        <s v="Menge Barajı ve HES"/>
        <s v="Mentaş Reg. ve HES "/>
        <s v="Merekler Reg. ve Algölü HES"/>
        <s v="Midilli Reg. ve HES"/>
        <s v="Molu HES  "/>
        <s v="Mor-II HES "/>
        <s v="Muradiye-Ayrancılar  (Şelale-Ayrancılar HES) "/>
        <s v="Murat-I-II HES"/>
        <s v="Muratlı Reg. ve HES"/>
        <s v="Murgul HES"/>
        <s v="Mursal I-II HES "/>
        <s v="Narinkale HES"/>
        <s v="Niksar HES"/>
        <s v="Ordu HES"/>
        <s v="Ortaçağ HES"/>
        <s v="Osmancık HES"/>
        <s v="Otluca HES"/>
        <s v="Oylat I HES"/>
        <s v="Ören HES"/>
        <s v="Özlüce (Çoruh) HES"/>
        <s v="Pamuk Reg. ve HES (Serbest Ürt)"/>
        <s v="Pamukova HES (Serbest Ürt)"/>
        <s v="Papart HES"/>
        <s v="Paşa Reg. ve HES"/>
        <s v="Pınar Reg. ve HES"/>
        <s v="Pirinçli HES"/>
        <s v="Polat HES "/>
        <s v="Poyraz HES"/>
        <s v="Remsu HES"/>
        <s v="Reşadiye I-II-III HES"/>
        <s v="Sabunsuyu II HES"/>
        <s v="Saf I HES"/>
        <s v="Sancar HES"/>
        <s v="Saraçbendi HES"/>
        <s v="Kandil Sarıgüzel Barajı ve HES "/>
        <s v="Sarıhıdır I HES"/>
        <s v="Sarıkavak HES"/>
        <s v="Sarımehmet HES"/>
        <s v="Sarıtepe HES"/>
        <s v="Sarmaşık I HES "/>
        <s v="Sarmaşık II HES "/>
        <s v="Sayan HES"/>
        <s v="Sefaköy Barajı ve HES"/>
        <s v="Selimoğlu Reg.ve HES"/>
        <s v="Sena HES"/>
        <s v="Seyrantepe Barajı ve HES"/>
        <s v="Sırakonaklar HES"/>
        <s v="Sırımtaş Barajı ve HES"/>
        <s v="Sırma HES"/>
        <s v="Soğukpınar HES"/>
        <s v="Söğütlükaya (Posof III) HES"/>
        <s v="Sugözü Reg. ve Kızıldüz HES "/>
        <s v="Sukenarı HES"/>
        <s v="Suluköy HES"/>
        <s v="Süleymanlı HES (OTOP)"/>
        <s v="Sümer HES"/>
        <s v="Şifrin HES"/>
        <s v="Tahta Reg. ve HES "/>
        <s v="Taşova-Yenidereköy HES"/>
        <s v="Tatar Barajı ve HES"/>
        <s v="Tayfun HES "/>
        <s v="Tefen HES"/>
        <s v="Teleme Reg.ve HES"/>
        <s v="Telli-I HES"/>
        <s v="Tınaztepe HES"/>
        <s v="Tocak I HES"/>
        <s v="Tonya I-II HES"/>
        <s v="Torlar HES"/>
        <s v="Toros HES"/>
        <s v="Tuğra I-II-III HES"/>
        <s v="Tuna  Barajı ve HES"/>
        <s v="Tuzköy Reg. ve HES"/>
        <s v="Tuzlaköy-Serge Reg. ve HES"/>
        <s v="Tuztaşı HES"/>
        <s v="Uluabat Kuvvet Tüneli ve HES"/>
        <s v="Umut Reg ve HES "/>
        <s v="Uzunçayır Barajı ve HES "/>
        <s v="Uzundere I HES"/>
        <s v="Uzundere II HES"/>
        <s v="Üçhanlar HES"/>
        <s v="Üçharmanlar HES"/>
        <s v="Üçkaya HES"/>
        <s v="Üzümlü HES"/>
        <s v="Vizara Reg. HES"/>
        <s v="Yağmur Reg. ve HES (Akfen)"/>
        <s v="Yahyabey HES"/>
        <s v="Yalnızca Reg. ve HES"/>
        <s v="Yamaç HES   (Mehmetli Barajı )"/>
        <s v="Yamanlı III (Himmetli)"/>
        <s v="Yamanlı III (Gökkaya Barajı)"/>
        <s v="Yaprak I Barajı ve HES"/>
        <s v="Yaprak II HES"/>
        <s v="Yaprak HES"/>
        <s v="Yaşıl HES"/>
        <s v="Yavuz  HES"/>
        <s v="Yavuz HES"/>
        <s v="Yayla HES"/>
        <s v="Yaylabel HES"/>
        <s v="Yazı HES"/>
        <s v="Yazyurdu HES"/>
        <s v="Yedigöl Reg. ve HES"/>
        <s v="Yedigöze Barajı  ve  HES"/>
        <s v="Yedisu Barajı ve HES"/>
        <s v="Yeşil HES"/>
        <s v="Yeşilırmak I Reg. ve HES"/>
        <s v="Yeşilvadi HES"/>
        <s v="Yıldırım Reg. ve HES"/>
        <s v="Yıldızlı Reg. ve HES"/>
        <s v="Yokuşlu Kalkandere HES"/>
        <s v="Yukarı Manahoz Reg. ve HES "/>
        <s v="Yukarı Mercan HES "/>
        <s v="Yüce HES"/>
        <s v="Zamantı Bahçelik Barajı ve HES"/>
        <s v="Zeytin Reg. ve HES"/>
        <s v="Akdere Reg. ve HES"/>
        <s v="Akköy I Cansuyu HES"/>
        <s v="Akköy II Aladereçam HES"/>
        <s v="Aksu Reg ve HES"/>
        <s v="Araklı -III Reg. ve HES"/>
        <s v="Arısu HES"/>
        <s v="Arkun  Barajı ve HES"/>
        <s v="Baran HES"/>
        <s v="Boğazköy Barajı Ve HES"/>
        <s v="Çağlayan HES"/>
        <s v="Çamlıca II HES"/>
        <s v="Dağbaşı HES"/>
        <s v="Dereli HES"/>
        <s v="Doğançay HES"/>
        <s v="Düzce - Aksu HES"/>
        <s v="Ekincik HES"/>
        <s v="Ekinözü I-II HES"/>
        <s v="Eren HES"/>
        <s v="General HES"/>
        <s v="Gökbel I-II HES"/>
        <s v="Gökboyun Reg ve HES"/>
        <s v="Gürgen Reg. ve HES"/>
        <s v="Hamzabey Reg. ve HES"/>
        <s v="Havva HES"/>
        <s v="Kamer Reg. Ve HES"/>
        <s v="Koçlu HES"/>
        <s v="Köroğlu HES "/>
        <s v="Murat HES "/>
        <s v="Pirinçlik HES"/>
        <s v="Piro Reg Ve HES "/>
        <s v="Saray HES"/>
        <s v="Serap HES"/>
        <s v="Sölperen HES"/>
        <s v="Tokmadin HES"/>
        <s v="Tuana HES"/>
        <s v="Üçgen HES"/>
        <s v="Üçgen II HES"/>
        <s v="Yakınca Reg. Ve HES"/>
        <s v="Yazılı I-II-III HES"/>
        <s v="Yeşilköy Reg. Ve HES"/>
        <s v="Zala HES"/>
        <s v="Zekere HES"/>
      </sharedItems>
    </cacheField>
    <cacheField name="İli" numFmtId="0">
      <sharedItems count="66">
        <s v="Sakarya"/>
        <s v="Bilecik"/>
        <s v="Konya"/>
        <s v="Samsun"/>
        <s v="Amasya"/>
        <s v="Van"/>
        <s v="Kahramanmaraş"/>
        <s v="Iğdır"/>
        <s v="Kars"/>
        <s v="Artvin"/>
        <s v="Karaman"/>
        <s v="Trabzon"/>
        <s v="Bursa"/>
        <s v="Osmaniye"/>
        <s v="Hatay"/>
        <s v="Erzincan"/>
        <s v="Malatya"/>
        <s v="Tunceli"/>
        <s v="Mardin"/>
        <s v="Şırnak"/>
        <s v="Kayseri"/>
        <s v="Antalya"/>
        <s v="Bitlis"/>
        <s v="Muş"/>
        <s v="Hakkari"/>
        <s v="Isparta"/>
        <s v="Adıyaman"/>
        <s v="Bayburt"/>
        <s v="Bartın"/>
        <s v="Düzce"/>
        <s v="Mersin"/>
        <s v="Eskişehir"/>
        <s v="Erzurum"/>
        <s v="Rize"/>
        <s v="Kütahya"/>
        <s v="Niğde"/>
        <s v="Şanlıurfa"/>
        <s v="Afyonkarahisar"/>
        <s v="Sivas"/>
        <s v="Denizli"/>
        <s v="Muğla"/>
        <s v="Balıkesir"/>
        <s v="Elazığ"/>
        <s v="Ordu"/>
        <s v="Aydın"/>
        <s v="Kastamonu"/>
        <s v="Giresun"/>
        <s v="Gümüşhane"/>
        <s v="Siirt"/>
        <s v="Nevşehir"/>
        <s v="Sinop"/>
        <s v="Gaziantep"/>
        <s v="Bolu"/>
        <s v="Adana"/>
        <s v="Ankara"/>
        <s v="Batman"/>
        <s v="Çorum"/>
        <s v="Kırıkkale"/>
        <s v="Kocaeli"/>
        <s v="Diyarbakır"/>
        <s v="Ardahan"/>
        <s v="Tokat"/>
        <s v="Bingöl"/>
        <s v="Zonguldak"/>
        <s v="Karabük"/>
        <s v="Çankırı"/>
      </sharedItems>
    </cacheField>
    <cacheField name="Tipi" numFmtId="0">
      <sharedItems count="9">
        <s v="Kanal"/>
        <s v="Nehir"/>
        <s v="Baraj"/>
        <s v="Göl"/>
        <s v="Topuk Sant."/>
        <s v="İsale Hattı"/>
        <s v="Kuvvet Tüneli"/>
        <s v="Kanal (Tünelli)"/>
        <s v="Kanal "/>
      </sharedItems>
    </cacheField>
    <cacheField name="İşletmeye Alınma Tarihi" numFmtId="0">
      <sharedItems containsDate="1" containsMixedTypes="1" minDate="1899-12-31T18:39:04" maxDate="2015-01-01T00:00:00" count="214">
        <n v="1953"/>
        <n v="1938"/>
        <n v="1986"/>
        <n v="1972"/>
        <n v="1959"/>
        <n v="1954"/>
        <n v="1955"/>
        <n v="1968"/>
        <n v="1993"/>
        <n v="1989"/>
        <n v="1966"/>
        <n v="1984"/>
        <n v="1952"/>
        <n v="1934"/>
        <n v="1929"/>
        <n v="1987"/>
        <n v="1964"/>
        <n v="1961"/>
        <n v="1976"/>
        <n v="1924"/>
        <n v="1928"/>
        <n v="1962"/>
        <n v="1950"/>
        <n v="1967"/>
        <n v="1970"/>
        <n v="1960"/>
        <n v="1971"/>
        <n v="1956"/>
        <n v="1991"/>
        <n v="1996"/>
        <n v="2000"/>
        <n v="1999"/>
        <n v="1990"/>
        <n v="2003"/>
        <n v="1975"/>
        <n v="1965"/>
        <n v="2001"/>
        <n v="1998"/>
        <n v="2005"/>
        <n v="2002"/>
        <n v="1957"/>
        <n v="2013"/>
        <d v="2013-07-05T00:00:00"/>
        <d v="2013-10-23T00:00:00"/>
        <d v="2013-10-09T00:00:00"/>
        <n v="2009"/>
        <d v="2013-02-14T00:00:00"/>
        <d v="2012-05-06T00:00:00"/>
        <n v="2008"/>
        <d v="2012-06-01T00:00:00"/>
        <n v="2006"/>
        <n v="2012"/>
        <n v="2010"/>
        <d v="2011-04-12T00:00:00"/>
        <n v="2007"/>
        <d v="2012-04-27T00:00:00"/>
        <d v="2012-06-29T00:00:00"/>
        <d v="2013-05-14T00:00:00"/>
        <d v="2012-04-06T00:00:00"/>
        <d v="2012-08-16T00:00:00"/>
        <d v="2013-09-24T00:00:00"/>
        <d v="2013-05-29T00:00:00"/>
        <d v="2012-04-04T00:00:00"/>
        <d v="2012-12-15T00:00:00"/>
        <d v="2011-08-05T00:00:00"/>
        <d v="2012-08-04T00:00:00"/>
        <d v="2012-05-16T00:00:00"/>
        <d v="2011-01-20T00:00:00"/>
        <d v="2012-06-28T00:00:00"/>
        <n v="1997"/>
        <d v="2013-09-18T00:00:00"/>
        <n v="2004"/>
        <d v="2012-12-21T00:00:00"/>
        <d v="2013-02-11T00:00:00"/>
        <d v="2013-05-30T00:00:00"/>
        <d v="2012-05-31T00:00:00"/>
        <d v="2012-07-20T00:00:00"/>
        <n v="2011"/>
        <d v="2013-01-28T00:00:00"/>
        <d v="2012-07-28T00:00:00"/>
        <d v="2012-10-17T00:00:00"/>
        <d v="2011-02-19T00:00:00"/>
        <d v="2013-12-05T00:00:00"/>
        <d v="2011-04-01T00:00:00"/>
        <d v="2011-08-11T00:00:00"/>
        <d v="2011-09-29T00:00:00"/>
        <d v="2012-08-30T00:00:00"/>
        <d v="2012-10-16T00:00:00"/>
        <d v="2013-07-30T00:00:00"/>
        <d v="2011-01-12T00:00:00"/>
        <d v="2012-03-23T00:00:00"/>
        <d v="2013-08-13T00:00:00"/>
        <d v="2013-02-08T00:00:00"/>
        <d v="2013-11-14T00:00:00"/>
        <d v="2011-11-03T00:00:00"/>
        <d v="2013-01-23T00:00:00"/>
        <d v="2011-05-26T00:00:00"/>
        <d v="2013-06-10T00:00:00"/>
        <d v="2012-08-03T00:00:00"/>
        <d v="2013-08-20T00:00:00"/>
        <d v="2013-02-01T00:00:00"/>
        <d v="2012-04-20T00:00:00"/>
        <d v="2012-09-15T00:00:00"/>
        <d v="2013-03-14T00:00:00"/>
        <d v="2011-02-25T00:00:00"/>
        <d v="2012-01-19T00:00:00"/>
        <d v="2013-05-27T00:00:00"/>
        <d v="2013-04-11T00:00:00"/>
        <d v="2013-09-03T00:00:00"/>
        <d v="2013-06-13T00:00:00"/>
        <d v="2011-04-24T00:00:00"/>
        <d v="2012-06-27T00:00:00"/>
        <d v="2012-10-31T00:00:00"/>
        <d v="2013-05-31T00:00:00"/>
        <d v="2012-03-30T00:00:00"/>
        <d v="2011-06-15T00:00:00"/>
        <d v="2012-12-06T00:00:00"/>
        <d v="2013-08-29T00:00:00"/>
        <d v="2011-03-17T00:00:00"/>
        <d v="2013-05-16T00:00:00"/>
        <d v="2011-12-02T00:00:00"/>
        <s v="16.02.2012_x000a_14.11.2013"/>
        <d v="2012-06-15T00:00:00"/>
        <d v="2013-04-29T00:00:00"/>
        <d v="2011-04-08T00:00:00"/>
        <d v="2011-05-25T00:00:00"/>
        <d v="2013-02-07T00:00:00"/>
        <d v="2013-10-22T00:00:00"/>
        <d v="2013-05-11T00:00:00"/>
        <d v="2013-03-05T00:00:00"/>
        <d v="2013-03-15T00:00:00"/>
        <d v="2012-07-04T00:00:00"/>
        <d v="2013-06-24T00:00:00"/>
        <d v="2012-08-15T00:00:00"/>
        <d v="2013-04-25T00:00:00"/>
        <d v="2013-11-18T00:00:00"/>
        <d v="2013-03-01T00:00:00"/>
        <d v="2013-02-19T00:00:00"/>
        <d v="2013-07-12T00:00:00"/>
        <d v="2013-08-01T00:00:00"/>
        <d v="2013-03-21T00:00:00"/>
        <d v="2012-06-08T00:00:00"/>
        <d v="2013-11-13T00:00:00"/>
        <d v="2013-10-24T00:00:00"/>
        <d v="2013-02-05T00:00:00"/>
        <d v="2013-09-05T00:00:00"/>
        <d v="2012-04-16T00:00:00"/>
        <s v="2009-2010"/>
        <d v="2013-07-17T00:00:00"/>
        <d v="2012-02-24T00:00:00"/>
        <d v="2013-09-20T00:00:00"/>
        <d v="2013-07-26T00:00:00"/>
        <d v="2012-11-16T00:00:00"/>
        <d v="2013-07-02T00:00:00"/>
        <d v="2012-03-16T00:00:00"/>
        <d v="2012-10-19T00:00:00"/>
        <d v="2012-07-31T00:00:00"/>
        <d v="2013-07-22T00:00:00"/>
        <d v="2013-02-09T00:00:00"/>
        <d v="2013-02-26T00:00:00"/>
        <d v="2012-12-29T00:00:00"/>
        <d v="2012-01-13T00:00:00"/>
        <d v="2012-09-28T00:00:00"/>
        <d v="2012-03-31T00:00:00"/>
        <s v="2011-2012-2013"/>
        <d v="2013-01-24T00:00:00"/>
        <d v="2012-07-14T00:00:00"/>
        <d v="2012-04-18T00:00:00"/>
        <d v="2012-11-27T00:00:00"/>
        <d v="2012-05-12T00:00:00"/>
        <d v="2012-09-14T00:00:00"/>
        <d v="2013-01-11T00:00:00"/>
        <d v="2011-04-03T00:00:00"/>
        <d v="2012-12-20T00:00:00"/>
        <n v="41026"/>
        <d v="2014-07-12T00:00:00"/>
        <d v="2014-06-04T00:00:00"/>
        <d v="2014-08-19T00:00:00"/>
        <d v="2014-03-21T00:00:00"/>
        <d v="2014-12-01T00:00:00"/>
        <d v="2014-02-17T00:00:00"/>
        <d v="2014-05-30T00:00:00"/>
        <d v="1905-07-06T00:00:00"/>
        <d v="2014-03-19T00:00:00"/>
        <d v="2014-12-04T00:00:00"/>
        <d v="2014-05-02T00:00:00"/>
        <d v="2014-04-11T00:00:00"/>
        <d v="2014-03-13T00:00:00"/>
        <d v="2014-08-29T00:00:00"/>
        <d v="2014-04-25T00:00:00"/>
        <d v="2014-11-20T00:00:00"/>
        <d v="2014-03-06T00:00:00"/>
        <d v="2014-12-12T00:00:00"/>
        <d v="2014-08-08T00:00:00"/>
        <d v="2014-04-18T00:00:00"/>
        <d v="2014-10-20T00:00:00"/>
        <d v="2014-10-15T00:00:00"/>
        <d v="2014-12-19T00:00:00"/>
        <d v="2014-04-22T00:00:00"/>
        <d v="2014-03-28T00:00:00"/>
        <d v="2014-07-10T00:00:00"/>
        <d v="2014-06-20T00:00:00"/>
        <d v="2014-11-14T00:00:00"/>
        <d v="2014-10-01T00:00:00"/>
        <d v="2014-07-16T00:00:00"/>
        <d v="2014-09-19T00:00:00"/>
        <d v="2014-06-12T00:00:00"/>
        <d v="2014-05-13T00:00:00"/>
        <d v="2014-11-07T00:00:00"/>
        <d v="2014-07-17T00:00:00"/>
        <d v="2014-12-30T00:00:00"/>
        <d v="2014-12-31T00:00:00"/>
        <d v="2014-05-16T00:00:00"/>
        <d v="2014-10-17T00:00:00"/>
      </sharedItems>
    </cacheField>
    <cacheField name="Hes Sayısı" numFmtId="0">
      <sharedItems containsSemiMixedTypes="0" containsString="0" containsNumber="1" containsInteger="1" minValue="1" maxValue="1"/>
    </cacheField>
    <cacheField name="Kurulu Güç (MW)" numFmtId="0">
      <sharedItems containsString="0" containsBlank="1" containsNumber="1" minValue="6.2399999999999997E-2" maxValue="672" count="409">
        <n v="0.18"/>
        <n v="0.26400000000000001"/>
        <n v="0.36"/>
        <n v="1.04"/>
        <n v="0.6"/>
        <n v="10.8"/>
        <n v="0.4"/>
        <n v="0.8"/>
        <n v="4.5999999999999996"/>
        <n v="8.39"/>
        <n v="4.5"/>
        <n v="9.2639999999999993"/>
        <n v="2.76"/>
        <n v="6.2399999999999997E-2"/>
        <n v="0.3"/>
        <n v="7.4999999999999997E-2"/>
        <n v="1.1200000000000001"/>
        <n v="2.3039999999999998"/>
        <n v="0.5"/>
        <n v="4.0919999999999996"/>
        <n v="3.04"/>
        <n v="0.83199999999999996"/>
        <n v="0.32"/>
        <n v="0.12"/>
        <n v="14.4"/>
        <n v="0.64"/>
        <n v="6.78"/>
        <n v="9.9199999999999997E-2"/>
        <n v="1.36"/>
        <n v="0.55200000000000005"/>
        <n v="1.07"/>
        <n v="0.39400000000000002"/>
        <n v="1.216"/>
        <n v="0.29199999999999998"/>
        <n v="1.28"/>
        <n v="8.25"/>
        <n v="51.2"/>
        <n v="0.27200000000000002"/>
        <n v="0.39600000000000002"/>
        <n v="0.46400000000000002"/>
        <n v="9.35"/>
        <n v="10.199999999999999"/>
        <n v="540"/>
        <n v="16.8"/>
        <n v="5.5"/>
        <n v="20.9"/>
        <n v="15"/>
        <n v="19.2"/>
        <n v="18.600000000000001"/>
        <n v="15.36"/>
        <n v="1.181"/>
        <n v="0.71499999999999997"/>
        <n v="2.56"/>
        <n v="6.88E-2"/>
        <n v="2.64"/>
        <n v="8.94"/>
        <n v="12.5"/>
        <n v="84"/>
        <n v="100"/>
        <n v="672"/>
        <n v="13"/>
        <n v="3"/>
        <n v="2.2000000000000002"/>
        <n v="2.1259999999999999"/>
        <n v="2.4980000000000002"/>
        <n v="7"/>
        <n v="16.5"/>
        <n v="11.1"/>
        <n v="10.6"/>
        <n v="20.12"/>
        <n v="10"/>
        <n v="2.4"/>
        <n v="29.303999999999998"/>
        <n v="9.6"/>
        <n v="4.38"/>
        <n v="12.502000000000001"/>
        <n v="28.78"/>
        <n v="4.4000000000000004"/>
        <n v="13.49"/>
        <n v="13.37"/>
        <n v="101.94"/>
        <n v="229.68"/>
        <n v="81"/>
        <n v="27.27"/>
        <n v="14"/>
        <n v="16.32"/>
        <n v="2.06"/>
        <n v="275.52"/>
        <n v="4.0819999999999999"/>
        <n v="3.69"/>
        <n v="1.05"/>
        <n v="4.016"/>
        <n v="5.7140000000000004"/>
        <n v="3.76"/>
        <n v="40.5"/>
        <n v="14.91"/>
        <n v="8.9109999999999996"/>
        <n v="12.41"/>
        <n v="16.350000000000001"/>
        <n v="32.409999999999997"/>
        <n v="93"/>
        <n v="7.5"/>
        <n v="19.53"/>
        <n v="16.742999999999999"/>
        <n v="8.58"/>
        <n v="4.42"/>
        <n v="24.407"/>
        <n v="29.571999999999999"/>
        <n v="48.6"/>
        <n v="9.19"/>
        <n v="38"/>
        <n v="17.52"/>
        <n v="6.85"/>
        <n v="0.55000000000000004"/>
        <n v="14.63"/>
        <n v="47"/>
        <n v="0.66"/>
        <n v="3.6"/>
        <n v="3.15"/>
        <m/>
        <n v="9.3800000000000008"/>
        <n v="48.5"/>
        <n v="513"/>
        <n v="18.149999999999999"/>
        <n v="7.11"/>
        <n v="66.290000000000006"/>
        <n v="27.9"/>
        <n v="12.597"/>
        <n v="68.861999999999995"/>
        <n v="1.853"/>
        <n v="11"/>
        <n v="16.375"/>
        <n v="3.4079999999999999"/>
        <n v="91.54"/>
        <n v="60"/>
        <n v="28.72"/>
        <n v="8.41"/>
        <n v="6"/>
        <n v="16.206"/>
        <n v="6.98"/>
        <n v="20"/>
        <n v="8.74"/>
        <n v="12.63"/>
        <n v="44.1"/>
        <n v="27.617999999999999"/>
        <n v="8.4719999999999995"/>
        <n v="9.16"/>
        <n v="11.31"/>
        <n v="9.5399999999999991"/>
        <n v="2.15"/>
        <n v="25"/>
        <n v="8.1999999999999993"/>
        <n v="9.26"/>
        <n v="7.77"/>
        <n v="17.7"/>
        <n v="19.03"/>
        <n v="2.6"/>
        <n v="16.425000000000001"/>
        <n v="63.878"/>
        <n v="8.92"/>
        <n v="110.32"/>
        <n v="3.0649999999999999"/>
        <n v="7.23"/>
        <n v="38.72"/>
        <n v="9.4"/>
        <n v="23"/>
        <n v="38.25"/>
        <n v="4.4400000000000004"/>
        <n v="1.97"/>
        <n v="19.04"/>
        <n v="3.66"/>
        <n v="20.55"/>
        <n v="28.277999999999999"/>
        <n v="4.1900000000000004"/>
        <n v="5.39"/>
        <n v="4.6900000000000004"/>
        <n v="0.92"/>
        <n v="19.920000000000002"/>
        <n v="1.92"/>
        <n v="42.65"/>
        <n v="26"/>
        <n v="3.05"/>
        <n v="22.5"/>
        <n v="45"/>
        <n v="6.45"/>
        <n v="13.03"/>
        <n v="9.33"/>
        <n v="2.63"/>
        <n v="42"/>
        <n v="29.4"/>
        <n v="69.349999999999994"/>
        <n v="8.84"/>
        <n v="19.75"/>
        <n v="47.45"/>
        <n v="3.0979999999999999"/>
        <n v="6.8659999999999997"/>
        <n v="7.98"/>
        <n v="10.01"/>
        <n v="24.265999999999998"/>
        <n v="2.8690000000000002"/>
        <n v="2.2999999999999998"/>
        <n v="4"/>
        <n v="7.24"/>
        <n v="96"/>
        <n v="9.1"/>
        <n v="28.22"/>
        <n v="1.8"/>
        <n v="12.38"/>
        <n v="8.1"/>
        <n v="13.58"/>
        <n v="142.28"/>
        <n v="16.7"/>
        <n v="5.29"/>
        <n v="4.67"/>
        <n v="8.48"/>
        <n v="5.68"/>
        <n v="5.74"/>
        <n v="14.5"/>
        <n v="25.2"/>
        <n v="1.42"/>
        <n v="7.12"/>
        <n v="34.130000000000003"/>
        <n v="29.25"/>
        <n v="9.5"/>
        <n v="28.81"/>
        <n v="19.109000000000002"/>
        <n v="31.3"/>
        <n v="5.2"/>
        <n v="207.92"/>
        <n v="8"/>
        <n v="4.0469999999999997"/>
        <n v="3.84"/>
        <n v="3.08"/>
        <n v="10.35"/>
        <n v="4.0999999999999996"/>
        <n v="24"/>
        <n v="1.59"/>
        <n v="11.143000000000001"/>
        <n v="191.28"/>
        <n v="14.61"/>
        <n v="38.6"/>
        <n v="5.76"/>
        <n v="5.375"/>
        <n v="8.6739999999999995"/>
        <n v="15.497999999999999"/>
        <n v="28"/>
        <n v="4.6093999999999999"/>
        <n v="9.74"/>
        <n v="16.86"/>
        <n v="23.8"/>
        <n v="0.38"/>
        <n v="46.11"/>
        <n v="25.04"/>
        <n v="3.03"/>
        <n v="63"/>
        <n v="4.6760000000000002"/>
        <n v="9.2650000000000006"/>
        <n v="8.0239999999999991"/>
        <n v="155.85"/>
        <n v="74.849999999999994"/>
        <n v="14.66"/>
        <n v="22.92"/>
        <n v="12.298999999999999"/>
        <n v="17.5"/>
        <n v="12.045999999999999"/>
        <n v="35.258000000000003"/>
        <n v="11.39"/>
        <n v="89.42"/>
        <n v="49.6"/>
        <n v="11.157"/>
        <n v="32.548000000000002"/>
        <n v="3.2"/>
        <n v="6.63"/>
        <n v="41.454000000000001"/>
        <n v="35.630000000000003"/>
        <n v="37.700000000000003"/>
        <n v="24.2"/>
        <n v="8.68"/>
        <n v="30.6"/>
        <n v="40.15"/>
        <n v="12.9"/>
        <n v="9.0299999999999994"/>
        <n v="47.7"/>
        <n v="1.9"/>
        <n v="26.579000000000001"/>
        <n v="36.380000000000003"/>
        <n v="9.3000000000000007"/>
        <n v="26.6"/>
        <n v="30.1"/>
        <n v="18.68"/>
        <n v="6.56"/>
        <n v="2.66"/>
        <n v="1.958"/>
        <n v="64.28"/>
        <n v="7.35"/>
        <n v="18.725000000000001"/>
        <n v="0.74"/>
        <n v="25.49"/>
        <n v="102.54"/>
        <n v="8.06"/>
        <n v="3.31"/>
        <n v="4.9000000000000004"/>
        <n v="21.58"/>
        <n v="15.2"/>
        <n v="33.11"/>
        <n v="8.8000000000000007"/>
        <n v="21.436"/>
        <n v="56.84"/>
        <n v="18"/>
        <n v="27.234000000000002"/>
        <n v="5.85"/>
        <n v="8.9"/>
        <n v="6.13"/>
        <n v="15.4"/>
        <n v="8.5660000000000007"/>
        <n v="6.9240000000000004"/>
        <n v="21.6"/>
        <n v="6.7439999999999998"/>
        <n v="12.3"/>
        <n v="1.98"/>
        <n v="128.22"/>
        <n v="0.82"/>
        <n v="33"/>
        <n v="1.57"/>
        <n v="8.73"/>
        <n v="4.76"/>
        <n v="2.5"/>
        <n v="14.834"/>
        <n v="49.99"/>
        <n v="21.24"/>
        <n v="37.19"/>
        <n v="8.44"/>
        <n v="16.66"/>
        <n v="1.605"/>
        <n v="42.25"/>
        <n v="82"/>
        <n v="62.15"/>
        <n v="19.690000000000001"/>
        <n v="11.939"/>
        <n v="16.64"/>
        <n v="12.416"/>
        <n v="8.5779999999999994"/>
        <n v="8.9459999999999997"/>
        <n v="0.31"/>
        <n v="14.835000000000001"/>
        <n v="5.46"/>
        <n v="26.98"/>
        <n v="28.54"/>
        <n v="24.28"/>
        <n v="8.9700000000000006"/>
        <n v="3.794"/>
        <n v="5.8"/>
        <n v="5.0999999999999996"/>
        <n v="1.06"/>
        <n v="14.9"/>
        <n v="21.9"/>
        <n v="310.66000000000003"/>
        <n v="22.71"/>
        <n v="14.000999999999999"/>
        <n v="14.25"/>
        <n v="9.98"/>
        <n v="10.677"/>
        <n v="1.2"/>
        <n v="40.24"/>
        <n v="23.6"/>
        <n v="10.566000000000001"/>
        <n v="4.17"/>
        <n v="7.48"/>
        <n v="0.495"/>
        <n v="7.33"/>
        <n v="5.77"/>
        <n v="0.63100000000000001"/>
        <n v="3.8210000000000002"/>
        <n v="244.83"/>
        <n v="21.27"/>
        <n v="11.933999999999999"/>
        <n v="17.579999999999998"/>
        <n v="10.433"/>
        <n v="6.84"/>
        <n v="49.2"/>
        <n v="30.24"/>
        <n v="46.2"/>
        <n v="7.52"/>
        <n v="35.186"/>
        <n v="5.95"/>
        <n v="18.77"/>
        <n v="5"/>
        <n v="2.36"/>
        <n v="8.82"/>
        <n v="7.19"/>
        <n v="17.100000000000001"/>
        <n v="3.75"/>
        <n v="36.26"/>
        <n v="9.06"/>
        <n v="11.089"/>
        <n v="21.315000000000001"/>
        <n v="4.0599999999999996"/>
        <n v="13.5"/>
        <n v="28.96"/>
        <n v="9.7620000000000005"/>
        <n v="3.43"/>
        <n v="7.39"/>
        <n v="3.3879999999999999"/>
        <n v="10.319000000000001"/>
        <n v="11.7"/>
        <n v="6.62"/>
        <n v="3.72"/>
        <n v="5.4219999999999997"/>
        <n v="3.9780000000000002"/>
      </sharedItems>
    </cacheField>
    <cacheField name="Ortalama Enerji Üretimi_x000a_(GWh/Yıl)_x000a_" numFmtId="0">
      <sharedItems containsString="0" containsBlank="1" containsNumber="1" minValue="0.3" maxValue="2516" count="320">
        <n v="0.5"/>
        <n v="1"/>
        <n v="2"/>
        <n v="70"/>
        <n v="1.5"/>
        <n v="3"/>
        <n v="14"/>
        <n v="44"/>
        <n v="13"/>
        <n v="35"/>
        <n v="12"/>
        <n v="0.3"/>
        <n v="0.4"/>
        <n v="1.25"/>
        <n v="2.4500000000000002"/>
        <n v="8"/>
        <n v="15"/>
        <n v="18"/>
        <n v="2.2000000000000002"/>
        <n v="1.6"/>
        <n v="0.75"/>
        <n v="42"/>
        <n v="1.2"/>
        <n v="50"/>
        <n v="0.7"/>
        <n v="4"/>
        <n v="1.0649999999999999"/>
        <n v="2.5"/>
        <n v="3.5"/>
        <n v="222"/>
        <n v="0.6"/>
        <n v="47"/>
        <n v="1620"/>
        <n v="87.2"/>
        <n v="36"/>
        <n v="51"/>
        <n v="78"/>
        <n v="110"/>
        <n v="48"/>
        <n v="43"/>
        <m/>
        <n v="59"/>
        <n v="429"/>
        <n v="423.5"/>
        <n v="2516"/>
        <n v="22.3"/>
        <n v="12.22"/>
        <n v="11.435"/>
        <n v="11.307"/>
        <n v="28"/>
        <n v="11.75"/>
        <n v="90"/>
        <n v="60"/>
        <n v="10"/>
        <n v="109"/>
        <n v="56.16"/>
        <n v="45.5"/>
        <n v="94.88"/>
        <n v="14.41"/>
        <n v="39.89"/>
        <n v="58"/>
        <n v="315"/>
        <n v="900"/>
        <n v="257"/>
        <n v="86.39"/>
        <n v="55.61"/>
        <n v="42.14"/>
        <n v="14.06"/>
        <n v="24.306999999999999"/>
        <n v="23.103999999999999"/>
        <n v="25.16"/>
        <n v="25"/>
        <n v="15.07"/>
        <n v="105"/>
        <n v="25.8"/>
        <n v="40"/>
        <n v="58.18"/>
        <n v="76.36"/>
        <n v="340"/>
        <n v="30"/>
        <n v="80.260000000000005"/>
        <n v="46.395000000000003"/>
        <n v="30.03"/>
        <n v="13.65"/>
        <n v="90.5"/>
        <n v="1.7"/>
        <n v="95"/>
        <n v="181.25"/>
        <n v="120.5"/>
        <n v="56"/>
        <n v="21.5"/>
        <n v="4.2699999999999996"/>
        <n v="166"/>
        <n v="3.2"/>
        <n v="19.286999999999999"/>
        <n v="16"/>
        <n v="23.58"/>
        <n v="74.8"/>
        <n v="1470"/>
        <n v="63.524999999999991"/>
        <n v="33"/>
        <n v="224"/>
        <n v="112"/>
        <n v="58.11"/>
        <n v="192"/>
        <n v="11"/>
        <n v="51.18"/>
        <n v="10.351000000000001"/>
        <n v="360"/>
        <n v="250"/>
        <n v="88.1"/>
        <n v="29.260999999999999"/>
        <n v="24"/>
        <n v="59.927999999999997"/>
        <n v="22"/>
        <n v="17.260000000000002"/>
        <n v="160"/>
        <n v="94.47"/>
        <n v="35.1"/>
        <n v="62.768000000000001"/>
        <n v="32"/>
        <n v="20.66"/>
        <n v="6.2590000000000003"/>
        <n v="32.29"/>
        <n v="80"/>
        <n v="140"/>
        <n v="31.17"/>
        <n v="16.510000000000002"/>
        <n v="92.2"/>
        <n v="185"/>
        <n v="63"/>
        <n v="370"/>
        <n v="5.64"/>
        <n v="45"/>
        <n v="114.26"/>
        <n v="30.5"/>
        <n v="46"/>
        <n v="123"/>
        <n v="35.79"/>
        <n v="14.904"/>
        <n v="97.96"/>
        <n v="85"/>
        <n v="20.07"/>
        <n v="4.38"/>
        <n v="72"/>
        <n v="130"/>
        <n v="12.5"/>
        <n v="86.97"/>
        <n v="125"/>
        <n v="20"/>
        <n v="52"/>
        <n v="9.4499999999999993"/>
        <n v="206"/>
        <n v="187.5"/>
        <n v="117"/>
        <n v="223"/>
        <n v="41"/>
        <n v="210"/>
        <n v="10.199999999999999"/>
        <n v="40.26"/>
        <n v="60.26"/>
        <n v="13.2"/>
        <n v="4.28"/>
        <n v="314"/>
        <n v="27.36"/>
        <n v="73.58"/>
        <n v="61"/>
        <n v="32.07"/>
        <n v="88"/>
        <n v="334.02100000000002"/>
        <n v="36.380000000000003"/>
        <n v="21"/>
        <n v="20.64"/>
        <n v="126"/>
        <n v="32.42"/>
        <n v="5.5"/>
        <n v="40.159999999999997"/>
        <n v="107"/>
        <n v="108"/>
        <n v="51.64"/>
        <n v="111"/>
        <n v="100"/>
        <n v="502"/>
        <n v="12.56"/>
        <n v="18.72"/>
        <n v="21.56"/>
        <n v="18.97"/>
        <n v="57.76"/>
        <n v="21.62"/>
        <n v="24.27"/>
        <n v="71"/>
        <n v="8.32"/>
        <n v="26.51"/>
        <n v="44.29"/>
        <n v="766"/>
        <n v="31.68"/>
        <n v="25.015000000000001"/>
        <n v="52.98"/>
        <n v="16.100000000000001"/>
        <n v="61.917999999999999"/>
        <n v="72.293999999999997"/>
        <n v="1.44"/>
        <n v="150.61000000000001"/>
        <n v="74.92"/>
        <n v="330"/>
        <n v="13.34"/>
        <n v="378.38"/>
        <n v="203"/>
        <n v="4.5999999999999996"/>
        <n v="97.7"/>
        <n v="120.215"/>
        <n v="47.56"/>
        <n v="120"/>
        <n v="203.14"/>
        <n v="163"/>
        <n v="170"/>
        <n v="151"/>
        <n v="67"/>
        <n v="111.72"/>
        <n v="248"/>
        <n v="146"/>
        <n v="39.61"/>
        <n v="31"/>
        <n v="8.08"/>
        <n v="83.83"/>
        <n v="93.2"/>
        <n v="55"/>
        <n v="64.319999999999993"/>
        <n v="34"/>
        <n v="137"/>
        <n v="150"/>
        <n v="23.36"/>
        <n v="9.98"/>
        <n v="7.1"/>
        <n v="450"/>
        <n v="101.49"/>
        <n v="282"/>
        <n v="23"/>
        <n v="42.6"/>
        <n v="17"/>
        <n v="108.06"/>
        <n v="95.3"/>
        <n v="48.3"/>
        <n v="31.97"/>
        <n v="161"/>
        <n v="23.2"/>
        <n v="26"/>
        <n v="22.32"/>
        <n v="53.061"/>
        <n v="18.88"/>
        <n v="48.292999999999999"/>
        <n v="10.08"/>
        <n v="364.25200000000001"/>
        <n v="5.28"/>
        <n v="141"/>
        <n v="10.86"/>
        <n v="14.93"/>
        <n v="208"/>
        <n v="100.8"/>
        <n v="49.23"/>
        <n v="7.8609999999999998"/>
        <n v="423"/>
        <n v="92"/>
        <n v="322"/>
        <n v="156"/>
        <n v="100.646"/>
        <n v="4.59"/>
        <n v="40.65"/>
        <n v="27"/>
        <n v="56.89"/>
        <n v="95.26"/>
        <n v="71.39"/>
        <n v="24.84"/>
        <n v="14.92"/>
        <n v="82.74"/>
        <n v="20.87"/>
        <n v="5"/>
        <n v="1141"/>
        <n v="35.67"/>
        <n v="33.299999999999997"/>
        <n v="180"/>
        <n v="88.207999999999998"/>
        <n v="44.18"/>
        <n v="18.280999999999999"/>
        <n v="23.16"/>
        <n v="21.28"/>
        <n v="10.15"/>
        <n v="842.1"/>
        <n v="58.48"/>
        <n v="36.094999999999999"/>
        <n v="89.56"/>
        <n v="38"/>
        <n v="152.13"/>
        <n v="171.68"/>
        <n v="141.37"/>
        <n v="19.669"/>
        <n v="25.913"/>
        <n v="15.6"/>
        <n v="83.36"/>
        <n v="12.57"/>
        <n v="9.66"/>
        <n v="32.543999999999997"/>
        <n v="25.22"/>
        <n v="50.78"/>
        <n v="11.43"/>
        <n v="121"/>
        <n v="26.13"/>
        <n v="83.54"/>
        <n v="12.79"/>
        <n v="46.89"/>
        <n v="82.180999999999997"/>
        <n v="23.28"/>
        <n v="10.16"/>
        <n v="14.03"/>
        <n v="13.4"/>
        <n v="39.033999999999999"/>
        <n v="42.789000000000001"/>
        <n v="14.47"/>
        <n v="18.61"/>
        <n v="10.0630000000000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Oğuzhan Bayramoğlu" refreshedDate="42348.440366898147" createdVersion="4" refreshedVersion="4" minRefreshableVersion="3" recordCount="454">
  <cacheSource type="worksheet">
    <worksheetSource ref="A1:G455" sheet="Sayfa1"/>
  </cacheSource>
  <cacheFields count="7">
    <cacheField name="IBBS(1) - 3. Düzey" numFmtId="0">
      <sharedItems/>
    </cacheField>
    <cacheField name="Proje Adı" numFmtId="0">
      <sharedItems/>
    </cacheField>
    <cacheField name="İli" numFmtId="0">
      <sharedItems count="66">
        <s v="Sakarya"/>
        <s v="Bilecik"/>
        <s v="Konya"/>
        <s v="Samsun"/>
        <s v="Amasya"/>
        <s v="Van"/>
        <s v="Kahramanmaraş"/>
        <s v="Iğdır"/>
        <s v="Kars"/>
        <s v="Artvin"/>
        <s v="Karaman"/>
        <s v="Trabzon"/>
        <s v="Bursa"/>
        <s v="Osmaniye"/>
        <s v="Hatay"/>
        <s v="Erzincan"/>
        <s v="Malatya"/>
        <s v="Tunceli"/>
        <s v="Mardin"/>
        <s v="Şırnak"/>
        <s v="Kayseri"/>
        <s v="Antalya"/>
        <s v="Bitlis"/>
        <s v="Muş"/>
        <s v="Hakkari"/>
        <s v="Isparta"/>
        <s v="Adıyaman"/>
        <s v="Bayburt"/>
        <s v="Bartın"/>
        <s v="Düzce"/>
        <s v="Mersin"/>
        <s v="Eskişehir"/>
        <s v="Erzurum"/>
        <s v="Rize"/>
        <s v="Kütahya"/>
        <s v="Niğde"/>
        <s v="Şanlıurfa"/>
        <s v="Afyonkarahisar"/>
        <s v="Sivas"/>
        <s v="Denizli"/>
        <s v="Muğla"/>
        <s v="Balıkesir"/>
        <s v="Elazığ"/>
        <s v="Ordu"/>
        <s v="Aydın"/>
        <s v="Kastamonu"/>
        <s v="Giresun"/>
        <s v="Gümüşhane"/>
        <s v="Siirt"/>
        <s v="Nevşehir"/>
        <s v="Sinop"/>
        <s v="Gaziantep"/>
        <s v="Bolu"/>
        <s v="Adana"/>
        <s v="Ankara"/>
        <s v="Batman"/>
        <s v="Çorum"/>
        <s v="Kırıkkale"/>
        <s v="Kocaeli"/>
        <s v="Diyarbakır"/>
        <s v="Ardahan"/>
        <s v="Tokat"/>
        <s v="Bingöl"/>
        <s v="Zonguldak"/>
        <s v="Karabük"/>
        <s v="Çankırı"/>
      </sharedItems>
    </cacheField>
    <cacheField name="Tipi" numFmtId="0">
      <sharedItems/>
    </cacheField>
    <cacheField name="İşletmeye Alınma Tarihi" numFmtId="0">
      <sharedItems containsDate="1" containsMixedTypes="1" minDate="1899-12-31T18:39:04" maxDate="2015-01-01T00:00:00"/>
    </cacheField>
    <cacheField name="Kurulu Güç (MW)" numFmtId="0">
      <sharedItems containsString="0" containsBlank="1" containsNumber="1" minValue="6.2399999999999997E-2" maxValue="672"/>
    </cacheField>
    <cacheField name="Ortalama Enerji Üretimi(GWh/Yıl)_x000a_" numFmtId="0">
      <sharedItems containsString="0" containsBlank="1" containsNumber="1" minValue="0.3" maxValue="25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54">
  <r>
    <x v="0"/>
    <x v="0"/>
    <x v="0"/>
    <x v="0"/>
    <x v="0"/>
    <n v="1"/>
    <x v="0"/>
    <x v="0"/>
  </r>
  <r>
    <x v="0"/>
    <x v="1"/>
    <x v="0"/>
    <x v="0"/>
    <x v="0"/>
    <n v="1"/>
    <x v="1"/>
    <x v="1"/>
  </r>
  <r>
    <x v="1"/>
    <x v="2"/>
    <x v="1"/>
    <x v="0"/>
    <x v="1"/>
    <n v="1"/>
    <x v="2"/>
    <x v="1"/>
  </r>
  <r>
    <x v="2"/>
    <x v="3"/>
    <x v="2"/>
    <x v="0"/>
    <x v="2"/>
    <n v="1"/>
    <x v="3"/>
    <x v="2"/>
  </r>
  <r>
    <x v="2"/>
    <x v="4"/>
    <x v="2"/>
    <x v="0"/>
    <x v="3"/>
    <n v="1"/>
    <x v="4"/>
    <x v="1"/>
  </r>
  <r>
    <x v="2"/>
    <x v="5"/>
    <x v="2"/>
    <x v="0"/>
    <x v="4"/>
    <n v="1"/>
    <x v="5"/>
    <x v="3"/>
  </r>
  <r>
    <x v="3"/>
    <x v="6"/>
    <x v="3"/>
    <x v="0"/>
    <x v="5"/>
    <n v="1"/>
    <x v="6"/>
    <x v="4"/>
  </r>
  <r>
    <x v="4"/>
    <x v="7"/>
    <x v="4"/>
    <x v="1"/>
    <x v="6"/>
    <n v="1"/>
    <x v="7"/>
    <x v="5"/>
  </r>
  <r>
    <x v="5"/>
    <x v="8"/>
    <x v="5"/>
    <x v="0"/>
    <x v="7"/>
    <n v="1"/>
    <x v="8"/>
    <x v="6"/>
  </r>
  <r>
    <x v="5"/>
    <x v="9"/>
    <x v="5"/>
    <x v="2"/>
    <x v="8"/>
    <n v="1"/>
    <x v="9"/>
    <x v="7"/>
  </r>
  <r>
    <x v="5"/>
    <x v="10"/>
    <x v="5"/>
    <x v="2"/>
    <x v="9"/>
    <n v="1"/>
    <x v="10"/>
    <x v="8"/>
  </r>
  <r>
    <x v="5"/>
    <x v="11"/>
    <x v="5"/>
    <x v="0"/>
    <x v="7"/>
    <n v="1"/>
    <x v="7"/>
    <x v="4"/>
  </r>
  <r>
    <x v="6"/>
    <x v="12"/>
    <x v="6"/>
    <x v="0"/>
    <x v="8"/>
    <n v="1"/>
    <x v="11"/>
    <x v="9"/>
  </r>
  <r>
    <x v="7"/>
    <x v="13"/>
    <x v="7"/>
    <x v="1"/>
    <x v="10"/>
    <n v="1"/>
    <x v="12"/>
    <x v="10"/>
  </r>
  <r>
    <x v="8"/>
    <x v="14"/>
    <x v="8"/>
    <x v="0"/>
    <x v="10"/>
    <n v="1"/>
    <x v="13"/>
    <x v="11"/>
  </r>
  <r>
    <x v="9"/>
    <x v="15"/>
    <x v="9"/>
    <x v="0"/>
    <x v="11"/>
    <n v="1"/>
    <x v="14"/>
    <x v="1"/>
  </r>
  <r>
    <x v="2"/>
    <x v="16"/>
    <x v="2"/>
    <x v="0"/>
    <x v="12"/>
    <n v="1"/>
    <x v="15"/>
    <x v="12"/>
  </r>
  <r>
    <x v="10"/>
    <x v="17"/>
    <x v="10"/>
    <x v="0"/>
    <x v="13"/>
    <n v="1"/>
    <x v="16"/>
    <x v="13"/>
  </r>
  <r>
    <x v="11"/>
    <x v="18"/>
    <x v="11"/>
    <x v="0"/>
    <x v="14"/>
    <n v="1"/>
    <x v="3"/>
    <x v="14"/>
  </r>
  <r>
    <x v="12"/>
    <x v="19"/>
    <x v="12"/>
    <x v="0"/>
    <x v="12"/>
    <n v="1"/>
    <x v="17"/>
    <x v="15"/>
  </r>
  <r>
    <x v="13"/>
    <x v="20"/>
    <x v="13"/>
    <x v="0"/>
    <x v="15"/>
    <n v="1"/>
    <x v="18"/>
    <x v="1"/>
  </r>
  <r>
    <x v="13"/>
    <x v="21"/>
    <x v="13"/>
    <x v="0"/>
    <x v="6"/>
    <n v="1"/>
    <x v="6"/>
    <x v="4"/>
  </r>
  <r>
    <x v="14"/>
    <x v="22"/>
    <x v="14"/>
    <x v="0"/>
    <x v="5"/>
    <n v="1"/>
    <x v="19"/>
    <x v="16"/>
  </r>
  <r>
    <x v="15"/>
    <x v="23"/>
    <x v="15"/>
    <x v="0"/>
    <x v="0"/>
    <n v="1"/>
    <x v="20"/>
    <x v="17"/>
  </r>
  <r>
    <x v="16"/>
    <x v="24"/>
    <x v="16"/>
    <x v="1"/>
    <x v="16"/>
    <n v="1"/>
    <x v="21"/>
    <x v="18"/>
  </r>
  <r>
    <x v="16"/>
    <x v="25"/>
    <x v="16"/>
    <x v="0"/>
    <x v="3"/>
    <n v="1"/>
    <x v="22"/>
    <x v="19"/>
  </r>
  <r>
    <x v="16"/>
    <x v="26"/>
    <x v="16"/>
    <x v="0"/>
    <x v="17"/>
    <n v="1"/>
    <x v="10"/>
    <x v="2"/>
  </r>
  <r>
    <x v="17"/>
    <x v="27"/>
    <x v="17"/>
    <x v="0"/>
    <x v="17"/>
    <n v="1"/>
    <x v="23"/>
    <x v="20"/>
  </r>
  <r>
    <x v="18"/>
    <x v="28"/>
    <x v="18"/>
    <x v="1"/>
    <x v="7"/>
    <n v="1"/>
    <x v="24"/>
    <x v="21"/>
  </r>
  <r>
    <x v="19"/>
    <x v="29"/>
    <x v="19"/>
    <x v="1"/>
    <x v="18"/>
    <n v="1"/>
    <x v="25"/>
    <x v="22"/>
  </r>
  <r>
    <x v="20"/>
    <x v="30"/>
    <x v="20"/>
    <x v="0"/>
    <x v="17"/>
    <n v="1"/>
    <x v="26"/>
    <x v="23"/>
  </r>
  <r>
    <x v="20"/>
    <x v="31"/>
    <x v="20"/>
    <x v="0"/>
    <x v="19"/>
    <n v="1"/>
    <x v="27"/>
    <x v="24"/>
  </r>
  <r>
    <x v="20"/>
    <x v="32"/>
    <x v="20"/>
    <x v="0"/>
    <x v="20"/>
    <n v="1"/>
    <x v="28"/>
    <x v="25"/>
  </r>
  <r>
    <x v="21"/>
    <x v="33"/>
    <x v="21"/>
    <x v="0"/>
    <x v="21"/>
    <n v="1"/>
    <x v="29"/>
    <x v="1"/>
  </r>
  <r>
    <x v="22"/>
    <x v="34"/>
    <x v="22"/>
    <x v="0"/>
    <x v="22"/>
    <n v="1"/>
    <x v="30"/>
    <x v="26"/>
  </r>
  <r>
    <x v="22"/>
    <x v="35"/>
    <x v="22"/>
    <x v="0"/>
    <x v="23"/>
    <n v="1"/>
    <x v="31"/>
    <x v="1"/>
  </r>
  <r>
    <x v="23"/>
    <x v="36"/>
    <x v="23"/>
    <x v="0"/>
    <x v="10"/>
    <n v="1"/>
    <x v="32"/>
    <x v="27"/>
  </r>
  <r>
    <x v="23"/>
    <x v="37"/>
    <x v="23"/>
    <x v="0"/>
    <x v="7"/>
    <n v="1"/>
    <x v="33"/>
    <x v="1"/>
  </r>
  <r>
    <x v="24"/>
    <x v="38"/>
    <x v="24"/>
    <x v="0"/>
    <x v="24"/>
    <n v="1"/>
    <x v="34"/>
    <x v="28"/>
  </r>
  <r>
    <x v="25"/>
    <x v="39"/>
    <x v="25"/>
    <x v="3"/>
    <x v="25"/>
    <n v="1"/>
    <x v="35"/>
    <x v="5"/>
  </r>
  <r>
    <x v="25"/>
    <x v="40"/>
    <x v="25"/>
    <x v="3"/>
    <x v="26"/>
    <n v="1"/>
    <x v="36"/>
    <x v="29"/>
  </r>
  <r>
    <x v="26"/>
    <x v="41"/>
    <x v="26"/>
    <x v="0"/>
    <x v="27"/>
    <n v="1"/>
    <x v="37"/>
    <x v="30"/>
  </r>
  <r>
    <x v="27"/>
    <x v="42"/>
    <x v="27"/>
    <x v="0"/>
    <x v="22"/>
    <n v="1"/>
    <x v="38"/>
    <x v="13"/>
  </r>
  <r>
    <x v="28"/>
    <x v="43"/>
    <x v="28"/>
    <x v="0"/>
    <x v="22"/>
    <n v="1"/>
    <x v="39"/>
    <x v="27"/>
  </r>
  <r>
    <x v="29"/>
    <x v="44"/>
    <x v="29"/>
    <x v="2"/>
    <x v="28"/>
    <n v="1"/>
    <x v="40"/>
    <x v="21"/>
  </r>
  <r>
    <x v="30"/>
    <x v="45"/>
    <x v="30"/>
    <x v="2"/>
    <x v="29"/>
    <n v="1"/>
    <x v="41"/>
    <x v="31"/>
  </r>
  <r>
    <x v="21"/>
    <x v="46"/>
    <x v="21"/>
    <x v="2"/>
    <x v="11"/>
    <n v="1"/>
    <x v="42"/>
    <x v="32"/>
  </r>
  <r>
    <x v="31"/>
    <x v="47"/>
    <x v="31"/>
    <x v="0"/>
    <x v="30"/>
    <n v="1"/>
    <x v="43"/>
    <x v="33"/>
  </r>
  <r>
    <x v="3"/>
    <x v="48"/>
    <x v="3"/>
    <x v="2"/>
    <x v="9"/>
    <n v="1"/>
    <x v="44"/>
    <x v="15"/>
  </r>
  <r>
    <x v="32"/>
    <x v="49"/>
    <x v="32"/>
    <x v="2"/>
    <x v="31"/>
    <n v="1"/>
    <x v="45"/>
    <x v="34"/>
  </r>
  <r>
    <x v="15"/>
    <x v="50"/>
    <x v="15"/>
    <x v="2"/>
    <x v="32"/>
    <n v="1"/>
    <x v="46"/>
    <x v="35"/>
  </r>
  <r>
    <x v="17"/>
    <x v="51"/>
    <x v="17"/>
    <x v="0"/>
    <x v="33"/>
    <n v="1"/>
    <x v="47"/>
    <x v="36"/>
  </r>
  <r>
    <x v="33"/>
    <x v="52"/>
    <x v="33"/>
    <x v="0"/>
    <x v="17"/>
    <n v="1"/>
    <x v="48"/>
    <x v="37"/>
  </r>
  <r>
    <x v="8"/>
    <x v="53"/>
    <x v="8"/>
    <x v="3"/>
    <x v="34"/>
    <n v="1"/>
    <x v="49"/>
    <x v="38"/>
  </r>
  <r>
    <x v="12"/>
    <x v="54"/>
    <x v="12"/>
    <x v="0"/>
    <x v="12"/>
    <n v="1"/>
    <x v="50"/>
    <x v="25"/>
  </r>
  <r>
    <x v="12"/>
    <x v="55"/>
    <x v="12"/>
    <x v="0"/>
    <x v="12"/>
    <n v="1"/>
    <x v="51"/>
    <x v="5"/>
  </r>
  <r>
    <x v="34"/>
    <x v="56"/>
    <x v="34"/>
    <x v="0"/>
    <x v="25"/>
    <n v="1"/>
    <x v="52"/>
    <x v="15"/>
  </r>
  <r>
    <x v="35"/>
    <x v="57"/>
    <x v="35"/>
    <x v="0"/>
    <x v="35"/>
    <n v="1"/>
    <x v="53"/>
    <x v="30"/>
  </r>
  <r>
    <x v="15"/>
    <x v="58"/>
    <x v="15"/>
    <x v="0"/>
    <x v="36"/>
    <n v="1"/>
    <x v="54"/>
    <x v="39"/>
  </r>
  <r>
    <x v="15"/>
    <x v="59"/>
    <x v="15"/>
    <x v="0"/>
    <x v="36"/>
    <n v="1"/>
    <x v="55"/>
    <x v="40"/>
  </r>
  <r>
    <x v="16"/>
    <x v="60"/>
    <x v="16"/>
    <x v="0"/>
    <x v="37"/>
    <n v="1"/>
    <x v="56"/>
    <x v="41"/>
  </r>
  <r>
    <x v="20"/>
    <x v="61"/>
    <x v="20"/>
    <x v="0"/>
    <x v="37"/>
    <n v="1"/>
    <x v="57"/>
    <x v="42"/>
  </r>
  <r>
    <x v="20"/>
    <x v="62"/>
    <x v="20"/>
    <x v="2"/>
    <x v="38"/>
    <n v="1"/>
    <x v="58"/>
    <x v="43"/>
  </r>
  <r>
    <x v="36"/>
    <x v="63"/>
    <x v="36"/>
    <x v="2"/>
    <x v="30"/>
    <n v="1"/>
    <x v="59"/>
    <x v="44"/>
  </r>
  <r>
    <x v="25"/>
    <x v="64"/>
    <x v="25"/>
    <x v="0"/>
    <x v="9"/>
    <n v="1"/>
    <x v="60"/>
    <x v="34"/>
  </r>
  <r>
    <x v="37"/>
    <x v="65"/>
    <x v="37"/>
    <x v="0"/>
    <x v="30"/>
    <n v="1"/>
    <x v="61"/>
    <x v="45"/>
  </r>
  <r>
    <x v="25"/>
    <x v="66"/>
    <x v="25"/>
    <x v="0"/>
    <x v="37"/>
    <n v="1"/>
    <x v="62"/>
    <x v="46"/>
  </r>
  <r>
    <x v="38"/>
    <x v="67"/>
    <x v="38"/>
    <x v="0"/>
    <x v="31"/>
    <n v="1"/>
    <x v="63"/>
    <x v="47"/>
  </r>
  <r>
    <x v="38"/>
    <x v="68"/>
    <x v="38"/>
    <x v="0"/>
    <x v="30"/>
    <n v="1"/>
    <x v="64"/>
    <x v="48"/>
  </r>
  <r>
    <x v="6"/>
    <x v="69"/>
    <x v="6"/>
    <x v="2"/>
    <x v="30"/>
    <n v="1"/>
    <x v="65"/>
    <x v="49"/>
  </r>
  <r>
    <x v="39"/>
    <x v="70"/>
    <x v="39"/>
    <x v="0"/>
    <x v="36"/>
    <n v="1"/>
    <x v="62"/>
    <x v="50"/>
  </r>
  <r>
    <x v="40"/>
    <x v="71"/>
    <x v="40"/>
    <x v="0"/>
    <x v="31"/>
    <n v="1"/>
    <x v="66"/>
    <x v="51"/>
  </r>
  <r>
    <x v="8"/>
    <x v="72"/>
    <x v="8"/>
    <x v="0"/>
    <x v="39"/>
    <n v="1"/>
    <x v="67"/>
    <x v="23"/>
  </r>
  <r>
    <x v="41"/>
    <x v="73"/>
    <x v="41"/>
    <x v="2"/>
    <x v="37"/>
    <n v="1"/>
    <x v="68"/>
    <x v="31"/>
  </r>
  <r>
    <x v="42"/>
    <x v="74"/>
    <x v="42"/>
    <x v="0"/>
    <x v="40"/>
    <n v="1"/>
    <x v="69"/>
    <x v="52"/>
  </r>
  <r>
    <x v="42"/>
    <x v="75"/>
    <x v="42"/>
    <x v="0"/>
    <x v="23"/>
    <n v="1"/>
    <x v="70"/>
    <x v="40"/>
  </r>
  <r>
    <x v="11"/>
    <x v="76"/>
    <x v="11"/>
    <x v="0"/>
    <x v="41"/>
    <n v="1"/>
    <x v="71"/>
    <x v="53"/>
  </r>
  <r>
    <x v="33"/>
    <x v="77"/>
    <x v="33"/>
    <x v="0"/>
    <x v="42"/>
    <n v="1"/>
    <x v="72"/>
    <x v="54"/>
  </r>
  <r>
    <x v="0"/>
    <x v="78"/>
    <x v="0"/>
    <x v="0"/>
    <x v="41"/>
    <n v="1"/>
    <x v="73"/>
    <x v="55"/>
  </r>
  <r>
    <x v="43"/>
    <x v="79"/>
    <x v="43"/>
    <x v="0"/>
    <x v="43"/>
    <n v="1"/>
    <x v="74"/>
    <x v="17"/>
  </r>
  <r>
    <x v="39"/>
    <x v="80"/>
    <x v="39"/>
    <x v="0"/>
    <x v="44"/>
    <n v="1"/>
    <x v="75"/>
    <x v="56"/>
  </r>
  <r>
    <x v="44"/>
    <x v="81"/>
    <x v="44"/>
    <x v="0"/>
    <x v="45"/>
    <n v="1"/>
    <x v="76"/>
    <x v="57"/>
  </r>
  <r>
    <x v="45"/>
    <x v="82"/>
    <x v="45"/>
    <x v="0"/>
    <x v="46"/>
    <n v="1"/>
    <x v="77"/>
    <x v="58"/>
  </r>
  <r>
    <x v="39"/>
    <x v="83"/>
    <x v="39"/>
    <x v="0"/>
    <x v="44"/>
    <n v="1"/>
    <x v="78"/>
    <x v="59"/>
  </r>
  <r>
    <x v="46"/>
    <x v="84"/>
    <x v="46"/>
    <x v="0"/>
    <x v="47"/>
    <n v="1"/>
    <x v="79"/>
    <x v="60"/>
  </r>
  <r>
    <x v="47"/>
    <x v="85"/>
    <x v="47"/>
    <x v="2"/>
    <x v="48"/>
    <n v="1"/>
    <x v="80"/>
    <x v="61"/>
  </r>
  <r>
    <x v="47"/>
    <x v="86"/>
    <x v="47"/>
    <x v="2"/>
    <x v="49"/>
    <n v="1"/>
    <x v="81"/>
    <x v="62"/>
  </r>
  <r>
    <x v="11"/>
    <x v="87"/>
    <x v="11"/>
    <x v="0"/>
    <x v="48"/>
    <n v="1"/>
    <x v="82"/>
    <x v="63"/>
  </r>
  <r>
    <x v="32"/>
    <x v="88"/>
    <x v="32"/>
    <x v="0"/>
    <x v="50"/>
    <n v="1"/>
    <x v="83"/>
    <x v="64"/>
  </r>
  <r>
    <x v="21"/>
    <x v="89"/>
    <x v="21"/>
    <x v="0"/>
    <x v="50"/>
    <n v="1"/>
    <x v="84"/>
    <x v="65"/>
  </r>
  <r>
    <x v="32"/>
    <x v="90"/>
    <x v="32"/>
    <x v="0"/>
    <x v="51"/>
    <n v="1"/>
    <x v="85"/>
    <x v="66"/>
  </r>
  <r>
    <x v="21"/>
    <x v="91"/>
    <x v="21"/>
    <x v="0"/>
    <x v="52"/>
    <n v="1"/>
    <x v="86"/>
    <x v="67"/>
  </r>
  <r>
    <x v="48"/>
    <x v="92"/>
    <x v="48"/>
    <x v="2"/>
    <x v="53"/>
    <n v="1"/>
    <x v="87"/>
    <x v="62"/>
  </r>
  <r>
    <x v="38"/>
    <x v="93"/>
    <x v="38"/>
    <x v="0"/>
    <x v="54"/>
    <n v="1"/>
    <x v="88"/>
    <x v="68"/>
  </r>
  <r>
    <x v="38"/>
    <x v="94"/>
    <x v="38"/>
    <x v="0"/>
    <x v="54"/>
    <n v="1"/>
    <x v="89"/>
    <x v="69"/>
  </r>
  <r>
    <x v="38"/>
    <x v="95"/>
    <x v="38"/>
    <x v="0"/>
    <x v="45"/>
    <n v="1"/>
    <x v="90"/>
    <x v="25"/>
  </r>
  <r>
    <x v="38"/>
    <x v="96"/>
    <x v="38"/>
    <x v="0"/>
    <x v="54"/>
    <n v="1"/>
    <x v="91"/>
    <x v="70"/>
  </r>
  <r>
    <x v="38"/>
    <x v="97"/>
    <x v="38"/>
    <x v="0"/>
    <x v="45"/>
    <n v="1"/>
    <x v="92"/>
    <x v="71"/>
  </r>
  <r>
    <x v="21"/>
    <x v="98"/>
    <x v="21"/>
    <x v="0"/>
    <x v="55"/>
    <n v="1"/>
    <x v="93"/>
    <x v="72"/>
  </r>
  <r>
    <x v="6"/>
    <x v="99"/>
    <x v="6"/>
    <x v="0"/>
    <x v="54"/>
    <n v="1"/>
    <x v="94"/>
    <x v="73"/>
  </r>
  <r>
    <x v="46"/>
    <x v="100"/>
    <x v="46"/>
    <x v="0"/>
    <x v="56"/>
    <n v="1"/>
    <x v="95"/>
    <x v="23"/>
  </r>
  <r>
    <x v="11"/>
    <x v="101"/>
    <x v="11"/>
    <x v="0"/>
    <x v="57"/>
    <n v="1"/>
    <x v="96"/>
    <x v="74"/>
  </r>
  <r>
    <x v="9"/>
    <x v="102"/>
    <x v="9"/>
    <x v="0"/>
    <x v="52"/>
    <n v="1"/>
    <x v="97"/>
    <x v="75"/>
  </r>
  <r>
    <x v="11"/>
    <x v="103"/>
    <x v="11"/>
    <x v="0"/>
    <x v="58"/>
    <n v="1"/>
    <x v="98"/>
    <x v="76"/>
  </r>
  <r>
    <x v="9"/>
    <x v="104"/>
    <x v="9"/>
    <x v="0"/>
    <x v="59"/>
    <n v="1"/>
    <x v="99"/>
    <x v="77"/>
  </r>
  <r>
    <x v="46"/>
    <x v="105"/>
    <x v="46"/>
    <x v="2"/>
    <x v="60"/>
    <n v="1"/>
    <x v="100"/>
    <x v="78"/>
  </r>
  <r>
    <x v="40"/>
    <x v="106"/>
    <x v="40"/>
    <x v="0"/>
    <x v="30"/>
    <n v="1"/>
    <x v="101"/>
    <x v="79"/>
  </r>
  <r>
    <x v="40"/>
    <x v="107"/>
    <x v="40"/>
    <x v="0"/>
    <x v="36"/>
    <n v="1"/>
    <x v="101"/>
    <x v="79"/>
  </r>
  <r>
    <x v="40"/>
    <x v="108"/>
    <x v="40"/>
    <x v="0"/>
    <x v="39"/>
    <n v="1"/>
    <x v="101"/>
    <x v="79"/>
  </r>
  <r>
    <x v="40"/>
    <x v="109"/>
    <x v="40"/>
    <x v="0"/>
    <x v="39"/>
    <n v="1"/>
    <x v="101"/>
    <x v="79"/>
  </r>
  <r>
    <x v="40"/>
    <x v="110"/>
    <x v="40"/>
    <x v="0"/>
    <x v="33"/>
    <n v="1"/>
    <x v="101"/>
    <x v="79"/>
  </r>
  <r>
    <x v="49"/>
    <x v="111"/>
    <x v="49"/>
    <x v="0"/>
    <x v="61"/>
    <n v="1"/>
    <x v="102"/>
    <x v="80"/>
  </r>
  <r>
    <x v="6"/>
    <x v="112"/>
    <x v="6"/>
    <x v="0"/>
    <x v="62"/>
    <n v="1"/>
    <x v="103"/>
    <x v="81"/>
  </r>
  <r>
    <x v="50"/>
    <x v="113"/>
    <x v="50"/>
    <x v="0"/>
    <x v="51"/>
    <n v="1"/>
    <x v="104"/>
    <x v="82"/>
  </r>
  <r>
    <x v="33"/>
    <x v="114"/>
    <x v="33"/>
    <x v="0"/>
    <x v="63"/>
    <n v="1"/>
    <x v="105"/>
    <x v="83"/>
  </r>
  <r>
    <x v="30"/>
    <x v="115"/>
    <x v="30"/>
    <x v="0"/>
    <x v="52"/>
    <n v="1"/>
    <x v="106"/>
    <x v="84"/>
  </r>
  <r>
    <x v="40"/>
    <x v="116"/>
    <x v="40"/>
    <x v="0"/>
    <x v="37"/>
    <n v="1"/>
    <x v="14"/>
    <x v="85"/>
  </r>
  <r>
    <x v="24"/>
    <x v="117"/>
    <x v="24"/>
    <x v="0"/>
    <x v="45"/>
    <n v="1"/>
    <x v="107"/>
    <x v="86"/>
  </r>
  <r>
    <x v="15"/>
    <x v="118"/>
    <x v="15"/>
    <x v="0"/>
    <x v="51"/>
    <n v="1"/>
    <x v="108"/>
    <x v="87"/>
  </r>
  <r>
    <x v="11"/>
    <x v="119"/>
    <x v="11"/>
    <x v="0"/>
    <x v="64"/>
    <n v="1"/>
    <x v="109"/>
    <x v="9"/>
  </r>
  <r>
    <x v="10"/>
    <x v="120"/>
    <x v="10"/>
    <x v="2"/>
    <x v="65"/>
    <n v="1"/>
    <x v="110"/>
    <x v="88"/>
  </r>
  <r>
    <x v="11"/>
    <x v="121"/>
    <x v="11"/>
    <x v="0"/>
    <x v="66"/>
    <n v="1"/>
    <x v="111"/>
    <x v="89"/>
  </r>
  <r>
    <x v="28"/>
    <x v="122"/>
    <x v="28"/>
    <x v="0"/>
    <x v="52"/>
    <n v="1"/>
    <x v="112"/>
    <x v="90"/>
  </r>
  <r>
    <x v="44"/>
    <x v="123"/>
    <x v="44"/>
    <x v="0"/>
    <x v="50"/>
    <n v="1"/>
    <x v="113"/>
    <x v="91"/>
  </r>
  <r>
    <x v="27"/>
    <x v="124"/>
    <x v="27"/>
    <x v="0"/>
    <x v="52"/>
    <n v="1"/>
    <x v="114"/>
    <x v="52"/>
  </r>
  <r>
    <x v="49"/>
    <x v="125"/>
    <x v="49"/>
    <x v="2"/>
    <x v="67"/>
    <n v="1"/>
    <x v="115"/>
    <x v="92"/>
  </r>
  <r>
    <x v="51"/>
    <x v="126"/>
    <x v="51"/>
    <x v="0"/>
    <x v="68"/>
    <n v="1"/>
    <x v="116"/>
    <x v="93"/>
  </r>
  <r>
    <x v="4"/>
    <x v="127"/>
    <x v="4"/>
    <x v="0"/>
    <x v="51"/>
    <n v="1"/>
    <x v="117"/>
    <x v="94"/>
  </r>
  <r>
    <x v="39"/>
    <x v="128"/>
    <x v="39"/>
    <x v="0"/>
    <x v="69"/>
    <n v="1"/>
    <x v="118"/>
    <x v="95"/>
  </r>
  <r>
    <x v="39"/>
    <x v="129"/>
    <x v="39"/>
    <x v="0"/>
    <x v="69"/>
    <n v="1"/>
    <x v="119"/>
    <x v="40"/>
  </r>
  <r>
    <x v="45"/>
    <x v="130"/>
    <x v="45"/>
    <x v="0"/>
    <x v="70"/>
    <n v="1"/>
    <x v="120"/>
    <x v="96"/>
  </r>
  <r>
    <x v="30"/>
    <x v="131"/>
    <x v="30"/>
    <x v="0"/>
    <x v="71"/>
    <n v="1"/>
    <x v="121"/>
    <x v="97"/>
  </r>
  <r>
    <x v="50"/>
    <x v="132"/>
    <x v="50"/>
    <x v="2"/>
    <x v="51"/>
    <n v="1"/>
    <x v="122"/>
    <x v="98"/>
  </r>
  <r>
    <x v="43"/>
    <x v="133"/>
    <x v="43"/>
    <x v="0"/>
    <x v="41"/>
    <n v="1"/>
    <x v="123"/>
    <x v="99"/>
  </r>
  <r>
    <x v="21"/>
    <x v="134"/>
    <x v="21"/>
    <x v="0"/>
    <x v="72"/>
    <n v="1"/>
    <x v="73"/>
    <x v="7"/>
  </r>
  <r>
    <x v="26"/>
    <x v="135"/>
    <x v="26"/>
    <x v="0"/>
    <x v="52"/>
    <n v="1"/>
    <x v="124"/>
    <x v="100"/>
  </r>
  <r>
    <x v="46"/>
    <x v="136"/>
    <x v="46"/>
    <x v="0"/>
    <x v="73"/>
    <n v="1"/>
    <x v="125"/>
    <x v="101"/>
  </r>
  <r>
    <x v="26"/>
    <x v="137"/>
    <x v="26"/>
    <x v="0"/>
    <x v="71"/>
    <n v="1"/>
    <x v="126"/>
    <x v="102"/>
  </r>
  <r>
    <x v="1"/>
    <x v="138"/>
    <x v="1"/>
    <x v="0"/>
    <x v="74"/>
    <n v="1"/>
    <x v="127"/>
    <x v="103"/>
  </r>
  <r>
    <x v="47"/>
    <x v="139"/>
    <x v="47"/>
    <x v="0"/>
    <x v="75"/>
    <n v="1"/>
    <x v="128"/>
    <x v="104"/>
  </r>
  <r>
    <x v="8"/>
    <x v="140"/>
    <x v="8"/>
    <x v="0"/>
    <x v="76"/>
    <n v="1"/>
    <x v="129"/>
    <x v="105"/>
  </r>
  <r>
    <x v="9"/>
    <x v="141"/>
    <x v="9"/>
    <x v="0"/>
    <x v="48"/>
    <n v="1"/>
    <x v="130"/>
    <x v="31"/>
  </r>
  <r>
    <x v="11"/>
    <x v="142"/>
    <x v="11"/>
    <x v="0"/>
    <x v="77"/>
    <n v="1"/>
    <x v="131"/>
    <x v="106"/>
  </r>
  <r>
    <x v="52"/>
    <x v="143"/>
    <x v="52"/>
    <x v="0"/>
    <x v="78"/>
    <n v="1"/>
    <x v="132"/>
    <x v="107"/>
  </r>
  <r>
    <x v="33"/>
    <x v="144"/>
    <x v="33"/>
    <x v="0"/>
    <x v="52"/>
    <n v="1"/>
    <x v="133"/>
    <x v="108"/>
  </r>
  <r>
    <x v="13"/>
    <x v="145"/>
    <x v="13"/>
    <x v="2"/>
    <x v="52"/>
    <n v="1"/>
    <x v="134"/>
    <x v="109"/>
  </r>
  <r>
    <x v="39"/>
    <x v="146"/>
    <x v="39"/>
    <x v="2"/>
    <x v="52"/>
    <n v="1"/>
    <x v="135"/>
    <x v="110"/>
  </r>
  <r>
    <x v="11"/>
    <x v="147"/>
    <x v="11"/>
    <x v="0"/>
    <x v="79"/>
    <n v="1"/>
    <x v="136"/>
    <x v="111"/>
  </r>
  <r>
    <x v="11"/>
    <x v="148"/>
    <x v="11"/>
    <x v="0"/>
    <x v="80"/>
    <n v="1"/>
    <x v="137"/>
    <x v="112"/>
  </r>
  <r>
    <x v="9"/>
    <x v="149"/>
    <x v="9"/>
    <x v="0"/>
    <x v="45"/>
    <n v="1"/>
    <x v="138"/>
    <x v="113"/>
  </r>
  <r>
    <x v="15"/>
    <x v="150"/>
    <x v="15"/>
    <x v="0"/>
    <x v="81"/>
    <n v="1"/>
    <x v="139"/>
    <x v="114"/>
  </r>
  <r>
    <x v="53"/>
    <x v="151"/>
    <x v="53"/>
    <x v="0"/>
    <x v="77"/>
    <n v="1"/>
    <x v="140"/>
    <x v="86"/>
  </r>
  <r>
    <x v="40"/>
    <x v="152"/>
    <x v="40"/>
    <x v="0"/>
    <x v="48"/>
    <n v="1"/>
    <x v="141"/>
    <x v="9"/>
  </r>
  <r>
    <x v="15"/>
    <x v="153"/>
    <x v="15"/>
    <x v="0"/>
    <x v="48"/>
    <n v="1"/>
    <x v="142"/>
    <x v="115"/>
  </r>
  <r>
    <x v="11"/>
    <x v="154"/>
    <x v="11"/>
    <x v="0"/>
    <x v="82"/>
    <n v="1"/>
    <x v="143"/>
    <x v="116"/>
  </r>
  <r>
    <x v="20"/>
    <x v="155"/>
    <x v="20"/>
    <x v="2"/>
    <x v="83"/>
    <n v="1"/>
    <x v="144"/>
    <x v="117"/>
  </r>
  <r>
    <x v="11"/>
    <x v="156"/>
    <x v="11"/>
    <x v="0"/>
    <x v="84"/>
    <n v="1"/>
    <x v="145"/>
    <x v="118"/>
  </r>
  <r>
    <x v="11"/>
    <x v="157"/>
    <x v="11"/>
    <x v="0"/>
    <x v="85"/>
    <n v="1"/>
    <x v="146"/>
    <x v="100"/>
  </r>
  <r>
    <x v="3"/>
    <x v="158"/>
    <x v="3"/>
    <x v="0"/>
    <x v="86"/>
    <n v="1"/>
    <x v="147"/>
    <x v="119"/>
  </r>
  <r>
    <x v="6"/>
    <x v="159"/>
    <x v="6"/>
    <x v="0"/>
    <x v="77"/>
    <n v="1"/>
    <x v="148"/>
    <x v="120"/>
  </r>
  <r>
    <x v="41"/>
    <x v="160"/>
    <x v="41"/>
    <x v="2"/>
    <x v="50"/>
    <n v="1"/>
    <x v="117"/>
    <x v="121"/>
  </r>
  <r>
    <x v="52"/>
    <x v="161"/>
    <x v="52"/>
    <x v="0"/>
    <x v="87"/>
    <n v="1"/>
    <x v="149"/>
    <x v="122"/>
  </r>
  <r>
    <x v="21"/>
    <x v="162"/>
    <x v="21"/>
    <x v="0"/>
    <x v="51"/>
    <n v="1"/>
    <x v="69"/>
    <x v="123"/>
  </r>
  <r>
    <x v="38"/>
    <x v="163"/>
    <x v="38"/>
    <x v="2"/>
    <x v="88"/>
    <n v="1"/>
    <x v="150"/>
    <x v="124"/>
  </r>
  <r>
    <x v="54"/>
    <x v="164"/>
    <x v="54"/>
    <x v="0"/>
    <x v="89"/>
    <n v="1"/>
    <x v="151"/>
    <x v="52"/>
  </r>
  <r>
    <x v="29"/>
    <x v="165"/>
    <x v="29"/>
    <x v="0"/>
    <x v="90"/>
    <n v="1"/>
    <x v="152"/>
    <x v="9"/>
  </r>
  <r>
    <x v="46"/>
    <x v="166"/>
    <x v="46"/>
    <x v="0"/>
    <x v="51"/>
    <n v="1"/>
    <x v="121"/>
    <x v="125"/>
  </r>
  <r>
    <x v="9"/>
    <x v="167"/>
    <x v="9"/>
    <x v="0"/>
    <x v="41"/>
    <n v="1"/>
    <x v="153"/>
    <x v="126"/>
  </r>
  <r>
    <x v="46"/>
    <x v="168"/>
    <x v="46"/>
    <x v="0"/>
    <x v="91"/>
    <n v="1"/>
    <x v="154"/>
    <x v="23"/>
  </r>
  <r>
    <x v="38"/>
    <x v="169"/>
    <x v="38"/>
    <x v="0"/>
    <x v="92"/>
    <n v="1"/>
    <x v="155"/>
    <x v="3"/>
  </r>
  <r>
    <x v="53"/>
    <x v="170"/>
    <x v="53"/>
    <x v="0"/>
    <x v="93"/>
    <n v="1"/>
    <x v="156"/>
    <x v="10"/>
  </r>
  <r>
    <x v="25"/>
    <x v="171"/>
    <x v="25"/>
    <x v="0"/>
    <x v="94"/>
    <n v="1"/>
    <x v="117"/>
    <x v="127"/>
  </r>
  <r>
    <x v="10"/>
    <x v="172"/>
    <x v="10"/>
    <x v="0"/>
    <x v="77"/>
    <n v="1"/>
    <x v="157"/>
    <x v="128"/>
  </r>
  <r>
    <x v="10"/>
    <x v="173"/>
    <x v="10"/>
    <x v="0"/>
    <x v="95"/>
    <n v="1"/>
    <x v="158"/>
    <x v="129"/>
  </r>
  <r>
    <x v="1"/>
    <x v="174"/>
    <x v="1"/>
    <x v="4"/>
    <x v="96"/>
    <n v="1"/>
    <x v="159"/>
    <x v="130"/>
  </r>
  <r>
    <x v="43"/>
    <x v="175"/>
    <x v="43"/>
    <x v="0"/>
    <x v="45"/>
    <n v="1"/>
    <x v="160"/>
    <x v="131"/>
  </r>
  <r>
    <x v="39"/>
    <x v="176"/>
    <x v="39"/>
    <x v="0"/>
    <x v="41"/>
    <n v="1"/>
    <x v="161"/>
    <x v="132"/>
  </r>
  <r>
    <x v="29"/>
    <x v="177"/>
    <x v="29"/>
    <x v="0"/>
    <x v="45"/>
    <n v="1"/>
    <x v="162"/>
    <x v="114"/>
  </r>
  <r>
    <x v="47"/>
    <x v="178"/>
    <x v="47"/>
    <x v="0"/>
    <x v="97"/>
    <n v="1"/>
    <x v="60"/>
    <x v="133"/>
  </r>
  <r>
    <x v="6"/>
    <x v="179"/>
    <x v="6"/>
    <x v="0"/>
    <x v="48"/>
    <n v="1"/>
    <x v="163"/>
    <x v="134"/>
  </r>
  <r>
    <x v="39"/>
    <x v="180"/>
    <x v="39"/>
    <x v="0"/>
    <x v="98"/>
    <n v="1"/>
    <x v="164"/>
    <x v="135"/>
  </r>
  <r>
    <x v="12"/>
    <x v="181"/>
    <x v="12"/>
    <x v="2"/>
    <x v="99"/>
    <n v="1"/>
    <x v="165"/>
    <x v="136"/>
  </r>
  <r>
    <x v="21"/>
    <x v="182"/>
    <x v="21"/>
    <x v="2"/>
    <x v="52"/>
    <n v="1"/>
    <x v="166"/>
    <x v="137"/>
  </r>
  <r>
    <x v="17"/>
    <x v="183"/>
    <x v="17"/>
    <x v="0"/>
    <x v="52"/>
    <n v="1"/>
    <x v="167"/>
    <x v="95"/>
  </r>
  <r>
    <x v="30"/>
    <x v="184"/>
    <x v="30"/>
    <x v="0"/>
    <x v="100"/>
    <n v="1"/>
    <x v="168"/>
    <x v="105"/>
  </r>
  <r>
    <x v="9"/>
    <x v="185"/>
    <x v="9"/>
    <x v="0"/>
    <x v="41"/>
    <n v="1"/>
    <x v="169"/>
    <x v="138"/>
  </r>
  <r>
    <x v="39"/>
    <x v="186"/>
    <x v="39"/>
    <x v="0"/>
    <x v="52"/>
    <n v="1"/>
    <x v="170"/>
    <x v="139"/>
  </r>
  <r>
    <x v="26"/>
    <x v="187"/>
    <x v="26"/>
    <x v="0"/>
    <x v="101"/>
    <n v="1"/>
    <x v="171"/>
    <x v="140"/>
  </r>
  <r>
    <x v="46"/>
    <x v="188"/>
    <x v="46"/>
    <x v="0"/>
    <x v="41"/>
    <n v="1"/>
    <x v="172"/>
    <x v="141"/>
  </r>
  <r>
    <x v="32"/>
    <x v="189"/>
    <x v="32"/>
    <x v="0"/>
    <x v="102"/>
    <n v="1"/>
    <x v="173"/>
    <x v="105"/>
  </r>
  <r>
    <x v="4"/>
    <x v="190"/>
    <x v="4"/>
    <x v="0"/>
    <x v="103"/>
    <n v="1"/>
    <x v="174"/>
    <x v="142"/>
  </r>
  <r>
    <x v="4"/>
    <x v="191"/>
    <x v="4"/>
    <x v="0"/>
    <x v="104"/>
    <n v="1"/>
    <x v="175"/>
    <x v="95"/>
  </r>
  <r>
    <x v="39"/>
    <x v="192"/>
    <x v="39"/>
    <x v="0"/>
    <x v="45"/>
    <n v="1"/>
    <x v="176"/>
    <x v="143"/>
  </r>
  <r>
    <x v="12"/>
    <x v="193"/>
    <x v="12"/>
    <x v="0"/>
    <x v="45"/>
    <n v="1"/>
    <x v="177"/>
    <x v="144"/>
  </r>
  <r>
    <x v="34"/>
    <x v="194"/>
    <x v="34"/>
    <x v="0"/>
    <x v="105"/>
    <n v="1"/>
    <x v="178"/>
    <x v="53"/>
  </r>
  <r>
    <x v="53"/>
    <x v="195"/>
    <x v="53"/>
    <x v="0"/>
    <x v="106"/>
    <n v="1"/>
    <x v="179"/>
    <x v="145"/>
  </r>
  <r>
    <x v="53"/>
    <x v="196"/>
    <x v="53"/>
    <x v="0"/>
    <x v="107"/>
    <n v="1"/>
    <x v="180"/>
    <x v="141"/>
  </r>
  <r>
    <x v="13"/>
    <x v="197"/>
    <x v="13"/>
    <x v="0"/>
    <x v="108"/>
    <n v="1"/>
    <x v="181"/>
    <x v="146"/>
  </r>
  <r>
    <x v="9"/>
    <x v="198"/>
    <x v="9"/>
    <x v="0"/>
    <x v="51"/>
    <n v="1"/>
    <x v="182"/>
    <x v="147"/>
  </r>
  <r>
    <x v="9"/>
    <x v="199"/>
    <x v="9"/>
    <x v="0"/>
    <x v="51"/>
    <n v="1"/>
    <x v="183"/>
    <x v="148"/>
  </r>
  <r>
    <x v="50"/>
    <x v="200"/>
    <x v="50"/>
    <x v="0"/>
    <x v="51"/>
    <n v="1"/>
    <x v="184"/>
    <x v="149"/>
  </r>
  <r>
    <x v="26"/>
    <x v="201"/>
    <x v="26"/>
    <x v="0"/>
    <x v="45"/>
    <n v="1"/>
    <x v="185"/>
    <x v="150"/>
  </r>
  <r>
    <x v="32"/>
    <x v="202"/>
    <x v="32"/>
    <x v="0"/>
    <x v="51"/>
    <n v="1"/>
    <x v="186"/>
    <x v="21"/>
  </r>
  <r>
    <x v="21"/>
    <x v="203"/>
    <x v="21"/>
    <x v="0"/>
    <x v="109"/>
    <n v="1"/>
    <x v="187"/>
    <x v="151"/>
  </r>
  <r>
    <x v="40"/>
    <x v="204"/>
    <x v="40"/>
    <x v="2"/>
    <x v="110"/>
    <n v="1"/>
    <x v="134"/>
    <x v="152"/>
  </r>
  <r>
    <x v="40"/>
    <x v="205"/>
    <x v="40"/>
    <x v="0"/>
    <x v="39"/>
    <n v="1"/>
    <x v="188"/>
    <x v="153"/>
  </r>
  <r>
    <x v="53"/>
    <x v="206"/>
    <x v="53"/>
    <x v="0"/>
    <x v="111"/>
    <n v="1"/>
    <x v="189"/>
    <x v="154"/>
  </r>
  <r>
    <x v="53"/>
    <x v="207"/>
    <x v="53"/>
    <x v="2"/>
    <x v="52"/>
    <n v="1"/>
    <x v="190"/>
    <x v="155"/>
  </r>
  <r>
    <x v="44"/>
    <x v="208"/>
    <x v="44"/>
    <x v="0"/>
    <x v="71"/>
    <n v="1"/>
    <x v="191"/>
    <x v="156"/>
  </r>
  <r>
    <x v="47"/>
    <x v="209"/>
    <x v="47"/>
    <x v="0"/>
    <x v="112"/>
    <n v="1"/>
    <x v="192"/>
    <x v="34"/>
  </r>
  <r>
    <x v="6"/>
    <x v="210"/>
    <x v="6"/>
    <x v="0"/>
    <x v="48"/>
    <n v="1"/>
    <x v="152"/>
    <x v="34"/>
  </r>
  <r>
    <x v="55"/>
    <x v="211"/>
    <x v="55"/>
    <x v="2"/>
    <x v="51"/>
    <n v="1"/>
    <x v="193"/>
    <x v="157"/>
  </r>
  <r>
    <x v="46"/>
    <x v="212"/>
    <x v="46"/>
    <x v="0"/>
    <x v="106"/>
    <n v="1"/>
    <x v="194"/>
    <x v="158"/>
  </r>
  <r>
    <x v="32"/>
    <x v="213"/>
    <x v="32"/>
    <x v="0"/>
    <x v="113"/>
    <n v="1"/>
    <x v="195"/>
    <x v="74"/>
  </r>
  <r>
    <x v="26"/>
    <x v="214"/>
    <x v="26"/>
    <x v="0"/>
    <x v="51"/>
    <n v="1"/>
    <x v="196"/>
    <x v="159"/>
  </r>
  <r>
    <x v="30"/>
    <x v="215"/>
    <x v="30"/>
    <x v="0"/>
    <x v="48"/>
    <n v="1"/>
    <x v="197"/>
    <x v="39"/>
  </r>
  <r>
    <x v="6"/>
    <x v="216"/>
    <x v="6"/>
    <x v="0"/>
    <x v="114"/>
    <n v="1"/>
    <x v="198"/>
    <x v="160"/>
  </r>
  <r>
    <x v="56"/>
    <x v="217"/>
    <x v="56"/>
    <x v="0"/>
    <x v="115"/>
    <n v="1"/>
    <x v="199"/>
    <x v="161"/>
  </r>
  <r>
    <x v="40"/>
    <x v="218"/>
    <x v="40"/>
    <x v="0"/>
    <x v="50"/>
    <n v="1"/>
    <x v="5"/>
    <x v="52"/>
  </r>
  <r>
    <x v="12"/>
    <x v="219"/>
    <x v="12"/>
    <x v="0"/>
    <x v="48"/>
    <n v="1"/>
    <x v="200"/>
    <x v="162"/>
  </r>
  <r>
    <x v="12"/>
    <x v="220"/>
    <x v="12"/>
    <x v="0"/>
    <x v="46"/>
    <n v="1"/>
    <x v="201"/>
    <x v="10"/>
  </r>
  <r>
    <x v="16"/>
    <x v="221"/>
    <x v="16"/>
    <x v="0"/>
    <x v="48"/>
    <n v="1"/>
    <x v="202"/>
    <x v="7"/>
  </r>
  <r>
    <x v="32"/>
    <x v="222"/>
    <x v="32"/>
    <x v="2"/>
    <x v="90"/>
    <n v="1"/>
    <x v="203"/>
    <x v="163"/>
  </r>
  <r>
    <x v="11"/>
    <x v="223"/>
    <x v="11"/>
    <x v="0"/>
    <x v="45"/>
    <n v="1"/>
    <x v="204"/>
    <x v="164"/>
  </r>
  <r>
    <x v="10"/>
    <x v="224"/>
    <x v="10"/>
    <x v="2"/>
    <x v="75"/>
    <n v="1"/>
    <x v="205"/>
    <x v="165"/>
  </r>
  <r>
    <x v="6"/>
    <x v="225"/>
    <x v="6"/>
    <x v="0"/>
    <x v="45"/>
    <n v="1"/>
    <x v="206"/>
    <x v="162"/>
  </r>
  <r>
    <x v="11"/>
    <x v="226"/>
    <x v="11"/>
    <x v="0"/>
    <x v="116"/>
    <n v="1"/>
    <x v="207"/>
    <x v="166"/>
  </r>
  <r>
    <x v="50"/>
    <x v="227"/>
    <x v="50"/>
    <x v="0"/>
    <x v="45"/>
    <n v="1"/>
    <x v="208"/>
    <x v="75"/>
  </r>
  <r>
    <x v="47"/>
    <x v="228"/>
    <x v="47"/>
    <x v="0"/>
    <x v="117"/>
    <n v="1"/>
    <x v="209"/>
    <x v="167"/>
  </r>
  <r>
    <x v="16"/>
    <x v="229"/>
    <x v="16"/>
    <x v="0"/>
    <x v="71"/>
    <n v="1"/>
    <x v="60"/>
    <x v="168"/>
  </r>
  <r>
    <x v="6"/>
    <x v="230"/>
    <x v="6"/>
    <x v="0"/>
    <x v="118"/>
    <n v="1"/>
    <x v="210"/>
    <x v="169"/>
  </r>
  <r>
    <x v="57"/>
    <x v="231"/>
    <x v="57"/>
    <x v="0"/>
    <x v="48"/>
    <n v="1"/>
    <x v="211"/>
    <x v="51"/>
  </r>
  <r>
    <x v="49"/>
    <x v="232"/>
    <x v="49"/>
    <x v="0"/>
    <x v="119"/>
    <n v="1"/>
    <x v="212"/>
    <x v="170"/>
  </r>
  <r>
    <x v="29"/>
    <x v="233"/>
    <x v="29"/>
    <x v="0"/>
    <x v="120"/>
    <n v="1"/>
    <x v="213"/>
    <x v="171"/>
  </r>
  <r>
    <x v="13"/>
    <x v="234"/>
    <x v="13"/>
    <x v="0"/>
    <x v="121"/>
    <n v="1"/>
    <x v="214"/>
    <x v="79"/>
  </r>
  <r>
    <x v="11"/>
    <x v="235"/>
    <x v="11"/>
    <x v="0"/>
    <x v="122"/>
    <n v="1"/>
    <x v="215"/>
    <x v="171"/>
  </r>
  <r>
    <x v="43"/>
    <x v="236"/>
    <x v="43"/>
    <x v="0"/>
    <x v="123"/>
    <n v="1"/>
    <x v="216"/>
    <x v="172"/>
  </r>
  <r>
    <x v="56"/>
    <x v="237"/>
    <x v="56"/>
    <x v="0"/>
    <x v="124"/>
    <n v="1"/>
    <x v="217"/>
    <x v="38"/>
  </r>
  <r>
    <x v="33"/>
    <x v="238"/>
    <x v="33"/>
    <x v="0"/>
    <x v="125"/>
    <n v="1"/>
    <x v="218"/>
    <x v="173"/>
  </r>
  <r>
    <x v="9"/>
    <x v="239"/>
    <x v="9"/>
    <x v="0"/>
    <x v="45"/>
    <n v="1"/>
    <x v="214"/>
    <x v="174"/>
  </r>
  <r>
    <x v="46"/>
    <x v="240"/>
    <x v="46"/>
    <x v="0"/>
    <x v="45"/>
    <n v="1"/>
    <x v="219"/>
    <x v="175"/>
  </r>
  <r>
    <x v="26"/>
    <x v="241"/>
    <x v="26"/>
    <x v="0"/>
    <x v="45"/>
    <n v="1"/>
    <x v="220"/>
    <x v="176"/>
  </r>
  <r>
    <x v="6"/>
    <x v="242"/>
    <x v="6"/>
    <x v="0"/>
    <x v="45"/>
    <n v="1"/>
    <x v="221"/>
    <x v="177"/>
  </r>
  <r>
    <x v="4"/>
    <x v="243"/>
    <x v="4"/>
    <x v="0"/>
    <x v="126"/>
    <n v="1"/>
    <x v="222"/>
    <x v="178"/>
  </r>
  <r>
    <x v="33"/>
    <x v="244"/>
    <x v="33"/>
    <x v="0"/>
    <x v="52"/>
    <n v="1"/>
    <x v="223"/>
    <x v="75"/>
  </r>
  <r>
    <x v="13"/>
    <x v="245"/>
    <x v="13"/>
    <x v="0"/>
    <x v="50"/>
    <n v="1"/>
    <x v="224"/>
    <x v="179"/>
  </r>
  <r>
    <x v="54"/>
    <x v="246"/>
    <x v="54"/>
    <x v="0"/>
    <x v="51"/>
    <n v="1"/>
    <x v="225"/>
    <x v="180"/>
  </r>
  <r>
    <x v="46"/>
    <x v="247"/>
    <x v="46"/>
    <x v="0"/>
    <x v="48"/>
    <n v="1"/>
    <x v="226"/>
    <x v="181"/>
  </r>
  <r>
    <x v="46"/>
    <x v="248"/>
    <x v="46"/>
    <x v="0"/>
    <x v="45"/>
    <n v="1"/>
    <x v="119"/>
    <x v="40"/>
  </r>
  <r>
    <x v="46"/>
    <x v="249"/>
    <x v="46"/>
    <x v="0"/>
    <x v="77"/>
    <n v="1"/>
    <x v="227"/>
    <x v="149"/>
  </r>
  <r>
    <x v="32"/>
    <x v="250"/>
    <x v="32"/>
    <x v="0"/>
    <x v="45"/>
    <n v="1"/>
    <x v="5"/>
    <x v="75"/>
  </r>
  <r>
    <x v="6"/>
    <x v="251"/>
    <x v="6"/>
    <x v="2"/>
    <x v="127"/>
    <n v="1"/>
    <x v="228"/>
    <x v="182"/>
  </r>
  <r>
    <x v="6"/>
    <x v="252"/>
    <x v="6"/>
    <x v="0"/>
    <x v="128"/>
    <n v="1"/>
    <x v="229"/>
    <x v="112"/>
  </r>
  <r>
    <x v="52"/>
    <x v="253"/>
    <x v="52"/>
    <x v="0"/>
    <x v="129"/>
    <n v="1"/>
    <x v="230"/>
    <x v="183"/>
  </r>
  <r>
    <x v="6"/>
    <x v="254"/>
    <x v="6"/>
    <x v="0"/>
    <x v="54"/>
    <n v="1"/>
    <x v="71"/>
    <x v="184"/>
  </r>
  <r>
    <x v="32"/>
    <x v="255"/>
    <x v="32"/>
    <x v="0"/>
    <x v="77"/>
    <n v="1"/>
    <x v="231"/>
    <x v="185"/>
  </r>
  <r>
    <x v="32"/>
    <x v="256"/>
    <x v="32"/>
    <x v="0"/>
    <x v="77"/>
    <n v="1"/>
    <x v="232"/>
    <x v="186"/>
  </r>
  <r>
    <x v="32"/>
    <x v="257"/>
    <x v="32"/>
    <x v="0"/>
    <x v="77"/>
    <n v="1"/>
    <x v="233"/>
    <x v="187"/>
  </r>
  <r>
    <x v="32"/>
    <x v="258"/>
    <x v="32"/>
    <x v="0"/>
    <x v="77"/>
    <n v="1"/>
    <x v="8"/>
    <x v="188"/>
  </r>
  <r>
    <x v="15"/>
    <x v="259"/>
    <x v="15"/>
    <x v="0"/>
    <x v="77"/>
    <n v="1"/>
    <x v="234"/>
    <x v="189"/>
  </r>
  <r>
    <x v="6"/>
    <x v="260"/>
    <x v="6"/>
    <x v="0"/>
    <x v="38"/>
    <n v="1"/>
    <x v="235"/>
    <x v="190"/>
  </r>
  <r>
    <x v="51"/>
    <x v="261"/>
    <x v="51"/>
    <x v="0"/>
    <x v="77"/>
    <n v="1"/>
    <x v="236"/>
    <x v="191"/>
  </r>
  <r>
    <x v="6"/>
    <x v="262"/>
    <x v="6"/>
    <x v="2"/>
    <x v="68"/>
    <n v="1"/>
    <x v="229"/>
    <x v="192"/>
  </r>
  <r>
    <x v="40"/>
    <x v="263"/>
    <x v="40"/>
    <x v="0"/>
    <x v="130"/>
    <n v="1"/>
    <x v="237"/>
    <x v="193"/>
  </r>
  <r>
    <x v="53"/>
    <x v="264"/>
    <x v="53"/>
    <x v="2"/>
    <x v="41"/>
    <n v="1"/>
    <x v="238"/>
    <x v="194"/>
  </r>
  <r>
    <x v="52"/>
    <x v="265"/>
    <x v="52"/>
    <x v="0"/>
    <x v="38"/>
    <n v="1"/>
    <x v="239"/>
    <x v="23"/>
  </r>
  <r>
    <x v="46"/>
    <x v="266"/>
    <x v="46"/>
    <x v="0"/>
    <x v="131"/>
    <n v="1"/>
    <x v="240"/>
    <x v="73"/>
  </r>
  <r>
    <x v="15"/>
    <x v="267"/>
    <x v="15"/>
    <x v="0"/>
    <x v="45"/>
    <n v="1"/>
    <x v="241"/>
    <x v="71"/>
  </r>
  <r>
    <x v="42"/>
    <x v="268"/>
    <x v="42"/>
    <x v="0"/>
    <x v="54"/>
    <n v="1"/>
    <x v="242"/>
    <x v="195"/>
  </r>
  <r>
    <x v="16"/>
    <x v="269"/>
    <x v="16"/>
    <x v="0"/>
    <x v="48"/>
    <n v="1"/>
    <x v="243"/>
    <x v="196"/>
  </r>
  <r>
    <x v="11"/>
    <x v="270"/>
    <x v="11"/>
    <x v="0"/>
    <x v="132"/>
    <n v="1"/>
    <x v="244"/>
    <x v="197"/>
  </r>
  <r>
    <x v="10"/>
    <x v="271"/>
    <x v="10"/>
    <x v="0"/>
    <x v="48"/>
    <n v="1"/>
    <x v="245"/>
    <x v="137"/>
  </r>
  <r>
    <x v="6"/>
    <x v="272"/>
    <x v="6"/>
    <x v="0"/>
    <x v="77"/>
    <n v="1"/>
    <x v="246"/>
    <x v="198"/>
  </r>
  <r>
    <x v="46"/>
    <x v="273"/>
    <x v="46"/>
    <x v="0"/>
    <x v="77"/>
    <n v="1"/>
    <x v="247"/>
    <x v="156"/>
  </r>
  <r>
    <x v="24"/>
    <x v="274"/>
    <x v="24"/>
    <x v="0"/>
    <x v="133"/>
    <n v="1"/>
    <x v="248"/>
    <x v="199"/>
  </r>
  <r>
    <x v="53"/>
    <x v="275"/>
    <x v="53"/>
    <x v="0"/>
    <x v="134"/>
    <n v="1"/>
    <x v="249"/>
    <x v="200"/>
  </r>
  <r>
    <x v="58"/>
    <x v="276"/>
    <x v="58"/>
    <x v="0"/>
    <x v="77"/>
    <n v="1"/>
    <x v="250"/>
    <x v="201"/>
  </r>
  <r>
    <x v="48"/>
    <x v="277"/>
    <x v="48"/>
    <x v="0"/>
    <x v="135"/>
    <n v="1"/>
    <x v="251"/>
    <x v="202"/>
  </r>
  <r>
    <x v="46"/>
    <x v="278"/>
    <x v="46"/>
    <x v="0"/>
    <x v="136"/>
    <n v="1"/>
    <x v="252"/>
    <x v="203"/>
  </r>
  <r>
    <x v="26"/>
    <x v="279"/>
    <x v="26"/>
    <x v="5"/>
    <x v="77"/>
    <n v="1"/>
    <x v="253"/>
    <x v="114"/>
  </r>
  <r>
    <x v="38"/>
    <x v="280"/>
    <x v="38"/>
    <x v="0"/>
    <x v="45"/>
    <n v="1"/>
    <x v="254"/>
    <x v="204"/>
  </r>
  <r>
    <x v="6"/>
    <x v="281"/>
    <x v="6"/>
    <x v="0"/>
    <x v="45"/>
    <n v="1"/>
    <x v="77"/>
    <x v="205"/>
  </r>
  <r>
    <x v="53"/>
    <x v="282"/>
    <x v="53"/>
    <x v="0"/>
    <x v="45"/>
    <n v="1"/>
    <x v="255"/>
    <x v="53"/>
  </r>
  <r>
    <x v="21"/>
    <x v="283"/>
    <x v="21"/>
    <x v="0"/>
    <x v="77"/>
    <n v="1"/>
    <x v="256"/>
    <x v="156"/>
  </r>
  <r>
    <x v="29"/>
    <x v="284"/>
    <x v="29"/>
    <x v="0"/>
    <x v="62"/>
    <n v="1"/>
    <x v="257"/>
    <x v="79"/>
  </r>
  <r>
    <x v="53"/>
    <x v="285"/>
    <x v="53"/>
    <x v="2"/>
    <x v="137"/>
    <n v="1"/>
    <x v="258"/>
    <x v="206"/>
  </r>
  <r>
    <x v="52"/>
    <x v="286"/>
    <x v="52"/>
    <x v="2"/>
    <x v="51"/>
    <n v="1"/>
    <x v="259"/>
    <x v="207"/>
  </r>
  <r>
    <x v="47"/>
    <x v="287"/>
    <x v="47"/>
    <x v="0"/>
    <x v="138"/>
    <n v="1"/>
    <x v="260"/>
    <x v="52"/>
  </r>
  <r>
    <x v="6"/>
    <x v="288"/>
    <x v="6"/>
    <x v="0"/>
    <x v="77"/>
    <n v="1"/>
    <x v="30"/>
    <x v="208"/>
  </r>
  <r>
    <x v="59"/>
    <x v="289"/>
    <x v="59"/>
    <x v="0"/>
    <x v="77"/>
    <n v="1"/>
    <x v="261"/>
    <x v="36"/>
  </r>
  <r>
    <x v="59"/>
    <x v="290"/>
    <x v="59"/>
    <x v="0"/>
    <x v="52"/>
    <n v="1"/>
    <x v="262"/>
    <x v="34"/>
  </r>
  <r>
    <x v="3"/>
    <x v="291"/>
    <x v="3"/>
    <x v="0"/>
    <x v="77"/>
    <n v="1"/>
    <x v="263"/>
    <x v="209"/>
  </r>
  <r>
    <x v="53"/>
    <x v="292"/>
    <x v="53"/>
    <x v="2"/>
    <x v="139"/>
    <n v="1"/>
    <x v="140"/>
    <x v="210"/>
  </r>
  <r>
    <x v="21"/>
    <x v="293"/>
    <x v="21"/>
    <x v="0"/>
    <x v="77"/>
    <n v="1"/>
    <x v="264"/>
    <x v="211"/>
  </r>
  <r>
    <x v="30"/>
    <x v="294"/>
    <x v="30"/>
    <x v="0"/>
    <x v="45"/>
    <n v="1"/>
    <x v="265"/>
    <x v="212"/>
  </r>
  <r>
    <x v="11"/>
    <x v="295"/>
    <x v="11"/>
    <x v="0"/>
    <x v="41"/>
    <n v="1"/>
    <x v="266"/>
    <x v="75"/>
  </r>
  <r>
    <x v="53"/>
    <x v="296"/>
    <x v="53"/>
    <x v="2"/>
    <x v="77"/>
    <n v="1"/>
    <x v="267"/>
    <x v="213"/>
  </r>
  <r>
    <x v="53"/>
    <x v="297"/>
    <x v="53"/>
    <x v="0"/>
    <x v="50"/>
    <n v="1"/>
    <x v="268"/>
    <x v="214"/>
  </r>
  <r>
    <x v="60"/>
    <x v="298"/>
    <x v="60"/>
    <x v="0"/>
    <x v="51"/>
    <n v="1"/>
    <x v="269"/>
    <x v="75"/>
  </r>
  <r>
    <x v="4"/>
    <x v="299"/>
    <x v="4"/>
    <x v="0"/>
    <x v="51"/>
    <n v="1"/>
    <x v="270"/>
    <x v="148"/>
  </r>
  <r>
    <x v="20"/>
    <x v="300"/>
    <x v="20"/>
    <x v="0"/>
    <x v="36"/>
    <n v="1"/>
    <x v="271"/>
    <x v="146"/>
  </r>
  <r>
    <x v="47"/>
    <x v="301"/>
    <x v="47"/>
    <x v="0"/>
    <x v="140"/>
    <n v="1"/>
    <x v="272"/>
    <x v="79"/>
  </r>
  <r>
    <x v="5"/>
    <x v="302"/>
    <x v="5"/>
    <x v="0"/>
    <x v="77"/>
    <n v="1"/>
    <x v="273"/>
    <x v="215"/>
  </r>
  <r>
    <x v="26"/>
    <x v="303"/>
    <x v="26"/>
    <x v="0"/>
    <x v="51"/>
    <n v="1"/>
    <x v="274"/>
    <x v="216"/>
  </r>
  <r>
    <x v="46"/>
    <x v="304"/>
    <x v="46"/>
    <x v="0"/>
    <x v="77"/>
    <n v="1"/>
    <x v="275"/>
    <x v="145"/>
  </r>
  <r>
    <x v="9"/>
    <x v="305"/>
    <x v="9"/>
    <x v="0"/>
    <x v="52"/>
    <n v="1"/>
    <x v="276"/>
    <x v="217"/>
  </r>
  <r>
    <x v="38"/>
    <x v="306"/>
    <x v="38"/>
    <x v="2"/>
    <x v="52"/>
    <n v="1"/>
    <x v="277"/>
    <x v="156"/>
  </r>
  <r>
    <x v="8"/>
    <x v="307"/>
    <x v="8"/>
    <x v="0"/>
    <x v="52"/>
    <n v="1"/>
    <x v="278"/>
    <x v="218"/>
  </r>
  <r>
    <x v="61"/>
    <x v="308"/>
    <x v="61"/>
    <x v="0"/>
    <x v="141"/>
    <n v="1"/>
    <x v="279"/>
    <x v="219"/>
  </r>
  <r>
    <x v="43"/>
    <x v="309"/>
    <x v="43"/>
    <x v="0"/>
    <x v="142"/>
    <n v="1"/>
    <x v="188"/>
    <x v="220"/>
  </r>
  <r>
    <x v="11"/>
    <x v="310"/>
    <x v="11"/>
    <x v="0"/>
    <x v="143"/>
    <n v="1"/>
    <x v="280"/>
    <x v="221"/>
  </r>
  <r>
    <x v="4"/>
    <x v="311"/>
    <x v="4"/>
    <x v="0"/>
    <x v="144"/>
    <n v="1"/>
    <x v="281"/>
    <x v="222"/>
  </r>
  <r>
    <x v="30"/>
    <x v="312"/>
    <x v="30"/>
    <x v="0"/>
    <x v="77"/>
    <n v="1"/>
    <x v="282"/>
    <x v="101"/>
  </r>
  <r>
    <x v="12"/>
    <x v="313"/>
    <x v="12"/>
    <x v="0"/>
    <x v="145"/>
    <n v="1"/>
    <x v="283"/>
    <x v="223"/>
  </r>
  <r>
    <x v="46"/>
    <x v="314"/>
    <x v="46"/>
    <x v="0"/>
    <x v="77"/>
    <n v="1"/>
    <x v="284"/>
    <x v="141"/>
  </r>
  <r>
    <x v="32"/>
    <x v="315"/>
    <x v="32"/>
    <x v="0"/>
    <x v="41"/>
    <n v="1"/>
    <x v="285"/>
    <x v="224"/>
  </r>
  <r>
    <x v="30"/>
    <x v="316"/>
    <x v="30"/>
    <x v="0"/>
    <x v="71"/>
    <n v="1"/>
    <x v="165"/>
    <x v="225"/>
  </r>
  <r>
    <x v="0"/>
    <x v="317"/>
    <x v="0"/>
    <x v="0"/>
    <x v="30"/>
    <n v="1"/>
    <x v="286"/>
    <x v="226"/>
  </r>
  <r>
    <x v="9"/>
    <x v="318"/>
    <x v="9"/>
    <x v="0"/>
    <x v="146"/>
    <n v="1"/>
    <x v="287"/>
    <x v="227"/>
  </r>
  <r>
    <x v="52"/>
    <x v="319"/>
    <x v="52"/>
    <x v="0"/>
    <x v="51"/>
    <n v="1"/>
    <x v="277"/>
    <x v="228"/>
  </r>
  <r>
    <x v="26"/>
    <x v="320"/>
    <x v="26"/>
    <x v="0"/>
    <x v="45"/>
    <n v="1"/>
    <x v="288"/>
    <x v="229"/>
  </r>
  <r>
    <x v="56"/>
    <x v="321"/>
    <x v="56"/>
    <x v="0"/>
    <x v="46"/>
    <n v="1"/>
    <x v="289"/>
    <x v="230"/>
  </r>
  <r>
    <x v="38"/>
    <x v="322"/>
    <x v="38"/>
    <x v="0"/>
    <x v="90"/>
    <n v="1"/>
    <x v="290"/>
    <x v="231"/>
  </r>
  <r>
    <x v="6"/>
    <x v="323"/>
    <x v="6"/>
    <x v="0"/>
    <x v="77"/>
    <n v="1"/>
    <x v="291"/>
    <x v="232"/>
  </r>
  <r>
    <x v="30"/>
    <x v="324"/>
    <x v="30"/>
    <x v="0"/>
    <x v="100"/>
    <n v="1"/>
    <x v="292"/>
    <x v="233"/>
  </r>
  <r>
    <x v="61"/>
    <x v="325"/>
    <x v="61"/>
    <x v="0"/>
    <x v="147"/>
    <n v="1"/>
    <x v="293"/>
    <x v="234"/>
  </r>
  <r>
    <x v="13"/>
    <x v="326"/>
    <x v="13"/>
    <x v="0"/>
    <x v="147"/>
    <n v="1"/>
    <x v="294"/>
    <x v="71"/>
  </r>
  <r>
    <x v="62"/>
    <x v="327"/>
    <x v="62"/>
    <x v="0"/>
    <x v="148"/>
    <n v="1"/>
    <x v="295"/>
    <x v="226"/>
  </r>
  <r>
    <x v="16"/>
    <x v="328"/>
    <x v="16"/>
    <x v="0"/>
    <x v="149"/>
    <n v="1"/>
    <x v="296"/>
    <x v="25"/>
  </r>
  <r>
    <x v="38"/>
    <x v="329"/>
    <x v="38"/>
    <x v="0"/>
    <x v="77"/>
    <n v="1"/>
    <x v="297"/>
    <x v="235"/>
  </r>
  <r>
    <x v="6"/>
    <x v="330"/>
    <x v="6"/>
    <x v="2"/>
    <x v="150"/>
    <n v="1"/>
    <x v="298"/>
    <x v="236"/>
  </r>
  <r>
    <x v="49"/>
    <x v="331"/>
    <x v="49"/>
    <x v="0"/>
    <x v="77"/>
    <n v="1"/>
    <x v="137"/>
    <x v="237"/>
  </r>
  <r>
    <x v="30"/>
    <x v="332"/>
    <x v="30"/>
    <x v="0"/>
    <x v="77"/>
    <n v="1"/>
    <x v="299"/>
    <x v="238"/>
  </r>
  <r>
    <x v="5"/>
    <x v="333"/>
    <x v="5"/>
    <x v="0"/>
    <x v="77"/>
    <n v="1"/>
    <x v="300"/>
    <x v="158"/>
  </r>
  <r>
    <x v="13"/>
    <x v="334"/>
    <x v="13"/>
    <x v="0"/>
    <x v="45"/>
    <n v="1"/>
    <x v="301"/>
    <x v="239"/>
  </r>
  <r>
    <x v="11"/>
    <x v="335"/>
    <x v="11"/>
    <x v="0"/>
    <x v="52"/>
    <n v="1"/>
    <x v="140"/>
    <x v="240"/>
  </r>
  <r>
    <x v="11"/>
    <x v="336"/>
    <x v="11"/>
    <x v="0"/>
    <x v="52"/>
    <n v="1"/>
    <x v="302"/>
    <x v="241"/>
  </r>
  <r>
    <x v="13"/>
    <x v="337"/>
    <x v="13"/>
    <x v="0"/>
    <x v="77"/>
    <n v="1"/>
    <x v="303"/>
    <x v="242"/>
  </r>
  <r>
    <x v="8"/>
    <x v="338"/>
    <x v="8"/>
    <x v="2"/>
    <x v="77"/>
    <n v="1"/>
    <x v="304"/>
    <x v="125"/>
  </r>
  <r>
    <x v="33"/>
    <x v="339"/>
    <x v="33"/>
    <x v="0"/>
    <x v="52"/>
    <n v="1"/>
    <x v="305"/>
    <x v="243"/>
  </r>
  <r>
    <x v="8"/>
    <x v="340"/>
    <x v="8"/>
    <x v="0"/>
    <x v="151"/>
    <n v="1"/>
    <x v="306"/>
    <x v="217"/>
  </r>
  <r>
    <x v="42"/>
    <x v="341"/>
    <x v="42"/>
    <x v="2"/>
    <x v="48"/>
    <n v="1"/>
    <x v="307"/>
    <x v="244"/>
  </r>
  <r>
    <x v="32"/>
    <x v="342"/>
    <x v="32"/>
    <x v="0"/>
    <x v="58"/>
    <n v="1"/>
    <x v="308"/>
    <x v="52"/>
  </r>
  <r>
    <x v="26"/>
    <x v="343"/>
    <x v="26"/>
    <x v="2"/>
    <x v="41"/>
    <n v="1"/>
    <x v="309"/>
    <x v="124"/>
  </r>
  <r>
    <x v="44"/>
    <x v="344"/>
    <x v="44"/>
    <x v="0"/>
    <x v="45"/>
    <n v="1"/>
    <x v="310"/>
    <x v="245"/>
  </r>
  <r>
    <x v="46"/>
    <x v="345"/>
    <x v="46"/>
    <x v="0"/>
    <x v="152"/>
    <n v="1"/>
    <x v="311"/>
    <x v="246"/>
  </r>
  <r>
    <x v="60"/>
    <x v="346"/>
    <x v="60"/>
    <x v="0"/>
    <x v="77"/>
    <n v="1"/>
    <x v="312"/>
    <x v="247"/>
  </r>
  <r>
    <x v="21"/>
    <x v="347"/>
    <x v="21"/>
    <x v="0"/>
    <x v="50"/>
    <n v="1"/>
    <x v="313"/>
    <x v="248"/>
  </r>
  <r>
    <x v="11"/>
    <x v="348"/>
    <x v="11"/>
    <x v="0"/>
    <x v="153"/>
    <n v="1"/>
    <x v="314"/>
    <x v="71"/>
  </r>
  <r>
    <x v="12"/>
    <x v="349"/>
    <x v="12"/>
    <x v="0"/>
    <x v="154"/>
    <n v="1"/>
    <x v="315"/>
    <x v="149"/>
  </r>
  <r>
    <x v="6"/>
    <x v="350"/>
    <x v="6"/>
    <x v="0"/>
    <x v="71"/>
    <n v="1"/>
    <x v="10"/>
    <x v="249"/>
  </r>
  <r>
    <x v="46"/>
    <x v="351"/>
    <x v="46"/>
    <x v="0"/>
    <x v="52"/>
    <n v="1"/>
    <x v="316"/>
    <x v="3"/>
  </r>
  <r>
    <x v="26"/>
    <x v="352"/>
    <x v="26"/>
    <x v="0"/>
    <x v="155"/>
    <n v="1"/>
    <x v="317"/>
    <x v="17"/>
  </r>
  <r>
    <x v="6"/>
    <x v="353"/>
    <x v="6"/>
    <x v="0"/>
    <x v="54"/>
    <n v="1"/>
    <x v="318"/>
    <x v="250"/>
  </r>
  <r>
    <x v="4"/>
    <x v="354"/>
    <x v="4"/>
    <x v="0"/>
    <x v="45"/>
    <n v="1"/>
    <x v="319"/>
    <x v="251"/>
  </r>
  <r>
    <x v="17"/>
    <x v="355"/>
    <x v="17"/>
    <x v="2"/>
    <x v="41"/>
    <n v="1"/>
    <x v="320"/>
    <x v="252"/>
  </r>
  <r>
    <x v="6"/>
    <x v="356"/>
    <x v="6"/>
    <x v="0"/>
    <x v="48"/>
    <n v="1"/>
    <x v="321"/>
    <x v="253"/>
  </r>
  <r>
    <x v="63"/>
    <x v="357"/>
    <x v="63"/>
    <x v="0"/>
    <x v="77"/>
    <n v="1"/>
    <x v="322"/>
    <x v="254"/>
  </r>
  <r>
    <x v="6"/>
    <x v="358"/>
    <x v="6"/>
    <x v="0"/>
    <x v="156"/>
    <n v="1"/>
    <x v="323"/>
    <x v="255"/>
  </r>
  <r>
    <x v="46"/>
    <x v="359"/>
    <x v="46"/>
    <x v="0"/>
    <x v="51"/>
    <n v="1"/>
    <x v="324"/>
    <x v="79"/>
  </r>
  <r>
    <x v="21"/>
    <x v="360"/>
    <x v="21"/>
    <x v="0"/>
    <x v="48"/>
    <n v="1"/>
    <x v="101"/>
    <x v="9"/>
  </r>
  <r>
    <x v="21"/>
    <x v="361"/>
    <x v="21"/>
    <x v="2"/>
    <x v="45"/>
    <n v="1"/>
    <x v="325"/>
    <x v="256"/>
  </r>
  <r>
    <x v="11"/>
    <x v="362"/>
    <x v="11"/>
    <x v="0"/>
    <x v="157"/>
    <n v="1"/>
    <x v="326"/>
    <x v="105"/>
  </r>
  <r>
    <x v="6"/>
    <x v="363"/>
    <x v="6"/>
    <x v="0"/>
    <x v="158"/>
    <n v="1"/>
    <x v="327"/>
    <x v="9"/>
  </r>
  <r>
    <x v="53"/>
    <x v="364"/>
    <x v="53"/>
    <x v="0"/>
    <x v="159"/>
    <n v="1"/>
    <x v="328"/>
    <x v="257"/>
  </r>
  <r>
    <x v="46"/>
    <x v="365"/>
    <x v="46"/>
    <x v="0"/>
    <x v="160"/>
    <n v="1"/>
    <x v="329"/>
    <x v="124"/>
  </r>
  <r>
    <x v="61"/>
    <x v="366"/>
    <x v="61"/>
    <x v="2"/>
    <x v="161"/>
    <n v="1"/>
    <x v="330"/>
    <x v="258"/>
  </r>
  <r>
    <x v="49"/>
    <x v="367"/>
    <x v="49"/>
    <x v="0"/>
    <x v="162"/>
    <n v="1"/>
    <x v="331"/>
    <x v="190"/>
  </r>
  <r>
    <x v="32"/>
    <x v="368"/>
    <x v="32"/>
    <x v="0"/>
    <x v="163"/>
    <n v="1"/>
    <x v="332"/>
    <x v="259"/>
  </r>
  <r>
    <x v="38"/>
    <x v="369"/>
    <x v="38"/>
    <x v="0"/>
    <x v="77"/>
    <n v="1"/>
    <x v="333"/>
    <x v="260"/>
  </r>
  <r>
    <x v="12"/>
    <x v="370"/>
    <x v="12"/>
    <x v="6"/>
    <x v="77"/>
    <n v="1"/>
    <x v="58"/>
    <x v="261"/>
  </r>
  <r>
    <x v="43"/>
    <x v="371"/>
    <x v="43"/>
    <x v="0"/>
    <x v="164"/>
    <n v="1"/>
    <x v="334"/>
    <x v="262"/>
  </r>
  <r>
    <x v="17"/>
    <x v="372"/>
    <x v="17"/>
    <x v="2"/>
    <x v="45"/>
    <n v="1"/>
    <x v="335"/>
    <x v="263"/>
  </r>
  <r>
    <x v="33"/>
    <x v="373"/>
    <x v="33"/>
    <x v="0"/>
    <x v="45"/>
    <n v="1"/>
    <x v="336"/>
    <x v="264"/>
  </r>
  <r>
    <x v="33"/>
    <x v="374"/>
    <x v="33"/>
    <x v="0"/>
    <x v="60"/>
    <n v="1"/>
    <x v="337"/>
    <x v="265"/>
  </r>
  <r>
    <x v="11"/>
    <x v="375"/>
    <x v="11"/>
    <x v="0"/>
    <x v="132"/>
    <n v="1"/>
    <x v="338"/>
    <x v="75"/>
  </r>
  <r>
    <x v="11"/>
    <x v="376"/>
    <x v="11"/>
    <x v="0"/>
    <x v="165"/>
    <n v="1"/>
    <x v="339"/>
    <x v="52"/>
  </r>
  <r>
    <x v="6"/>
    <x v="377"/>
    <x v="6"/>
    <x v="0"/>
    <x v="166"/>
    <n v="1"/>
    <x v="3"/>
    <x v="266"/>
  </r>
  <r>
    <x v="15"/>
    <x v="378"/>
    <x v="15"/>
    <x v="0"/>
    <x v="77"/>
    <n v="1"/>
    <x v="340"/>
    <x v="267"/>
  </r>
  <r>
    <x v="11"/>
    <x v="379"/>
    <x v="11"/>
    <x v="0"/>
    <x v="167"/>
    <n v="1"/>
    <x v="341"/>
    <x v="268"/>
  </r>
  <r>
    <x v="11"/>
    <x v="380"/>
    <x v="11"/>
    <x v="0"/>
    <x v="168"/>
    <n v="1"/>
    <x v="342"/>
    <x v="79"/>
  </r>
  <r>
    <x v="20"/>
    <x v="381"/>
    <x v="20"/>
    <x v="0"/>
    <x v="41"/>
    <n v="1"/>
    <x v="343"/>
    <x v="1"/>
  </r>
  <r>
    <x v="64"/>
    <x v="382"/>
    <x v="64"/>
    <x v="0"/>
    <x v="45"/>
    <n v="1"/>
    <x v="344"/>
    <x v="269"/>
  </r>
  <r>
    <x v="13"/>
    <x v="383"/>
    <x v="13"/>
    <x v="2"/>
    <x v="77"/>
    <n v="1"/>
    <x v="345"/>
    <x v="239"/>
  </r>
  <r>
    <x v="53"/>
    <x v="384"/>
    <x v="53"/>
    <x v="7"/>
    <x v="169"/>
    <n v="1"/>
    <x v="346"/>
    <x v="37"/>
  </r>
  <r>
    <x v="53"/>
    <x v="385"/>
    <x v="53"/>
    <x v="2"/>
    <x v="170"/>
    <n v="1"/>
    <x v="347"/>
    <x v="270"/>
  </r>
  <r>
    <x v="4"/>
    <x v="386"/>
    <x v="4"/>
    <x v="2"/>
    <x v="171"/>
    <n v="1"/>
    <x v="348"/>
    <x v="271"/>
  </r>
  <r>
    <x v="4"/>
    <x v="387"/>
    <x v="4"/>
    <x v="0"/>
    <x v="172"/>
    <n v="1"/>
    <x v="119"/>
    <x v="40"/>
  </r>
  <r>
    <x v="21"/>
    <x v="388"/>
    <x v="21"/>
    <x v="0"/>
    <x v="151"/>
    <n v="1"/>
    <x v="349"/>
    <x v="272"/>
  </r>
  <r>
    <x v="6"/>
    <x v="389"/>
    <x v="6"/>
    <x v="0"/>
    <x v="77"/>
    <n v="1"/>
    <x v="350"/>
    <x v="273"/>
  </r>
  <r>
    <x v="45"/>
    <x v="390"/>
    <x v="45"/>
    <x v="0"/>
    <x v="77"/>
    <n v="1"/>
    <x v="351"/>
    <x v="6"/>
  </r>
  <r>
    <x v="4"/>
    <x v="391"/>
    <x v="4"/>
    <x v="0"/>
    <x v="77"/>
    <n v="1"/>
    <x v="182"/>
    <x v="274"/>
  </r>
  <r>
    <x v="9"/>
    <x v="392"/>
    <x v="9"/>
    <x v="0"/>
    <x v="41"/>
    <n v="1"/>
    <x v="213"/>
    <x v="275"/>
  </r>
  <r>
    <x v="25"/>
    <x v="393"/>
    <x v="25"/>
    <x v="0"/>
    <x v="45"/>
    <n v="1"/>
    <x v="352"/>
    <x v="149"/>
  </r>
  <r>
    <x v="65"/>
    <x v="394"/>
    <x v="65"/>
    <x v="0"/>
    <x v="45"/>
    <n v="1"/>
    <x v="353"/>
    <x v="276"/>
  </r>
  <r>
    <x v="32"/>
    <x v="395"/>
    <x v="32"/>
    <x v="0"/>
    <x v="41"/>
    <n v="1"/>
    <x v="354"/>
    <x v="9"/>
  </r>
  <r>
    <x v="32"/>
    <x v="396"/>
    <x v="32"/>
    <x v="0"/>
    <x v="77"/>
    <n v="1"/>
    <x v="355"/>
    <x v="3"/>
  </r>
  <r>
    <x v="53"/>
    <x v="397"/>
    <x v="53"/>
    <x v="2"/>
    <x v="52"/>
    <n v="1"/>
    <x v="356"/>
    <x v="277"/>
  </r>
  <r>
    <x v="62"/>
    <x v="398"/>
    <x v="62"/>
    <x v="2"/>
    <x v="49"/>
    <n v="1"/>
    <x v="357"/>
    <x v="144"/>
  </r>
  <r>
    <x v="38"/>
    <x v="399"/>
    <x v="38"/>
    <x v="0"/>
    <x v="45"/>
    <n v="1"/>
    <x v="358"/>
    <x v="55"/>
  </r>
  <r>
    <x v="61"/>
    <x v="400"/>
    <x v="61"/>
    <x v="0"/>
    <x v="173"/>
    <n v="1"/>
    <x v="359"/>
    <x v="118"/>
  </r>
  <r>
    <x v="14"/>
    <x v="401"/>
    <x v="14"/>
    <x v="0"/>
    <x v="41"/>
    <n v="1"/>
    <x v="360"/>
    <x v="278"/>
  </r>
  <r>
    <x v="27"/>
    <x v="402"/>
    <x v="27"/>
    <x v="0"/>
    <x v="162"/>
    <n v="1"/>
    <x v="361"/>
    <x v="279"/>
  </r>
  <r>
    <x v="11"/>
    <x v="403"/>
    <x v="11"/>
    <x v="0"/>
    <x v="52"/>
    <n v="1"/>
    <x v="362"/>
    <x v="132"/>
  </r>
  <r>
    <x v="33"/>
    <x v="404"/>
    <x v="33"/>
    <x v="0"/>
    <x v="52"/>
    <n v="1"/>
    <x v="363"/>
    <x v="280"/>
  </r>
  <r>
    <x v="11"/>
    <x v="405"/>
    <x v="11"/>
    <x v="0"/>
    <x v="48"/>
    <n v="1"/>
    <x v="364"/>
    <x v="281"/>
  </r>
  <r>
    <x v="15"/>
    <x v="406"/>
    <x v="15"/>
    <x v="0"/>
    <x v="38"/>
    <n v="1"/>
    <x v="84"/>
    <x v="282"/>
  </r>
  <r>
    <x v="46"/>
    <x v="407"/>
    <x v="46"/>
    <x v="0"/>
    <x v="113"/>
    <n v="1"/>
    <x v="365"/>
    <x v="120"/>
  </r>
  <r>
    <x v="20"/>
    <x v="408"/>
    <x v="20"/>
    <x v="2"/>
    <x v="50"/>
    <n v="1"/>
    <x v="366"/>
    <x v="16"/>
  </r>
  <r>
    <x v="6"/>
    <x v="409"/>
    <x v="6"/>
    <x v="0"/>
    <x v="174"/>
    <n v="1"/>
    <x v="227"/>
    <x v="283"/>
  </r>
  <r>
    <x v="12"/>
    <x v="410"/>
    <x v="12"/>
    <x v="8"/>
    <x v="175"/>
    <n v="1"/>
    <x v="367"/>
    <x v="284"/>
  </r>
  <r>
    <x v="47"/>
    <x v="411"/>
    <x v="47"/>
    <x v="0"/>
    <x v="176"/>
    <n v="1"/>
    <x v="368"/>
    <x v="4"/>
  </r>
  <r>
    <x v="46"/>
    <x v="412"/>
    <x v="46"/>
    <x v="8"/>
    <x v="177"/>
    <n v="1"/>
    <x v="369"/>
    <x v="71"/>
  </r>
  <r>
    <x v="16"/>
    <x v="413"/>
    <x v="16"/>
    <x v="8"/>
    <x v="178"/>
    <n v="1"/>
    <x v="370"/>
    <x v="285"/>
  </r>
  <r>
    <x v="11"/>
    <x v="414"/>
    <x v="11"/>
    <x v="8"/>
    <x v="179"/>
    <n v="1"/>
    <x v="371"/>
    <x v="27"/>
  </r>
  <r>
    <x v="11"/>
    <x v="415"/>
    <x v="11"/>
    <x v="8"/>
    <x v="180"/>
    <n v="1"/>
    <x v="372"/>
    <x v="286"/>
  </r>
  <r>
    <x v="32"/>
    <x v="416"/>
    <x v="32"/>
    <x v="2"/>
    <x v="181"/>
    <n v="1"/>
    <x v="373"/>
    <x v="287"/>
  </r>
  <r>
    <x v="48"/>
    <x v="417"/>
    <x v="48"/>
    <x v="8"/>
    <x v="182"/>
    <n v="1"/>
    <x v="374"/>
    <x v="288"/>
  </r>
  <r>
    <x v="12"/>
    <x v="418"/>
    <x v="12"/>
    <x v="2"/>
    <x v="183"/>
    <n v="1"/>
    <x v="70"/>
    <x v="149"/>
  </r>
  <r>
    <x v="59"/>
    <x v="419"/>
    <x v="59"/>
    <x v="8"/>
    <x v="184"/>
    <n v="1"/>
    <x v="375"/>
    <x v="289"/>
  </r>
  <r>
    <x v="20"/>
    <x v="420"/>
    <x v="20"/>
    <x v="8"/>
    <x v="185"/>
    <n v="1"/>
    <x v="376"/>
    <x v="290"/>
  </r>
  <r>
    <x v="30"/>
    <x v="421"/>
    <x v="30"/>
    <x v="8"/>
    <x v="186"/>
    <n v="1"/>
    <x v="377"/>
    <x v="291"/>
  </r>
  <r>
    <x v="21"/>
    <x v="178"/>
    <x v="21"/>
    <x v="8"/>
    <x v="187"/>
    <n v="1"/>
    <x v="378"/>
    <x v="149"/>
  </r>
  <r>
    <x v="46"/>
    <x v="422"/>
    <x v="46"/>
    <x v="8"/>
    <x v="182"/>
    <n v="1"/>
    <x v="379"/>
    <x v="292"/>
  </r>
  <r>
    <x v="0"/>
    <x v="423"/>
    <x v="0"/>
    <x v="8"/>
    <x v="188"/>
    <n v="1"/>
    <x v="380"/>
    <x v="293"/>
  </r>
  <r>
    <x v="29"/>
    <x v="424"/>
    <x v="29"/>
    <x v="8"/>
    <x v="189"/>
    <n v="1"/>
    <x v="381"/>
    <x v="294"/>
  </r>
  <r>
    <x v="38"/>
    <x v="425"/>
    <x v="38"/>
    <x v="8"/>
    <x v="190"/>
    <n v="1"/>
    <x v="382"/>
    <x v="295"/>
  </r>
  <r>
    <x v="38"/>
    <x v="426"/>
    <x v="38"/>
    <x v="8"/>
    <x v="191"/>
    <n v="1"/>
    <x v="349"/>
    <x v="296"/>
  </r>
  <r>
    <x v="64"/>
    <x v="427"/>
    <x v="64"/>
    <x v="8"/>
    <x v="192"/>
    <n v="1"/>
    <x v="383"/>
    <x v="37"/>
  </r>
  <r>
    <x v="43"/>
    <x v="428"/>
    <x v="43"/>
    <x v="8"/>
    <x v="193"/>
    <n v="1"/>
    <x v="384"/>
    <x v="297"/>
  </r>
  <r>
    <x v="25"/>
    <x v="429"/>
    <x v="25"/>
    <x v="8"/>
    <x v="194"/>
    <n v="1"/>
    <x v="385"/>
    <x v="298"/>
  </r>
  <r>
    <x v="13"/>
    <x v="430"/>
    <x v="13"/>
    <x v="8"/>
    <x v="195"/>
    <n v="1"/>
    <x v="386"/>
    <x v="299"/>
  </r>
  <r>
    <x v="33"/>
    <x v="431"/>
    <x v="33"/>
    <x v="8"/>
    <x v="196"/>
    <n v="1"/>
    <x v="387"/>
    <x v="300"/>
  </r>
  <r>
    <x v="33"/>
    <x v="432"/>
    <x v="33"/>
    <x v="8"/>
    <x v="197"/>
    <n v="1"/>
    <x v="388"/>
    <x v="301"/>
  </r>
  <r>
    <x v="32"/>
    <x v="433"/>
    <x v="32"/>
    <x v="8"/>
    <x v="198"/>
    <n v="1"/>
    <x v="389"/>
    <x v="302"/>
  </r>
  <r>
    <x v="8"/>
    <x v="243"/>
    <x v="8"/>
    <x v="8"/>
    <x v="199"/>
    <n v="1"/>
    <x v="390"/>
    <x v="303"/>
  </r>
  <r>
    <x v="23"/>
    <x v="434"/>
    <x v="23"/>
    <x v="8"/>
    <x v="186"/>
    <n v="1"/>
    <x v="391"/>
    <x v="304"/>
  </r>
  <r>
    <x v="46"/>
    <x v="435"/>
    <x v="46"/>
    <x v="8"/>
    <x v="200"/>
    <n v="1"/>
    <x v="392"/>
    <x v="305"/>
  </r>
  <r>
    <x v="13"/>
    <x v="436"/>
    <x v="13"/>
    <x v="8"/>
    <x v="201"/>
    <n v="1"/>
    <x v="393"/>
    <x v="306"/>
  </r>
  <r>
    <x v="43"/>
    <x v="437"/>
    <x v="43"/>
    <x v="8"/>
    <x v="179"/>
    <n v="1"/>
    <x v="394"/>
    <x v="222"/>
  </r>
  <r>
    <x v="64"/>
    <x v="438"/>
    <x v="64"/>
    <x v="8"/>
    <x v="202"/>
    <n v="1"/>
    <x v="395"/>
    <x v="307"/>
  </r>
  <r>
    <x v="43"/>
    <x v="439"/>
    <x v="43"/>
    <x v="8"/>
    <x v="203"/>
    <n v="1"/>
    <x v="396"/>
    <x v="308"/>
  </r>
  <r>
    <x v="33"/>
    <x v="440"/>
    <x v="33"/>
    <x v="8"/>
    <x v="204"/>
    <n v="1"/>
    <x v="397"/>
    <x v="309"/>
  </r>
  <r>
    <x v="8"/>
    <x v="441"/>
    <x v="8"/>
    <x v="8"/>
    <x v="205"/>
    <n v="1"/>
    <x v="398"/>
    <x v="310"/>
  </r>
  <r>
    <x v="15"/>
    <x v="442"/>
    <x v="15"/>
    <x v="8"/>
    <x v="189"/>
    <n v="1"/>
    <x v="399"/>
    <x v="311"/>
  </r>
  <r>
    <x v="46"/>
    <x v="443"/>
    <x v="46"/>
    <x v="8"/>
    <x v="206"/>
    <n v="1"/>
    <x v="400"/>
    <x v="312"/>
  </r>
  <r>
    <x v="32"/>
    <x v="444"/>
    <x v="32"/>
    <x v="8"/>
    <x v="207"/>
    <n v="1"/>
    <x v="401"/>
    <x v="313"/>
  </r>
  <r>
    <x v="13"/>
    <x v="445"/>
    <x v="13"/>
    <x v="8"/>
    <x v="208"/>
    <n v="1"/>
    <x v="402"/>
    <x v="314"/>
  </r>
  <r>
    <x v="11"/>
    <x v="446"/>
    <x v="11"/>
    <x v="8"/>
    <x v="209"/>
    <n v="1"/>
    <x v="403"/>
    <x v="315"/>
  </r>
  <r>
    <x v="38"/>
    <x v="447"/>
    <x v="38"/>
    <x v="8"/>
    <x v="202"/>
    <n v="1"/>
    <x v="404"/>
    <x v="316"/>
  </r>
  <r>
    <x v="30"/>
    <x v="448"/>
    <x v="30"/>
    <x v="8"/>
    <x v="210"/>
    <n v="1"/>
    <x v="405"/>
    <x v="237"/>
  </r>
  <r>
    <x v="33"/>
    <x v="449"/>
    <x v="33"/>
    <x v="8"/>
    <x v="211"/>
    <n v="1"/>
    <x v="406"/>
    <x v="317"/>
  </r>
  <r>
    <x v="45"/>
    <x v="450"/>
    <x v="45"/>
    <x v="8"/>
    <x v="212"/>
    <n v="1"/>
    <x v="407"/>
    <x v="318"/>
  </r>
  <r>
    <x v="46"/>
    <x v="451"/>
    <x v="46"/>
    <x v="8"/>
    <x v="213"/>
    <n v="1"/>
    <x v="408"/>
    <x v="31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54">
  <r>
    <s v="TR422"/>
    <s v="Pazarköy-Akyazı HES"/>
    <x v="0"/>
    <s v="Kanal"/>
    <n v="1953"/>
    <n v="0.18"/>
    <n v="0.5"/>
  </r>
  <r>
    <s v="TR422"/>
    <s v="Haraklı-Hendek HES"/>
    <x v="0"/>
    <s v="Kanal"/>
    <n v="1953"/>
    <n v="0.26400000000000001"/>
    <n v="1"/>
  </r>
  <r>
    <s v="TR413"/>
    <s v="Bozüyük HES"/>
    <x v="1"/>
    <s v="Kanal"/>
    <n v="1938"/>
    <n v="0.36"/>
    <n v="1"/>
  </r>
  <r>
    <s v="TR521"/>
    <s v="İvriz  HES"/>
    <x v="2"/>
    <s v="Kanal"/>
    <n v="1986"/>
    <n v="1.04"/>
    <n v="2"/>
  </r>
  <r>
    <s v="TR521"/>
    <s v="Dere HES"/>
    <x v="2"/>
    <s v="Kanal"/>
    <n v="1972"/>
    <n v="0.6"/>
    <n v="1"/>
  </r>
  <r>
    <s v="TR521"/>
    <s v="Göksu HES"/>
    <x v="2"/>
    <s v="Kanal"/>
    <n v="1959"/>
    <n v="10.8"/>
    <n v="70"/>
  </r>
  <r>
    <s v="TR831"/>
    <s v="Ladik-Büyükkızoğlu  HES"/>
    <x v="3"/>
    <s v="Kanal"/>
    <n v="1954"/>
    <n v="0.4"/>
    <n v="1.5"/>
  </r>
  <r>
    <s v="TR834"/>
    <s v="Durucasu HES"/>
    <x v="4"/>
    <s v="Nehir"/>
    <n v="1955"/>
    <n v="0.8"/>
    <n v="3"/>
  </r>
  <r>
    <s v="TRB21"/>
    <s v="Engil HES"/>
    <x v="5"/>
    <s v="Kanal"/>
    <n v="1968"/>
    <n v="4.5999999999999996"/>
    <n v="14"/>
  </r>
  <r>
    <s v="TRB21"/>
    <s v="Koçköprü Barajı ve HES"/>
    <x v="5"/>
    <s v="Baraj"/>
    <n v="1993"/>
    <n v="8.39"/>
    <n v="44"/>
  </r>
  <r>
    <s v="TRB21"/>
    <s v="Zernek (Hoşap) Barajı ve HES"/>
    <x v="5"/>
    <s v="Baraj"/>
    <n v="1989"/>
    <n v="4.5"/>
    <n v="13"/>
  </r>
  <r>
    <s v="TRB21"/>
    <s v="Erciş HES"/>
    <x v="5"/>
    <s v="Kanal"/>
    <n v="1968"/>
    <n v="0.8"/>
    <n v="1.5"/>
  </r>
  <r>
    <s v="TR632"/>
    <s v="Kısık HES "/>
    <x v="6"/>
    <s v="Kanal"/>
    <n v="1993"/>
    <n v="9.2639999999999993"/>
    <n v="35"/>
  </r>
  <r>
    <s v="TRA23"/>
    <s v="Kiti HES"/>
    <x v="7"/>
    <s v="Nehir"/>
    <n v="1966"/>
    <n v="2.76"/>
    <n v="12"/>
  </r>
  <r>
    <s v="TRA22"/>
    <s v="Arpaçay-Telek HES"/>
    <x v="8"/>
    <s v="Kanal"/>
    <n v="1966"/>
    <n v="6.2399999999999997E-2"/>
    <n v="0.3"/>
  </r>
  <r>
    <s v="TR905"/>
    <s v="Esendal  HES"/>
    <x v="9"/>
    <s v="Kanal"/>
    <n v="1984"/>
    <n v="0.3"/>
    <n v="1"/>
  </r>
  <r>
    <s v="TR521"/>
    <s v="Bozkır HES"/>
    <x v="2"/>
    <s v="Kanal"/>
    <n v="1952"/>
    <n v="7.4999999999999997E-2"/>
    <n v="0.4"/>
  </r>
  <r>
    <s v="TR522"/>
    <s v="Ermenek  HES"/>
    <x v="10"/>
    <s v="Kanal"/>
    <n v="1934"/>
    <n v="1.1200000000000001"/>
    <n v="1.25"/>
  </r>
  <r>
    <s v="TR901"/>
    <s v="Visera (Işıklar) HES"/>
    <x v="11"/>
    <s v="Kanal"/>
    <n v="1929"/>
    <n v="1.04"/>
    <n v="2.4500000000000002"/>
  </r>
  <r>
    <s v="TR411"/>
    <s v="Suuçtu-Mustafa Kemal Paşa HES"/>
    <x v="12"/>
    <s v="Kanal"/>
    <n v="1952"/>
    <n v="2.3039999999999998"/>
    <n v="8"/>
  </r>
  <r>
    <s v="TR633"/>
    <s v="Değirmendere HES"/>
    <x v="13"/>
    <s v="Kanal"/>
    <n v="1987"/>
    <n v="0.5"/>
    <n v="1"/>
  </r>
  <r>
    <s v="TR633"/>
    <s v="Karaçay HES"/>
    <x v="13"/>
    <s v="Kanal"/>
    <n v="1955"/>
    <n v="0.4"/>
    <n v="1.5"/>
  </r>
  <r>
    <s v="TR631"/>
    <s v="Kuzuculu HES"/>
    <x v="14"/>
    <s v="Kanal"/>
    <n v="1954"/>
    <n v="4.0919999999999996"/>
    <n v="15"/>
  </r>
  <r>
    <s v="TRA12"/>
    <s v="Girlevik I HES"/>
    <x v="15"/>
    <s v="Kanal"/>
    <n v="1953"/>
    <n v="3.04"/>
    <n v="18"/>
  </r>
  <r>
    <s v="TRB11"/>
    <s v="Kernek HES"/>
    <x v="16"/>
    <s v="Nehir"/>
    <n v="1964"/>
    <n v="0.83199999999999996"/>
    <n v="2.2000000000000002"/>
  </r>
  <r>
    <s v="TRB11"/>
    <s v="Erkenek HES"/>
    <x v="16"/>
    <s v="Kanal"/>
    <n v="1972"/>
    <n v="0.32"/>
    <n v="1.6"/>
  </r>
  <r>
    <s v="TRB11"/>
    <s v="Derme-Kapuluk HES"/>
    <x v="16"/>
    <s v="Kanal"/>
    <n v="1961"/>
    <n v="4.5"/>
    <n v="2"/>
  </r>
  <r>
    <s v="TRB14"/>
    <s v="Çemişgezek HES"/>
    <x v="17"/>
    <s v="Kanal"/>
    <n v="1961"/>
    <n v="0.12"/>
    <n v="0.75"/>
  </r>
  <r>
    <s v="TRC31"/>
    <s v="Çağçağ  HES"/>
    <x v="18"/>
    <s v="Nehir"/>
    <n v="1968"/>
    <n v="14.4"/>
    <n v="42"/>
  </r>
  <r>
    <s v="TRC33"/>
    <s v="Uludere HES"/>
    <x v="19"/>
    <s v="Nehir"/>
    <n v="1976"/>
    <n v="0.64"/>
    <n v="1.2"/>
  </r>
  <r>
    <s v="TR721"/>
    <s v="Sızır HES"/>
    <x v="20"/>
    <s v="Kanal"/>
    <n v="1961"/>
    <n v="6.78"/>
    <n v="50"/>
  </r>
  <r>
    <s v="TR721"/>
    <s v="Pınarbaşı HES"/>
    <x v="20"/>
    <s v="Kanal"/>
    <n v="1924"/>
    <n v="9.9199999999999997E-2"/>
    <n v="0.7"/>
  </r>
  <r>
    <s v="TR721"/>
    <s v="Bünyan HES"/>
    <x v="20"/>
    <s v="Kanal"/>
    <n v="1928"/>
    <n v="1.36"/>
    <n v="4"/>
  </r>
  <r>
    <s v="TR611"/>
    <s v="Turunçova-Finike HES"/>
    <x v="21"/>
    <s v="Kanal"/>
    <n v="1962"/>
    <n v="0.55200000000000005"/>
    <n v="1"/>
  </r>
  <r>
    <s v="TRB23"/>
    <s v="Ahlat  HES"/>
    <x v="22"/>
    <s v="Kanal"/>
    <n v="1950"/>
    <n v="1.07"/>
    <n v="1.0649999999999999"/>
  </r>
  <r>
    <s v="TRB23"/>
    <s v="Adilcevaz HES"/>
    <x v="22"/>
    <s v="Kanal"/>
    <n v="1967"/>
    <n v="0.39400000000000002"/>
    <n v="1"/>
  </r>
  <r>
    <s v="TRB22"/>
    <s v="Malazgirt  HES"/>
    <x v="23"/>
    <s v="Kanal"/>
    <n v="1966"/>
    <n v="1.216"/>
    <n v="2.5"/>
  </r>
  <r>
    <s v="TRB22"/>
    <s v="Varto-Sönmez HES"/>
    <x v="23"/>
    <s v="Kanal"/>
    <n v="1968"/>
    <n v="0.29199999999999998"/>
    <n v="1"/>
  </r>
  <r>
    <s v="TRB24"/>
    <s v="Otluca  HES"/>
    <x v="24"/>
    <s v="Kanal"/>
    <n v="1970"/>
    <n v="1.28"/>
    <n v="3.5"/>
  </r>
  <r>
    <s v="TR612"/>
    <s v="Kovada I HES"/>
    <x v="25"/>
    <s v="Göl"/>
    <n v="1960"/>
    <n v="8.25"/>
    <n v="3"/>
  </r>
  <r>
    <s v="TR612"/>
    <s v="Kovada II HES"/>
    <x v="25"/>
    <s v="Göl"/>
    <n v="1971"/>
    <n v="51.2"/>
    <n v="222"/>
  </r>
  <r>
    <s v="TRC12"/>
    <s v="Besni HES"/>
    <x v="26"/>
    <s v="Kanal"/>
    <n v="1956"/>
    <n v="0.27200000000000002"/>
    <n v="0.6"/>
  </r>
  <r>
    <s v="TRA13"/>
    <s v="Bayburt  HES"/>
    <x v="27"/>
    <s v="Kanal"/>
    <n v="1950"/>
    <n v="0.39600000000000002"/>
    <n v="1.25"/>
  </r>
  <r>
    <s v="TR813"/>
    <s v="Kayadibi  HES"/>
    <x v="28"/>
    <s v="Kanal"/>
    <n v="1950"/>
    <n v="0.46400000000000002"/>
    <n v="2.5"/>
  </r>
  <r>
    <s v="TR423"/>
    <s v="Hasanlar Barajı ve HES"/>
    <x v="29"/>
    <s v="Baraj"/>
    <n v="1991"/>
    <n v="9.35"/>
    <n v="42"/>
  </r>
  <r>
    <s v="TR622"/>
    <s v="Berdan Barajı ve HES"/>
    <x v="30"/>
    <s v="Baraj"/>
    <n v="1996"/>
    <n v="10.199999999999999"/>
    <n v="47"/>
  </r>
  <r>
    <s v="TR611"/>
    <s v="Oymapınar Barajı ve HES"/>
    <x v="21"/>
    <s v="Baraj"/>
    <n v="1984"/>
    <n v="540"/>
    <n v="1620"/>
  </r>
  <r>
    <s v="TR412"/>
    <s v="Beyköy HES"/>
    <x v="31"/>
    <s v="Kanal"/>
    <n v="2000"/>
    <n v="16.8"/>
    <n v="87.2"/>
  </r>
  <r>
    <s v="TR831"/>
    <s v="Ataköy Barajı ve HES"/>
    <x v="3"/>
    <s v="Baraj"/>
    <n v="1989"/>
    <n v="5.5"/>
    <n v="8"/>
  </r>
  <r>
    <s v="TRA11"/>
    <s v="Kuzgun Barajı ve HES"/>
    <x v="32"/>
    <s v="Baraj"/>
    <n v="1999"/>
    <n v="20.9"/>
    <n v="36"/>
  </r>
  <r>
    <s v="TRA12"/>
    <s v="Tercan Barajı ve HES"/>
    <x v="15"/>
    <s v="Baraj"/>
    <n v="1990"/>
    <n v="15"/>
    <n v="51"/>
  </r>
  <r>
    <s v="TRB14"/>
    <s v="Mercan-Ovacık HES"/>
    <x v="17"/>
    <s v="Kanal"/>
    <n v="2003"/>
    <n v="19.2"/>
    <n v="78"/>
  </r>
  <r>
    <s v="TR904"/>
    <s v="İkizdere HES"/>
    <x v="33"/>
    <s v="Kanal"/>
    <n v="1961"/>
    <n v="18.600000000000001"/>
    <n v="110"/>
  </r>
  <r>
    <s v="TRA22"/>
    <s v="Çıldır  HES"/>
    <x v="8"/>
    <s v="Göl"/>
    <n v="1975"/>
    <n v="15.36"/>
    <n v="48"/>
  </r>
  <r>
    <s v="TR411"/>
    <s v="İnegöl-Cerrah HES"/>
    <x v="12"/>
    <s v="Kanal"/>
    <n v="1952"/>
    <n v="1.181"/>
    <n v="4"/>
  </r>
  <r>
    <s v="TR411"/>
    <s v="İznik-Dereköy HES"/>
    <x v="12"/>
    <s v="Kanal"/>
    <n v="1952"/>
    <n v="0.71499999999999997"/>
    <n v="3"/>
  </r>
  <r>
    <s v="TR333"/>
    <s v="Kayaköy HES"/>
    <x v="34"/>
    <s v="Kanal"/>
    <n v="1960"/>
    <n v="2.56"/>
    <n v="8"/>
  </r>
  <r>
    <s v="TR713"/>
    <s v="Çamardı HES"/>
    <x v="35"/>
    <s v="Kanal"/>
    <n v="1965"/>
    <n v="6.88E-2"/>
    <n v="0.6"/>
  </r>
  <r>
    <s v="TRA12"/>
    <s v="Girlevik II HES"/>
    <x v="15"/>
    <s v="Kanal"/>
    <n v="2001"/>
    <n v="2.64"/>
    <n v="43"/>
  </r>
  <r>
    <s v="TRA12"/>
    <s v="Mercan HES"/>
    <x v="15"/>
    <s v="Kanal"/>
    <n v="2001"/>
    <n v="8.94"/>
    <m/>
  </r>
  <r>
    <s v="TRB11"/>
    <s v="Tohma-Medik HES"/>
    <x v="16"/>
    <s v="Kanal"/>
    <n v="1998"/>
    <n v="12.5"/>
    <n v="59"/>
  </r>
  <r>
    <s v="TR721"/>
    <s v="Çamlıca I Barajı ve HES"/>
    <x v="20"/>
    <s v="Kanal"/>
    <n v="1998"/>
    <n v="84"/>
    <n v="429"/>
  </r>
  <r>
    <s v="TR721"/>
    <s v="Yamula Barajı ve HES"/>
    <x v="20"/>
    <s v="Baraj"/>
    <n v="2005"/>
    <n v="100"/>
    <n v="423.5"/>
  </r>
  <r>
    <s v="TRC21"/>
    <s v="Birecik Barajı ve HES"/>
    <x v="36"/>
    <s v="Baraj"/>
    <n v="2000"/>
    <n v="672"/>
    <n v="2516"/>
  </r>
  <r>
    <s v="TR612"/>
    <s v="Çayköy (Aksu) HES"/>
    <x v="25"/>
    <s v="Kanal"/>
    <n v="1989"/>
    <n v="13"/>
    <n v="36"/>
  </r>
  <r>
    <s v="TR332"/>
    <s v="Dinar II HES"/>
    <x v="37"/>
    <s v="Kanal"/>
    <n v="2000"/>
    <n v="3"/>
    <n v="22.3"/>
  </r>
  <r>
    <s v="TR612"/>
    <s v="Sütçüler HES"/>
    <x v="25"/>
    <s v="Kanal"/>
    <n v="1998"/>
    <n v="2.2000000000000002"/>
    <n v="12.22"/>
  </r>
  <r>
    <s v="TR722"/>
    <s v="Ahiköy I HES"/>
    <x v="38"/>
    <s v="Kanal"/>
    <n v="1999"/>
    <n v="2.1259999999999999"/>
    <n v="11.435"/>
  </r>
  <r>
    <s v="TR722"/>
    <s v="Ahiköy II HES"/>
    <x v="38"/>
    <s v="Kanal"/>
    <n v="2000"/>
    <n v="2.4980000000000002"/>
    <n v="11.307"/>
  </r>
  <r>
    <s v="TR632"/>
    <s v="Suçatı Barajı ve HES"/>
    <x v="6"/>
    <s v="Baraj"/>
    <n v="2000"/>
    <n v="7"/>
    <n v="28"/>
  </r>
  <r>
    <s v="TR322"/>
    <s v="Çal HES"/>
    <x v="39"/>
    <s v="Kanal"/>
    <n v="2001"/>
    <n v="2.2000000000000002"/>
    <n v="11.75"/>
  </r>
  <r>
    <s v="TR323"/>
    <s v="Fethiye HES"/>
    <x v="40"/>
    <s v="Kanal"/>
    <n v="1999"/>
    <n v="16.5"/>
    <n v="90"/>
  </r>
  <r>
    <s v="TRA22"/>
    <s v="Gaziler HES"/>
    <x v="8"/>
    <s v="Kanal"/>
    <n v="2002"/>
    <n v="11.1"/>
    <n v="50"/>
  </r>
  <r>
    <s v="TR221"/>
    <s v="Gönen Barajı ve HES"/>
    <x v="41"/>
    <s v="Baraj"/>
    <n v="1998"/>
    <n v="10.6"/>
    <n v="47"/>
  </r>
  <r>
    <s v="TRB12"/>
    <s v="Hazar I (İHD) HES"/>
    <x v="42"/>
    <s v="Kanal"/>
    <n v="1957"/>
    <n v="20.12"/>
    <n v="60"/>
  </r>
  <r>
    <s v="TRB12"/>
    <s v="Hazar II (İHD) HES"/>
    <x v="42"/>
    <s v="Kanal"/>
    <n v="1967"/>
    <n v="10"/>
    <m/>
  </r>
  <r>
    <s v="TR901"/>
    <s v="Açma HES"/>
    <x v="11"/>
    <s v="Kanal"/>
    <n v="2013"/>
    <n v="2.4"/>
    <n v="10"/>
  </r>
  <r>
    <s v="TR904"/>
    <s v="Adacami HES"/>
    <x v="33"/>
    <s v="Kanal"/>
    <d v="2013-07-05T00:00:00"/>
    <n v="29.303999999999998"/>
    <n v="109"/>
  </r>
  <r>
    <s v="TR422"/>
    <s v="Adasu HES"/>
    <x v="0"/>
    <s v="Kanal"/>
    <n v="2013"/>
    <n v="9.6"/>
    <n v="56.16"/>
  </r>
  <r>
    <s v="TR902"/>
    <s v="Ağkolu HES"/>
    <x v="43"/>
    <s v="Kanal"/>
    <d v="2013-10-23T00:00:00"/>
    <n v="4.38"/>
    <n v="18"/>
  </r>
  <r>
    <s v="TR322"/>
    <s v="Akbaş HES"/>
    <x v="39"/>
    <s v="Kanal"/>
    <d v="2013-10-09T00:00:00"/>
    <n v="12.502000000000001"/>
    <n v="45.5"/>
  </r>
  <r>
    <s v="TR321"/>
    <s v="Akçay HES"/>
    <x v="44"/>
    <s v="Kanal"/>
    <n v="2009"/>
    <n v="28.78"/>
    <n v="94.88"/>
  </r>
  <r>
    <s v="TR821"/>
    <s v="Akkaya HES"/>
    <x v="45"/>
    <s v="Kanal"/>
    <d v="2013-02-14T00:00:00"/>
    <n v="4.4000000000000004"/>
    <n v="14.41"/>
  </r>
  <r>
    <s v="TR322"/>
    <s v="Akkent-Çalkuyucak HES"/>
    <x v="39"/>
    <s v="Kanal"/>
    <d v="2013-10-09T00:00:00"/>
    <n v="13.49"/>
    <n v="39.89"/>
  </r>
  <r>
    <s v="TR903"/>
    <s v="Akköy-Espiye HES"/>
    <x v="46"/>
    <s v="Kanal"/>
    <d v="2012-05-06T00:00:00"/>
    <n v="13.37"/>
    <n v="58"/>
  </r>
  <r>
    <s v="TR906"/>
    <s v="Akköy I Barajı ve HES"/>
    <x v="47"/>
    <s v="Baraj"/>
    <n v="2008"/>
    <n v="101.94"/>
    <n v="315"/>
  </r>
  <r>
    <s v="TR906"/>
    <s v="Akköy II Barajı ve HES"/>
    <x v="47"/>
    <s v="Baraj"/>
    <d v="2012-06-01T00:00:00"/>
    <n v="229.68"/>
    <n v="900"/>
  </r>
  <r>
    <s v="TR901"/>
    <s v="Akocak HES"/>
    <x v="11"/>
    <s v="Kanal"/>
    <n v="2008"/>
    <n v="81"/>
    <n v="257"/>
  </r>
  <r>
    <s v="TRA11"/>
    <s v="Aksu Reg. ve HES"/>
    <x v="32"/>
    <s v="Kanal"/>
    <n v="2006"/>
    <n v="27.27"/>
    <n v="86.39"/>
  </r>
  <r>
    <s v="TR611"/>
    <s v="Aksu Reg. ve Şahmallar HES "/>
    <x v="21"/>
    <s v="Kanal"/>
    <n v="2006"/>
    <n v="14"/>
    <n v="55.61"/>
  </r>
  <r>
    <s v="TRA11"/>
    <s v="Alabalık I-II Reg. ve HES"/>
    <x v="32"/>
    <s v="Kanal"/>
    <n v="2012"/>
    <n v="16.32"/>
    <n v="42.14"/>
  </r>
  <r>
    <s v="TR611"/>
    <s v="Alakır HES"/>
    <x v="21"/>
    <s v="Kanal"/>
    <n v="2010"/>
    <n v="2.06"/>
    <n v="14.06"/>
  </r>
  <r>
    <s v="TRC34"/>
    <s v="Alkumru Barajı ve HES"/>
    <x v="48"/>
    <s v="Baraj"/>
    <d v="2011-04-12T00:00:00"/>
    <n v="275.52"/>
    <n v="900"/>
  </r>
  <r>
    <s v="TR722"/>
    <s v="Altıntepe-Suşehri HES "/>
    <x v="38"/>
    <s v="Kanal"/>
    <n v="2007"/>
    <n v="4.0819999999999999"/>
    <n v="24.306999999999999"/>
  </r>
  <r>
    <s v="TR722"/>
    <s v="Beypınarı-Suşehri HES "/>
    <x v="38"/>
    <s v="Kanal"/>
    <n v="2007"/>
    <n v="3.69"/>
    <n v="23.103999999999999"/>
  </r>
  <r>
    <s v="TR722"/>
    <s v="Gölova HES-Suşehri HES "/>
    <x v="38"/>
    <s v="Kanal"/>
    <n v="2009"/>
    <n v="1.05"/>
    <n v="4"/>
  </r>
  <r>
    <s v="TR722"/>
    <s v="Konak-Suşehri HES"/>
    <x v="38"/>
    <s v="Kanal"/>
    <n v="2007"/>
    <n v="4.016"/>
    <n v="25.16"/>
  </r>
  <r>
    <s v="TR722"/>
    <s v="Sevindik HES-Suşehri HES "/>
    <x v="38"/>
    <s v="Kanal"/>
    <n v="2009"/>
    <n v="5.7140000000000004"/>
    <n v="25"/>
  </r>
  <r>
    <s v="TR611"/>
    <s v="Anak HES"/>
    <x v="21"/>
    <s v="Kanal"/>
    <d v="2012-04-27T00:00:00"/>
    <n v="3.76"/>
    <n v="15.07"/>
  </r>
  <r>
    <s v="TR632"/>
    <s v="Andırın  HES"/>
    <x v="6"/>
    <s v="Kanal"/>
    <n v="2007"/>
    <n v="40.5"/>
    <n v="105"/>
  </r>
  <r>
    <s v="TR903"/>
    <s v="Araklı I Reg. ve HES"/>
    <x v="46"/>
    <s v="Kanal"/>
    <d v="2012-06-29T00:00:00"/>
    <n v="14.91"/>
    <n v="50"/>
  </r>
  <r>
    <s v="TR901"/>
    <s v="Araklı IV. Reg. ve HES"/>
    <x v="11"/>
    <s v="Kanal"/>
    <d v="2013-05-14T00:00:00"/>
    <n v="8.9109999999999996"/>
    <n v="25.8"/>
  </r>
  <r>
    <s v="TR905"/>
    <s v="Aralık HES"/>
    <x v="9"/>
    <s v="Kanal"/>
    <n v="2010"/>
    <n v="12.41"/>
    <n v="40"/>
  </r>
  <r>
    <s v="TR901"/>
    <s v="Arca Reg. ve HES"/>
    <x v="11"/>
    <s v="Kanal"/>
    <d v="2012-04-06T00:00:00"/>
    <n v="16.350000000000001"/>
    <n v="58.18"/>
  </r>
  <r>
    <s v="TR905"/>
    <s v="Arpa Reg. ve HES"/>
    <x v="9"/>
    <s v="Kanal"/>
    <d v="2012-08-16T00:00:00"/>
    <n v="32.409999999999997"/>
    <n v="76.36"/>
  </r>
  <r>
    <s v="TR903"/>
    <s v="Aslancık Barajı HES"/>
    <x v="46"/>
    <s v="Baraj"/>
    <d v="2013-09-24T00:00:00"/>
    <n v="93"/>
    <n v="340"/>
  </r>
  <r>
    <s v="TR323"/>
    <s v="Aşağıdalaman I HES (OTOP)"/>
    <x v="40"/>
    <s v="Kanal"/>
    <n v="2000"/>
    <n v="7.5"/>
    <n v="30"/>
  </r>
  <r>
    <s v="TR323"/>
    <s v="Aşağıdalaman II HES (OTOP)"/>
    <x v="40"/>
    <s v="Kanal"/>
    <n v="2001"/>
    <n v="7.5"/>
    <n v="30"/>
  </r>
  <r>
    <s v="TR323"/>
    <s v="Aşağıdalaman III HES (OTOP)"/>
    <x v="40"/>
    <s v="Kanal"/>
    <n v="2002"/>
    <n v="7.5"/>
    <n v="30"/>
  </r>
  <r>
    <s v="TR323"/>
    <s v="Aşağıdalaman IV HES (OTOP)"/>
    <x v="40"/>
    <s v="Kanal"/>
    <n v="2002"/>
    <n v="7.5"/>
    <n v="30"/>
  </r>
  <r>
    <s v="TR323"/>
    <s v="Aşağıdalaman V HES (OTOP)"/>
    <x v="40"/>
    <s v="Kanal"/>
    <n v="2003"/>
    <n v="7.5"/>
    <n v="30"/>
  </r>
  <r>
    <s v="TR714"/>
    <s v="Avanos Reg. ve Cemel HES"/>
    <x v="49"/>
    <s v="Kanal"/>
    <d v="2013-05-29T00:00:00"/>
    <n v="19.53"/>
    <n v="80.260000000000005"/>
  </r>
  <r>
    <s v="TR632"/>
    <s v="Avcılar Reg. ve  HES"/>
    <x v="6"/>
    <s v="Kanal"/>
    <d v="2012-04-04T00:00:00"/>
    <n v="16.742999999999999"/>
    <n v="46.395000000000003"/>
  </r>
  <r>
    <s v="TR823"/>
    <s v="Ayancık HES"/>
    <x v="50"/>
    <s v="Kanal"/>
    <n v="2012"/>
    <n v="8.58"/>
    <n v="30.03"/>
  </r>
  <r>
    <s v="TR904"/>
    <s v="Ayvasıl Reg. ve HES"/>
    <x v="33"/>
    <s v="Kanal"/>
    <d v="2012-12-15T00:00:00"/>
    <n v="4.42"/>
    <n v="13.65"/>
  </r>
  <r>
    <s v="TR622"/>
    <s v="Azmak I-II ve Kirpilik HES"/>
    <x v="30"/>
    <s v="Kanal"/>
    <n v="2010"/>
    <n v="24.407"/>
    <n v="90.5"/>
  </r>
  <r>
    <s v="TR323"/>
    <s v="Bağcı-Beyobası HES (OTOP)"/>
    <x v="40"/>
    <s v="Kanal"/>
    <n v="1998"/>
    <n v="0.3"/>
    <n v="1.7"/>
  </r>
  <r>
    <s v="TRB24"/>
    <s v="Bağışlı Reg. ve HES"/>
    <x v="24"/>
    <s v="Kanal"/>
    <n v="2009"/>
    <n v="29.571999999999999"/>
    <n v="95"/>
  </r>
  <r>
    <s v="TRA12"/>
    <s v="Bağıştaş II  HES"/>
    <x v="15"/>
    <s v="Kanal"/>
    <n v="2012"/>
    <n v="48.6"/>
    <n v="181.25"/>
  </r>
  <r>
    <s v="TR901"/>
    <s v="Balkodu I Reg. ve HES"/>
    <x v="11"/>
    <s v="Kanal"/>
    <d v="2011-08-05T00:00:00"/>
    <n v="9.19"/>
    <n v="35"/>
  </r>
  <r>
    <s v="TR522"/>
    <s v="Balkusan Barajı ve HES"/>
    <x v="10"/>
    <s v="Baraj"/>
    <d v="2012-08-04T00:00:00"/>
    <n v="38"/>
    <n v="120.5"/>
  </r>
  <r>
    <s v="TR901"/>
    <s v="Bangal Reg. ve Kuşluk HES"/>
    <x v="11"/>
    <s v="Kanal"/>
    <d v="2012-05-16T00:00:00"/>
    <n v="17.52"/>
    <n v="56"/>
  </r>
  <r>
    <s v="TR813"/>
    <s v="Başak HES"/>
    <x v="28"/>
    <s v="Kanal"/>
    <n v="2010"/>
    <n v="6.85"/>
    <n v="21.5"/>
  </r>
  <r>
    <s v="TR321"/>
    <s v="Başaran HES "/>
    <x v="44"/>
    <s v="Kanal"/>
    <n v="2006"/>
    <n v="0.55000000000000004"/>
    <n v="4.2699999999999996"/>
  </r>
  <r>
    <s v="TRA13"/>
    <s v="Bayburt HES"/>
    <x v="27"/>
    <s v="Kanal"/>
    <n v="2010"/>
    <n v="14.63"/>
    <n v="60"/>
  </r>
  <r>
    <s v="TR714"/>
    <s v="Bayramhacılı Barajı ve HES"/>
    <x v="49"/>
    <s v="Baraj"/>
    <d v="2011-01-20T00:00:00"/>
    <n v="47"/>
    <n v="166"/>
  </r>
  <r>
    <s v="TRC11"/>
    <s v="Bayramlı HES"/>
    <x v="51"/>
    <s v="Kanal"/>
    <d v="2012-06-28T00:00:00"/>
    <n v="0.66"/>
    <n v="3.2"/>
  </r>
  <r>
    <s v="TR834"/>
    <s v="Bektemur HES"/>
    <x v="4"/>
    <s v="Kanal"/>
    <n v="2012"/>
    <n v="3.6"/>
    <n v="19.286999999999999"/>
  </r>
  <r>
    <s v="TR322"/>
    <s v="Bereket I HES (Serbest Ürt)"/>
    <x v="39"/>
    <s v="Kanal"/>
    <n v="1997"/>
    <n v="3.15"/>
    <n v="16"/>
  </r>
  <r>
    <s v="TR322"/>
    <s v="Bereket II HES (Serbest Ürt)"/>
    <x v="39"/>
    <s v="Kanal"/>
    <n v="1997"/>
    <m/>
    <m/>
  </r>
  <r>
    <s v="TR821"/>
    <s v="Berke HES"/>
    <x v="45"/>
    <s v="Kanal"/>
    <d v="2013-09-18T00:00:00"/>
    <n v="9.3800000000000008"/>
    <n v="23.58"/>
  </r>
  <r>
    <s v="TR622"/>
    <s v="Birkapılı HES (Serbest Ürt)"/>
    <x v="30"/>
    <s v="Kanal"/>
    <n v="2004"/>
    <n v="48.5"/>
    <n v="74.8"/>
  </r>
  <r>
    <s v="TR823"/>
    <s v="Boyabat Barajı ve HES"/>
    <x v="50"/>
    <s v="Baraj"/>
    <n v="2012"/>
    <n v="513"/>
    <n v="1470"/>
  </r>
  <r>
    <s v="TR902"/>
    <s v="Boztepe Reg. ve HES"/>
    <x v="43"/>
    <s v="Kanal"/>
    <n v="2013"/>
    <n v="18.149999999999999"/>
    <n v="63.524999999999991"/>
  </r>
  <r>
    <s v="TR611"/>
    <s v="Bucakköy HES"/>
    <x v="21"/>
    <s v="Kanal"/>
    <d v="2012-12-21T00:00:00"/>
    <n v="9.6"/>
    <n v="44"/>
  </r>
  <r>
    <s v="TRC12"/>
    <s v="Bulam Reg ve  HES"/>
    <x v="26"/>
    <s v="Kanal"/>
    <n v="2010"/>
    <n v="7.11"/>
    <n v="33"/>
  </r>
  <r>
    <s v="TR903"/>
    <s v="Burçak  HES"/>
    <x v="46"/>
    <s v="Kanal"/>
    <d v="2013-02-11T00:00:00"/>
    <n v="66.290000000000006"/>
    <n v="224"/>
  </r>
  <r>
    <s v="TRC12"/>
    <s v="Burç Bendi ve HES"/>
    <x v="26"/>
    <s v="Kanal"/>
    <n v="2004"/>
    <n v="27.9"/>
    <n v="112"/>
  </r>
  <r>
    <s v="TR413"/>
    <s v="Bükor II HES"/>
    <x v="1"/>
    <s v="Kanal"/>
    <d v="2013-05-30T00:00:00"/>
    <n v="12.597"/>
    <n v="58.11"/>
  </r>
  <r>
    <s v="TR906"/>
    <s v="Büyükdüz HES"/>
    <x v="47"/>
    <s v="Kanal"/>
    <d v="2012-05-31T00:00:00"/>
    <n v="68.861999999999995"/>
    <n v="192"/>
  </r>
  <r>
    <s v="TRA22"/>
    <s v="Can I HES"/>
    <x v="8"/>
    <s v="Kanal"/>
    <d v="2012-07-20T00:00:00"/>
    <n v="1.853"/>
    <n v="11"/>
  </r>
  <r>
    <s v="TR905"/>
    <s v="Cansu HES "/>
    <x v="9"/>
    <s v="Kanal"/>
    <n v="2008"/>
    <n v="11"/>
    <n v="47"/>
  </r>
  <r>
    <s v="TR901"/>
    <s v="Cevher I-II HES"/>
    <x v="11"/>
    <s v="Kanal"/>
    <n v="2011"/>
    <n v="16.375"/>
    <n v="51.18"/>
  </r>
  <r>
    <s v="TR424"/>
    <s v="Cevizlidere HES"/>
    <x v="52"/>
    <s v="Kanal"/>
    <d v="2013-01-28T00:00:00"/>
    <n v="3.4079999999999999"/>
    <n v="10.351000000000001"/>
  </r>
  <r>
    <s v="TR904"/>
    <s v="Cevizlik Barajı ve HES"/>
    <x v="33"/>
    <s v="Kanal"/>
    <n v="2010"/>
    <n v="91.54"/>
    <n v="360"/>
  </r>
  <r>
    <s v="TR633"/>
    <s v="Ceyhan Barajı ve HES"/>
    <x v="13"/>
    <s v="Baraj"/>
    <n v="2010"/>
    <n v="60"/>
    <n v="250"/>
  </r>
  <r>
    <s v="TR322"/>
    <s v="Cindere Barajı ve HES"/>
    <x v="39"/>
    <s v="Baraj"/>
    <n v="2010"/>
    <n v="28.72"/>
    <n v="88.1"/>
  </r>
  <r>
    <s v="TR901"/>
    <s v="Cüniş Reg. ve HES"/>
    <x v="11"/>
    <s v="Kanal"/>
    <d v="2012-07-28T00:00:00"/>
    <n v="8.41"/>
    <n v="29.260999999999999"/>
  </r>
  <r>
    <s v="TR901"/>
    <s v="Çağlayan Reg. ve HES"/>
    <x v="11"/>
    <s v="Kanal"/>
    <d v="2012-10-17T00:00:00"/>
    <n v="6"/>
    <n v="24"/>
  </r>
  <r>
    <s v="TR905"/>
    <s v="Çakırlar HES"/>
    <x v="9"/>
    <s v="Kanal"/>
    <n v="2009"/>
    <n v="16.206"/>
    <n v="59.927999999999997"/>
  </r>
  <r>
    <s v="TRA12"/>
    <s v="Çakırman Reg. ve HES"/>
    <x v="15"/>
    <s v="Kanal"/>
    <d v="2011-02-19T00:00:00"/>
    <n v="6.98"/>
    <n v="22"/>
  </r>
  <r>
    <s v="TR621"/>
    <s v="Çakıt HES"/>
    <x v="53"/>
    <s v="Kanal"/>
    <n v="2011"/>
    <n v="20"/>
    <n v="95"/>
  </r>
  <r>
    <s v="TR323"/>
    <s v="Çaldere HES "/>
    <x v="40"/>
    <s v="Kanal"/>
    <n v="2008"/>
    <n v="8.74"/>
    <n v="35"/>
  </r>
  <r>
    <s v="TRA12"/>
    <s v="Çalkışla Reg. ve HES "/>
    <x v="15"/>
    <s v="Kanal"/>
    <n v="2008"/>
    <n v="12.63"/>
    <n v="17.260000000000002"/>
  </r>
  <r>
    <s v="TR901"/>
    <s v="Çambaşı Reg. ve HES"/>
    <x v="11"/>
    <s v="Kanal"/>
    <d v="2013-12-05T00:00:00"/>
    <n v="44.1"/>
    <n v="160"/>
  </r>
  <r>
    <s v="TR721"/>
    <s v="Çamlıca Iıı Barajı ve  HES"/>
    <x v="20"/>
    <s v="Baraj"/>
    <d v="2011-04-01T00:00:00"/>
    <n v="27.617999999999999"/>
    <n v="94.47"/>
  </r>
  <r>
    <s v="TR901"/>
    <s v="Çamlıkaya HES"/>
    <x v="11"/>
    <s v="Kanal"/>
    <d v="2011-08-11T00:00:00"/>
    <n v="8.4719999999999995"/>
    <n v="35.1"/>
  </r>
  <r>
    <s v="TR901"/>
    <s v="Çanakçı HES"/>
    <x v="11"/>
    <s v="Kanal"/>
    <d v="2011-09-29T00:00:00"/>
    <n v="9.16"/>
    <n v="33"/>
  </r>
  <r>
    <s v="TR831"/>
    <s v="Çarşamba Reg. ve HES"/>
    <x v="3"/>
    <s v="Kanal"/>
    <d v="2012-08-30T00:00:00"/>
    <n v="11.31"/>
    <n v="62.768000000000001"/>
  </r>
  <r>
    <s v="TR632"/>
    <s v="Çataloluk HES"/>
    <x v="6"/>
    <s v="Kanal"/>
    <n v="2011"/>
    <n v="9.5399999999999991"/>
    <n v="32"/>
  </r>
  <r>
    <s v="TR221"/>
    <s v="Çaygören Barajı ve HES "/>
    <x v="41"/>
    <s v="Baraj"/>
    <n v="2006"/>
    <n v="3.6"/>
    <n v="20.66"/>
  </r>
  <r>
    <s v="TR424"/>
    <s v="Çeltikdere HES"/>
    <x v="52"/>
    <s v="Kanal"/>
    <d v="2012-10-16T00:00:00"/>
    <n v="2.15"/>
    <n v="6.2590000000000003"/>
  </r>
  <r>
    <s v="TR611"/>
    <s v="Çenger Reg. ve HES"/>
    <x v="21"/>
    <s v="Kanal"/>
    <n v="2012"/>
    <n v="20.12"/>
    <n v="32.29"/>
  </r>
  <r>
    <s v="TR722"/>
    <s v="Çermikler Barajı ve HES"/>
    <x v="38"/>
    <s v="Baraj"/>
    <d v="2013-07-30T00:00:00"/>
    <n v="25"/>
    <n v="80"/>
  </r>
  <r>
    <s v="TR510"/>
    <s v="Çeşmebaşı HES"/>
    <x v="54"/>
    <s v="Kanal"/>
    <d v="2011-01-12T00:00:00"/>
    <n v="8.1999999999999993"/>
    <n v="60"/>
  </r>
  <r>
    <s v="TR423"/>
    <s v="Çınar I HES"/>
    <x v="29"/>
    <s v="Kanal"/>
    <d v="2012-03-23T00:00:00"/>
    <n v="9.26"/>
    <n v="35"/>
  </r>
  <r>
    <s v="TR903"/>
    <s v="Çırakdamı Reg. ve HES"/>
    <x v="46"/>
    <s v="Kanal"/>
    <n v="2012"/>
    <n v="48.5"/>
    <n v="140"/>
  </r>
  <r>
    <s v="TR905"/>
    <s v="Çifteköprü HES "/>
    <x v="9"/>
    <s v="Kanal"/>
    <n v="2013"/>
    <n v="7.77"/>
    <n v="31.17"/>
  </r>
  <r>
    <s v="TR903"/>
    <s v="Çiğdem Reg. ve HES"/>
    <x v="46"/>
    <s v="Kanal"/>
    <d v="2013-08-13T00:00:00"/>
    <n v="17.7"/>
    <n v="50"/>
  </r>
  <r>
    <s v="TR722"/>
    <s v="Çobanlı HES"/>
    <x v="38"/>
    <s v="Kanal"/>
    <d v="2013-02-08T00:00:00"/>
    <n v="19.03"/>
    <n v="70"/>
  </r>
  <r>
    <s v="TR621"/>
    <s v="Çoraklı HES"/>
    <x v="53"/>
    <s v="Kanal"/>
    <d v="2013-11-14T00:00:00"/>
    <n v="2.6"/>
    <n v="12"/>
  </r>
  <r>
    <s v="TR612"/>
    <s v="Çukurçayı HES"/>
    <x v="25"/>
    <s v="Kanal"/>
    <d v="2011-11-03T00:00:00"/>
    <n v="3.6"/>
    <n v="16.510000000000002"/>
  </r>
  <r>
    <s v="TR522"/>
    <s v="Damlapınar HES"/>
    <x v="10"/>
    <s v="Kanal"/>
    <n v="2011"/>
    <n v="16.425000000000001"/>
    <n v="92.2"/>
  </r>
  <r>
    <s v="TR522"/>
    <s v="Daran  HES"/>
    <x v="10"/>
    <s v="Kanal"/>
    <d v="2013-01-23T00:00:00"/>
    <n v="63.878"/>
    <n v="185"/>
  </r>
  <r>
    <s v="TR413"/>
    <s v="Darca HES"/>
    <x v="1"/>
    <s v="Topuk Sant."/>
    <d v="2011-05-26T00:00:00"/>
    <n v="8.92"/>
    <n v="63"/>
  </r>
  <r>
    <s v="TR902"/>
    <s v="Darıca HES I"/>
    <x v="43"/>
    <s v="Kanal"/>
    <n v="2009"/>
    <n v="110.32"/>
    <n v="370"/>
  </r>
  <r>
    <s v="TR322"/>
    <s v="Darıveren HES"/>
    <x v="39"/>
    <s v="Kanal"/>
    <n v="2013"/>
    <n v="3.0649999999999999"/>
    <n v="5.64"/>
  </r>
  <r>
    <s v="TR423"/>
    <s v="Defne HES"/>
    <x v="29"/>
    <s v="Kanal"/>
    <n v="2009"/>
    <n v="7.23"/>
    <n v="22"/>
  </r>
  <r>
    <s v="TR906"/>
    <s v="Değirmen HES"/>
    <x v="47"/>
    <s v="Kanal"/>
    <d v="2013-06-10T00:00:00"/>
    <n v="13"/>
    <n v="45"/>
  </r>
  <r>
    <s v="TR632"/>
    <s v="Değirmenüstü HES"/>
    <x v="6"/>
    <s v="Kanal"/>
    <n v="2008"/>
    <n v="38.72"/>
    <n v="114.26"/>
  </r>
  <r>
    <s v="TR322"/>
    <s v="Demirciler HES"/>
    <x v="39"/>
    <s v="Kanal"/>
    <d v="2012-08-03T00:00:00"/>
    <n v="9.4"/>
    <n v="30.5"/>
  </r>
  <r>
    <s v="TR411"/>
    <s v="Devecikonağı Barajı ve HES"/>
    <x v="12"/>
    <s v="Baraj"/>
    <d v="2013-08-20T00:00:00"/>
    <n v="23"/>
    <n v="46"/>
  </r>
  <r>
    <s v="TR611"/>
    <s v="Dim Barajı ve HES"/>
    <x v="21"/>
    <s v="Baraj"/>
    <n v="2010"/>
    <n v="38.25"/>
    <n v="123"/>
  </r>
  <r>
    <s v="TRB14"/>
    <s v="Dinar Reg. ve HES"/>
    <x v="17"/>
    <s v="Kanal"/>
    <n v="2010"/>
    <n v="4.4400000000000004"/>
    <n v="16"/>
  </r>
  <r>
    <s v="TR622"/>
    <s v="Dinç Reg. ve HES"/>
    <x v="30"/>
    <s v="Kanal"/>
    <d v="2013-02-01T00:00:00"/>
    <n v="1.97"/>
    <n v="11"/>
  </r>
  <r>
    <s v="TR905"/>
    <s v="Diyoban HES"/>
    <x v="9"/>
    <s v="Kanal"/>
    <n v="2013"/>
    <n v="19.04"/>
    <n v="35.79"/>
  </r>
  <r>
    <s v="TR322"/>
    <s v="Dodurgalar HES"/>
    <x v="39"/>
    <s v="Kanal"/>
    <n v="2010"/>
    <n v="3.66"/>
    <n v="14.904"/>
  </r>
  <r>
    <s v="TRC12"/>
    <s v="Doğankaya HES"/>
    <x v="26"/>
    <s v="Kanal"/>
    <d v="2012-04-20T00:00:00"/>
    <n v="20.55"/>
    <n v="97.96"/>
  </r>
  <r>
    <s v="TR903"/>
    <s v="Doruk HES (Akfen)"/>
    <x v="46"/>
    <s v="Kanal"/>
    <n v="2013"/>
    <n v="28.277999999999999"/>
    <n v="85"/>
  </r>
  <r>
    <s v="TRA11"/>
    <s v="Dumlu Reg. ve HES"/>
    <x v="32"/>
    <s v="Kanal"/>
    <d v="2012-09-15T00:00:00"/>
    <n v="4.1900000000000004"/>
    <n v="11"/>
  </r>
  <r>
    <s v="TR834"/>
    <s v="Duru I Reg ve HES"/>
    <x v="4"/>
    <s v="Kanal"/>
    <d v="2013-03-14T00:00:00"/>
    <n v="5.39"/>
    <n v="20.07"/>
  </r>
  <r>
    <s v="TR834"/>
    <s v="Duru II Reg. ve HES"/>
    <x v="4"/>
    <s v="Kanal"/>
    <d v="2011-02-25T00:00:00"/>
    <n v="4.6900000000000004"/>
    <n v="16"/>
  </r>
  <r>
    <s v="TR322"/>
    <s v="Ege I HES"/>
    <x v="39"/>
    <s v="Kanal"/>
    <n v="2009"/>
    <n v="0.92"/>
    <n v="4.38"/>
  </r>
  <r>
    <s v="TR411"/>
    <s v="Egemen I HES"/>
    <x v="12"/>
    <s v="Kanal"/>
    <n v="2009"/>
    <n v="19.920000000000002"/>
    <n v="72"/>
  </r>
  <r>
    <s v="TR333"/>
    <s v="Eğer HES"/>
    <x v="34"/>
    <s v="Kanal"/>
    <d v="2012-01-19T00:00:00"/>
    <n v="1.92"/>
    <n v="10"/>
  </r>
  <r>
    <s v="TR621"/>
    <s v="Eğlence I HES"/>
    <x v="53"/>
    <s v="Kanal"/>
    <d v="2013-05-27T00:00:00"/>
    <n v="42.65"/>
    <n v="130"/>
  </r>
  <r>
    <s v="TR621"/>
    <s v="Eğlence II HES"/>
    <x v="53"/>
    <s v="Kanal"/>
    <d v="2013-04-11T00:00:00"/>
    <n v="26"/>
    <n v="85"/>
  </r>
  <r>
    <s v="TR633"/>
    <s v="Erem HES"/>
    <x v="13"/>
    <s v="Kanal"/>
    <d v="2013-09-03T00:00:00"/>
    <n v="3.05"/>
    <n v="12.5"/>
  </r>
  <r>
    <s v="TR905"/>
    <s v="Erenköy HES"/>
    <x v="9"/>
    <s v="Kanal"/>
    <n v="2012"/>
    <n v="22.5"/>
    <n v="86.97"/>
  </r>
  <r>
    <s v="TR905"/>
    <s v="Erenler HES"/>
    <x v="9"/>
    <s v="Kanal"/>
    <n v="2012"/>
    <n v="45"/>
    <n v="125"/>
  </r>
  <r>
    <s v="TR823"/>
    <s v="Erfelek HES"/>
    <x v="50"/>
    <s v="Kanal"/>
    <n v="2012"/>
    <n v="6.45"/>
    <n v="20"/>
  </r>
  <r>
    <s v="TRC12"/>
    <s v="Erkenek Reg. ve HES"/>
    <x v="26"/>
    <s v="Kanal"/>
    <n v="2009"/>
    <n v="13.03"/>
    <n v="52"/>
  </r>
  <r>
    <s v="TRA11"/>
    <s v="Esendurak HES"/>
    <x v="32"/>
    <s v="Kanal"/>
    <n v="2012"/>
    <n v="9.33"/>
    <n v="42"/>
  </r>
  <r>
    <s v="TR611"/>
    <s v="Eskiköy HES"/>
    <x v="21"/>
    <s v="Kanal"/>
    <d v="2013-06-13T00:00:00"/>
    <n v="2.63"/>
    <n v="9.4499999999999993"/>
  </r>
  <r>
    <s v="TR323"/>
    <s v="Eşen I Barajı HES"/>
    <x v="40"/>
    <s v="Baraj"/>
    <d v="2011-04-24T00:00:00"/>
    <n v="60"/>
    <n v="206"/>
  </r>
  <r>
    <s v="TR323"/>
    <s v="Eşen  II  HES (Serbest Ürt)"/>
    <x v="40"/>
    <s v="Kanal"/>
    <n v="2002"/>
    <n v="42"/>
    <n v="187.5"/>
  </r>
  <r>
    <s v="TR621"/>
    <s v="Feke I HES"/>
    <x v="53"/>
    <s v="Kanal"/>
    <d v="2012-06-27T00:00:00"/>
    <n v="29.4"/>
    <n v="117"/>
  </r>
  <r>
    <s v="TR621"/>
    <s v="Feke II Barajı ve HES "/>
    <x v="53"/>
    <s v="Baraj"/>
    <n v="2010"/>
    <n v="69.349999999999994"/>
    <n v="223"/>
  </r>
  <r>
    <s v="TR321"/>
    <s v="Feslek HES (Serbest Ürt)"/>
    <x v="44"/>
    <s v="Kanal"/>
    <n v="2004"/>
    <n v="8.84"/>
    <n v="41"/>
  </r>
  <r>
    <s v="TR906"/>
    <s v="Fındık HES"/>
    <x v="47"/>
    <s v="Kanal"/>
    <d v="2012-10-31T00:00:00"/>
    <n v="19.75"/>
    <n v="36"/>
  </r>
  <r>
    <s v="TR632"/>
    <s v="Fırnıs HES "/>
    <x v="6"/>
    <s v="Kanal"/>
    <n v="2008"/>
    <n v="9.26"/>
    <n v="36"/>
  </r>
  <r>
    <s v="TRC32"/>
    <s v="Garzan Barajı ve HES"/>
    <x v="55"/>
    <s v="Baraj"/>
    <n v="2012"/>
    <n v="47.45"/>
    <n v="210"/>
  </r>
  <r>
    <s v="TR903"/>
    <s v="Gecür HES"/>
    <x v="46"/>
    <s v="Kanal"/>
    <d v="2013-05-27T00:00:00"/>
    <n v="3.0979999999999999"/>
    <n v="10.199999999999999"/>
  </r>
  <r>
    <s v="TRA11"/>
    <s v="Gelinkaya HES"/>
    <x v="32"/>
    <s v="Kanal"/>
    <d v="2013-05-31T00:00:00"/>
    <n v="6.8659999999999997"/>
    <n v="25.8"/>
  </r>
  <r>
    <s v="TRC12"/>
    <s v="Gemciler Reg.ve HES"/>
    <x v="26"/>
    <s v="Kanal"/>
    <n v="2012"/>
    <n v="7.98"/>
    <n v="40.26"/>
  </r>
  <r>
    <s v="TR622"/>
    <s v="Gök HES"/>
    <x v="30"/>
    <s v="Kanal"/>
    <n v="2008"/>
    <n v="10.01"/>
    <n v="43"/>
  </r>
  <r>
    <s v="TR632"/>
    <s v="Gökgedik HES"/>
    <x v="6"/>
    <s v="Kanal"/>
    <d v="2012-03-30T00:00:00"/>
    <n v="24.265999999999998"/>
    <n v="60.26"/>
  </r>
  <r>
    <s v="TR833"/>
    <s v="Gökmen HES"/>
    <x v="56"/>
    <s v="Kanal"/>
    <d v="2011-06-15T00:00:00"/>
    <n v="2.8690000000000002"/>
    <n v="13.2"/>
  </r>
  <r>
    <s v="TR323"/>
    <s v="Gökyar HES "/>
    <x v="40"/>
    <s v="Kanal"/>
    <n v="2006"/>
    <n v="10.8"/>
    <n v="60"/>
  </r>
  <r>
    <s v="TR411"/>
    <s v="Gözede I HES "/>
    <x v="12"/>
    <s v="Kanal"/>
    <n v="2008"/>
    <n v="2.2999999999999998"/>
    <n v="4.28"/>
  </r>
  <r>
    <s v="TR411"/>
    <s v="Gözede II HES"/>
    <x v="12"/>
    <s v="Kanal"/>
    <d v="2013-02-14T00:00:00"/>
    <n v="4"/>
    <n v="12"/>
  </r>
  <r>
    <s v="TRB11"/>
    <s v="Güdül I-II HES"/>
    <x v="16"/>
    <s v="Kanal"/>
    <n v="2008"/>
    <n v="7.24"/>
    <n v="44"/>
  </r>
  <r>
    <s v="TRA11"/>
    <s v="Güllübağ Barajı ve HES"/>
    <x v="32"/>
    <s v="Baraj"/>
    <d v="2012-03-23T00:00:00"/>
    <n v="96"/>
    <n v="314"/>
  </r>
  <r>
    <s v="TR901"/>
    <s v="Günayşe Reg. ve HES"/>
    <x v="11"/>
    <s v="Kanal"/>
    <n v="2009"/>
    <n v="9.1"/>
    <n v="27.36"/>
  </r>
  <r>
    <s v="TR522"/>
    <s v="Günder Barajı ve HES"/>
    <x v="10"/>
    <s v="Baraj"/>
    <d v="2012-05-31T00:00:00"/>
    <n v="28.22"/>
    <n v="73.58"/>
  </r>
  <r>
    <s v="TR632"/>
    <s v="Güneşli HES"/>
    <x v="6"/>
    <s v="Kanal"/>
    <n v="2009"/>
    <n v="1.8"/>
    <n v="4.28"/>
  </r>
  <r>
    <s v="TR901"/>
    <s v="Güneşli II HES"/>
    <x v="11"/>
    <s v="Kanal"/>
    <d v="2012-12-06T00:00:00"/>
    <n v="12.38"/>
    <n v="61"/>
  </r>
  <r>
    <s v="TR823"/>
    <s v="Güzelçay I HES"/>
    <x v="50"/>
    <s v="Kanal"/>
    <n v="2009"/>
    <n v="8.1"/>
    <n v="40"/>
  </r>
  <r>
    <s v="TR906"/>
    <s v="Güzeloluk HES"/>
    <x v="47"/>
    <s v="Kanal"/>
    <d v="2013-08-29T00:00:00"/>
    <n v="13.58"/>
    <n v="32.07"/>
  </r>
  <r>
    <s v="TRB11"/>
    <s v="Hacılar (Gökpınar) (OTOP)"/>
    <x v="16"/>
    <s v="Kanal"/>
    <n v="2004"/>
    <n v="13"/>
    <n v="88"/>
  </r>
  <r>
    <s v="TR632"/>
    <s v="Hacınınoğlu Kandil  HES"/>
    <x v="6"/>
    <s v="Kanal"/>
    <d v="2011-03-17T00:00:00"/>
    <n v="142.28"/>
    <n v="334.02100000000002"/>
  </r>
  <r>
    <s v="TR711"/>
    <s v="Hamzalı HES"/>
    <x v="57"/>
    <s v="Kanal"/>
    <n v="2008"/>
    <n v="16.7"/>
    <n v="90"/>
  </r>
  <r>
    <s v="TR714"/>
    <s v="Hasankale HES"/>
    <x v="49"/>
    <s v="Kanal"/>
    <d v="2013-05-16T00:00:00"/>
    <n v="5.29"/>
    <n v="36.380000000000003"/>
  </r>
  <r>
    <s v="TR423"/>
    <s v="Hasanlar Kanal HES"/>
    <x v="29"/>
    <s v="Kanal"/>
    <d v="2011-12-02T00:00:00"/>
    <n v="4.67"/>
    <n v="21"/>
  </r>
  <r>
    <s v="TR633"/>
    <s v="Horu HES"/>
    <x v="13"/>
    <s v="Kanal"/>
    <s v="16.02.2012_x000a_14.11.2013"/>
    <n v="8.48"/>
    <n v="30"/>
  </r>
  <r>
    <s v="TR901"/>
    <s v="Horyan HES"/>
    <x v="11"/>
    <s v="Kanal"/>
    <d v="2012-06-15T00:00:00"/>
    <n v="5.68"/>
    <n v="21"/>
  </r>
  <r>
    <s v="TR902"/>
    <s v="Irmak HES"/>
    <x v="43"/>
    <s v="Kanal"/>
    <d v="2013-04-29T00:00:00"/>
    <n v="5.74"/>
    <n v="20.64"/>
  </r>
  <r>
    <s v="TR833"/>
    <s v="İncesu HES"/>
    <x v="56"/>
    <s v="Kanal"/>
    <d v="2011-04-08T00:00:00"/>
    <n v="14.5"/>
    <n v="48"/>
  </r>
  <r>
    <s v="TR904"/>
    <s v="İncirli HES"/>
    <x v="33"/>
    <s v="Kanal"/>
    <d v="2011-05-25T00:00:00"/>
    <n v="25.2"/>
    <n v="126"/>
  </r>
  <r>
    <s v="TR905"/>
    <s v="Kabaca Reg. ve HES"/>
    <x v="9"/>
    <s v="Kanal"/>
    <n v="2009"/>
    <n v="8.48"/>
    <n v="32.42"/>
  </r>
  <r>
    <s v="TR903"/>
    <s v="Kahraman Reg. ve HES"/>
    <x v="46"/>
    <s v="Kanal"/>
    <n v="2009"/>
    <n v="1.42"/>
    <n v="5.5"/>
  </r>
  <r>
    <s v="TRC12"/>
    <s v="Kahta I HES"/>
    <x v="26"/>
    <s v="Kanal"/>
    <n v="2009"/>
    <n v="7.12"/>
    <n v="40.159999999999997"/>
  </r>
  <r>
    <s v="TR632"/>
    <s v="Kale HES "/>
    <x v="6"/>
    <s v="Kanal"/>
    <n v="2009"/>
    <n v="34.130000000000003"/>
    <n v="107"/>
  </r>
  <r>
    <s v="TR834"/>
    <s v="Kale HES"/>
    <x v="4"/>
    <s v="Kanal"/>
    <d v="2013-02-07T00:00:00"/>
    <n v="29.25"/>
    <n v="108"/>
  </r>
  <r>
    <s v="TR904"/>
    <s v="Kale Reg. ve HES"/>
    <x v="33"/>
    <s v="Kanal"/>
    <n v="2010"/>
    <n v="9.5"/>
    <n v="40"/>
  </r>
  <r>
    <s v="TR633"/>
    <s v="Kalealtı HES "/>
    <x v="13"/>
    <s v="Kanal"/>
    <n v="2006"/>
    <n v="28.81"/>
    <n v="51.64"/>
  </r>
  <r>
    <s v="TR510"/>
    <s v="Kalecik I-II-III HES"/>
    <x v="54"/>
    <s v="Kanal"/>
    <n v="2012"/>
    <n v="19.109000000000002"/>
    <n v="111"/>
  </r>
  <r>
    <s v="TR903"/>
    <s v="Kalen I HES"/>
    <x v="46"/>
    <s v="Kanal"/>
    <n v="2008"/>
    <n v="31.3"/>
    <n v="100"/>
  </r>
  <r>
    <s v="TR903"/>
    <s v="Kalen II HES"/>
    <x v="46"/>
    <s v="Kanal"/>
    <n v="2009"/>
    <m/>
    <m/>
  </r>
  <r>
    <s v="TR903"/>
    <s v="Aksu HES"/>
    <x v="46"/>
    <s v="Kanal"/>
    <n v="2011"/>
    <n v="5.2"/>
    <n v="20"/>
  </r>
  <r>
    <s v="TRA11"/>
    <s v="Kaletepe HES"/>
    <x v="32"/>
    <s v="Kanal"/>
    <n v="2009"/>
    <n v="10.8"/>
    <n v="40"/>
  </r>
  <r>
    <s v="TR632"/>
    <s v="Kandil Barajı ve HES"/>
    <x v="6"/>
    <s v="Baraj"/>
    <d v="2013-10-22T00:00:00"/>
    <n v="207.92"/>
    <n v="502"/>
  </r>
  <r>
    <s v="TR632"/>
    <s v="Kandil Dağdelen HES"/>
    <x v="6"/>
    <s v="Kanal"/>
    <d v="2013-05-11T00:00:00"/>
    <n v="8"/>
    <n v="24"/>
  </r>
  <r>
    <s v="TR424"/>
    <s v="Karaköy HES"/>
    <x v="52"/>
    <s v="Kanal"/>
    <d v="2013-03-05T00:00:00"/>
    <n v="4.0469999999999997"/>
    <n v="12.56"/>
  </r>
  <r>
    <s v="TR632"/>
    <s v="Karasu HES "/>
    <x v="6"/>
    <s v="Kanal"/>
    <n v="2007"/>
    <n v="2.4"/>
    <n v="18.72"/>
  </r>
  <r>
    <s v="TRA11"/>
    <s v="Karasu I HES"/>
    <x v="32"/>
    <s v="Kanal"/>
    <n v="2011"/>
    <n v="3.84"/>
    <n v="21.56"/>
  </r>
  <r>
    <s v="TRA11"/>
    <s v="Karasu II  HES"/>
    <x v="32"/>
    <s v="Kanal"/>
    <n v="2011"/>
    <n v="3.08"/>
    <n v="18.97"/>
  </r>
  <r>
    <s v="TRA11"/>
    <s v="Karasu IV-II"/>
    <x v="32"/>
    <s v="Kanal"/>
    <n v="2011"/>
    <n v="10.35"/>
    <n v="57.76"/>
  </r>
  <r>
    <s v="TRA11"/>
    <s v="Karasu IV-III"/>
    <x v="32"/>
    <s v="Kanal"/>
    <n v="2011"/>
    <n v="4.5999999999999996"/>
    <n v="21.62"/>
  </r>
  <r>
    <s v="TRA12"/>
    <s v="Karasu V  HES"/>
    <x v="15"/>
    <s v="Kanal"/>
    <n v="2011"/>
    <n v="4.0999999999999996"/>
    <n v="24.27"/>
  </r>
  <r>
    <s v="TR632"/>
    <s v="Kargılık HES (Serbest Ürt)"/>
    <x v="6"/>
    <s v="Kanal"/>
    <n v="2005"/>
    <n v="24"/>
    <n v="71"/>
  </r>
  <r>
    <s v="TRC11"/>
    <s v="Karşıyaka HES"/>
    <x v="51"/>
    <s v="Kanal"/>
    <n v="2011"/>
    <n v="1.59"/>
    <n v="8.32"/>
  </r>
  <r>
    <s v="TR632"/>
    <s v="Kartalkaya HES"/>
    <x v="6"/>
    <s v="Baraj"/>
    <d v="2012-06-28T00:00:00"/>
    <n v="8"/>
    <n v="26.51"/>
  </r>
  <r>
    <s v="TR323"/>
    <s v="Kavakçalı HES"/>
    <x v="40"/>
    <s v="Kanal"/>
    <d v="2013-03-15T00:00:00"/>
    <n v="11.143000000000001"/>
    <n v="44.29"/>
  </r>
  <r>
    <s v="TR621"/>
    <s v="Kavşak Bendi HES"/>
    <x v="53"/>
    <s v="Baraj"/>
    <n v="2013"/>
    <n v="191.28"/>
    <n v="766"/>
  </r>
  <r>
    <s v="TR424"/>
    <s v="Kayabükü HES"/>
    <x v="52"/>
    <s v="Kanal"/>
    <n v="2005"/>
    <n v="14.61"/>
    <n v="50"/>
  </r>
  <r>
    <s v="TR903"/>
    <s v="Kayaköprü II HES"/>
    <x v="46"/>
    <s v="Kanal"/>
    <d v="2012-07-04T00:00:00"/>
    <n v="38.6"/>
    <n v="105"/>
  </r>
  <r>
    <s v="TRA12"/>
    <s v="Kayalık Reg.ve HES"/>
    <x v="15"/>
    <s v="Kanal"/>
    <n v="2009"/>
    <n v="5.76"/>
    <n v="25"/>
  </r>
  <r>
    <s v="TRB12"/>
    <s v="Keban Deresi HES "/>
    <x v="42"/>
    <s v="Kanal"/>
    <n v="2007"/>
    <n v="5.375"/>
    <n v="31.68"/>
  </r>
  <r>
    <s v="TRB11"/>
    <s v="Keklicek HES"/>
    <x v="16"/>
    <s v="Kanal"/>
    <n v="2008"/>
    <n v="8.6739999999999995"/>
    <n v="25.015000000000001"/>
  </r>
  <r>
    <s v="TR901"/>
    <s v="Kemerçayır HES"/>
    <x v="11"/>
    <s v="Kanal"/>
    <d v="2013-06-24T00:00:00"/>
    <n v="15.497999999999999"/>
    <n v="52.98"/>
  </r>
  <r>
    <s v="TR522"/>
    <s v="Kepezkaya HES"/>
    <x v="10"/>
    <s v="Kanal"/>
    <n v="2008"/>
    <n v="28"/>
    <n v="123"/>
  </r>
  <r>
    <s v="TR632"/>
    <s v="Kesme Reg ve HES"/>
    <x v="6"/>
    <s v="Kanal"/>
    <n v="2011"/>
    <n v="4.6093999999999999"/>
    <n v="16.100000000000001"/>
  </r>
  <r>
    <s v="TR903"/>
    <s v="Kıran HES"/>
    <x v="46"/>
    <s v="Kanal"/>
    <n v="2011"/>
    <n v="9.74"/>
    <n v="41"/>
  </r>
  <r>
    <s v="TRB24"/>
    <s v="Kırıkdağ HES"/>
    <x v="24"/>
    <s v="Kanal"/>
    <d v="2012-08-15T00:00:00"/>
    <n v="16.86"/>
    <n v="61.917999999999999"/>
  </r>
  <r>
    <s v="TR621"/>
    <s v="Kıy HES"/>
    <x v="53"/>
    <s v="Kanal"/>
    <d v="2013-04-25T00:00:00"/>
    <n v="23.8"/>
    <n v="72.293999999999997"/>
  </r>
  <r>
    <s v="TR421"/>
    <s v="Kirazdere HES (Kızkalesi HES)"/>
    <x v="58"/>
    <s v="Kanal"/>
    <n v="2011"/>
    <n v="0.38"/>
    <n v="1.44"/>
  </r>
  <r>
    <s v="TRC34"/>
    <s v="Kirazlık HES"/>
    <x v="48"/>
    <s v="Kanal"/>
    <d v="2013-11-18T00:00:00"/>
    <n v="46.11"/>
    <n v="150.61000000000001"/>
  </r>
  <r>
    <s v="TR903"/>
    <s v="Koçak HES"/>
    <x v="46"/>
    <s v="Kanal"/>
    <d v="2013-03-01T00:00:00"/>
    <n v="25.04"/>
    <n v="74.92"/>
  </r>
  <r>
    <s v="TRC12"/>
    <s v="Koruköy HES"/>
    <x v="26"/>
    <s v="İsale Hattı"/>
    <n v="2011"/>
    <n v="3.03"/>
    <n v="22"/>
  </r>
  <r>
    <s v="TR722"/>
    <s v="Koyulhisar"/>
    <x v="38"/>
    <s v="Kanal"/>
    <n v="2009"/>
    <n v="63"/>
    <n v="330"/>
  </r>
  <r>
    <s v="TR632"/>
    <s v="Kozak Bendi ve HES"/>
    <x v="6"/>
    <s v="Kanal"/>
    <n v="2009"/>
    <n v="4.4000000000000004"/>
    <n v="13.34"/>
  </r>
  <r>
    <s v="TR621"/>
    <s v="Kozan HES (Kozan Barajı Dipsavak Çıkışı)"/>
    <x v="53"/>
    <s v="Kanal"/>
    <n v="2009"/>
    <n v="4.6760000000000002"/>
    <n v="10"/>
  </r>
  <r>
    <s v="TR611"/>
    <s v="Kozdere HES"/>
    <x v="21"/>
    <s v="Kanal"/>
    <n v="2011"/>
    <n v="9.2650000000000006"/>
    <n v="41"/>
  </r>
  <r>
    <s v="TR423"/>
    <s v="Köknar HES"/>
    <x v="29"/>
    <s v="Kanal"/>
    <d v="2012-04-04T00:00:00"/>
    <n v="8.0239999999999991"/>
    <n v="30"/>
  </r>
  <r>
    <s v="TR621"/>
    <s v="Köprü Barajı ve HES"/>
    <x v="53"/>
    <s v="Baraj"/>
    <d v="2013-02-19T00:00:00"/>
    <n v="155.85"/>
    <n v="378.38"/>
  </r>
  <r>
    <s v="TR424"/>
    <s v="Köprübaşı  Barajı ve HES"/>
    <x v="52"/>
    <s v="Baraj"/>
    <n v="2012"/>
    <n v="74.849999999999994"/>
    <n v="203"/>
  </r>
  <r>
    <s v="TR906"/>
    <s v="Köprübaşı HES"/>
    <x v="47"/>
    <s v="Kanal"/>
    <d v="2013-07-12T00:00:00"/>
    <n v="14.66"/>
    <n v="60"/>
  </r>
  <r>
    <s v="TR632"/>
    <s v="Köyobası HES"/>
    <x v="6"/>
    <s v="Kanal"/>
    <n v="2011"/>
    <n v="1.07"/>
    <n v="4.5999999999999996"/>
  </r>
  <r>
    <s v="TRC22"/>
    <s v="Kulp I HES"/>
    <x v="59"/>
    <s v="Kanal"/>
    <n v="2011"/>
    <n v="22.92"/>
    <n v="78"/>
  </r>
  <r>
    <s v="TRC22"/>
    <s v="Kulp IV HES"/>
    <x v="59"/>
    <s v="Kanal"/>
    <n v="2010"/>
    <n v="12.298999999999999"/>
    <n v="36"/>
  </r>
  <r>
    <s v="TR831"/>
    <s v="Kumköy HES"/>
    <x v="3"/>
    <s v="Kanal"/>
    <n v="2011"/>
    <n v="17.5"/>
    <n v="97.7"/>
  </r>
  <r>
    <s v="TR621"/>
    <s v="Kuşaklı Barajı ve HES"/>
    <x v="53"/>
    <s v="Baraj"/>
    <d v="2013-08-01T00:00:00"/>
    <n v="20"/>
    <n v="120.215"/>
  </r>
  <r>
    <s v="TR611"/>
    <s v="Kürce HES"/>
    <x v="21"/>
    <s v="Kanal"/>
    <n v="2011"/>
    <n v="12.045999999999999"/>
    <n v="47.56"/>
  </r>
  <r>
    <s v="TR622"/>
    <s v="Lamas III-IV HES"/>
    <x v="30"/>
    <s v="Kanal"/>
    <n v="2009"/>
    <n v="35.258000000000003"/>
    <n v="120"/>
  </r>
  <r>
    <s v="TR901"/>
    <s v="Mavi HES"/>
    <x v="11"/>
    <s v="Kanal"/>
    <n v="2013"/>
    <n v="11.39"/>
    <n v="40"/>
  </r>
  <r>
    <s v="TR621"/>
    <s v="Menge Barajı ve HES"/>
    <x v="53"/>
    <s v="Baraj"/>
    <n v="2011"/>
    <n v="89.42"/>
    <n v="203.14"/>
  </r>
  <r>
    <s v="TR621"/>
    <s v="Mentaş Reg. ve HES "/>
    <x v="53"/>
    <s v="Kanal"/>
    <n v="2006"/>
    <n v="49.6"/>
    <n v="163"/>
  </r>
  <r>
    <s v="TRA24"/>
    <s v="Merekler Reg. ve Algölü HES"/>
    <x v="60"/>
    <s v="Kanal"/>
    <n v="2012"/>
    <n v="11.157"/>
    <n v="40"/>
  </r>
  <r>
    <s v="TR834"/>
    <s v="Midilli Reg. ve HES"/>
    <x v="4"/>
    <s v="Kanal"/>
    <n v="2012"/>
    <n v="32.548000000000002"/>
    <n v="125"/>
  </r>
  <r>
    <s v="TR721"/>
    <s v="Molu HES  "/>
    <x v="20"/>
    <s v="Kanal"/>
    <n v="2001"/>
    <n v="3.2"/>
    <n v="12.5"/>
  </r>
  <r>
    <s v="TR906"/>
    <s v="Mor-II HES "/>
    <x v="47"/>
    <s v="Kanal"/>
    <d v="2013-03-21T00:00:00"/>
    <n v="6.63"/>
    <n v="30"/>
  </r>
  <r>
    <s v="TRB21"/>
    <s v="Muradiye-Ayrancılar  (Şelale-Ayrancılar HES) "/>
    <x v="5"/>
    <s v="Kanal"/>
    <n v="2011"/>
    <n v="41.454000000000001"/>
    <n v="170"/>
  </r>
  <r>
    <s v="TRC12"/>
    <s v="Murat-I-II HES"/>
    <x v="26"/>
    <s v="Kanal"/>
    <n v="2012"/>
    <n v="35.630000000000003"/>
    <n v="151"/>
  </r>
  <r>
    <s v="TR903"/>
    <s v="Muratlı Reg. ve HES"/>
    <x v="46"/>
    <s v="Kanal"/>
    <n v="2011"/>
    <n v="37.700000000000003"/>
    <n v="130"/>
  </r>
  <r>
    <s v="TR905"/>
    <s v="Murgul HES"/>
    <x v="9"/>
    <s v="Kanal"/>
    <n v="2010"/>
    <n v="24.2"/>
    <n v="67"/>
  </r>
  <r>
    <s v="TR722"/>
    <s v="Mursal I-II HES "/>
    <x v="38"/>
    <s v="Baraj"/>
    <n v="2010"/>
    <n v="8.68"/>
    <n v="41"/>
  </r>
  <r>
    <s v="TRA22"/>
    <s v="Narinkale HES"/>
    <x v="8"/>
    <s v="Kanal"/>
    <n v="2010"/>
    <n v="30.6"/>
    <n v="111.72"/>
  </r>
  <r>
    <s v="TR832"/>
    <s v="Niksar HES"/>
    <x v="61"/>
    <s v="Kanal"/>
    <d v="2012-06-08T00:00:00"/>
    <n v="40.15"/>
    <n v="248"/>
  </r>
  <r>
    <s v="TR902"/>
    <s v="Ordu HES"/>
    <x v="43"/>
    <s v="Kanal"/>
    <d v="2013-11-13T00:00:00"/>
    <n v="42"/>
    <n v="146"/>
  </r>
  <r>
    <s v="TR901"/>
    <s v="Ortaçağ HES"/>
    <x v="11"/>
    <s v="Kanal"/>
    <d v="2013-10-24T00:00:00"/>
    <n v="12.9"/>
    <n v="39.61"/>
  </r>
  <r>
    <s v="TR834"/>
    <s v="Osmancık HES"/>
    <x v="4"/>
    <s v="Kanal"/>
    <d v="2013-02-05T00:00:00"/>
    <n v="9.0299999999999994"/>
    <n v="31"/>
  </r>
  <r>
    <s v="TR622"/>
    <s v="Otluca HES"/>
    <x v="30"/>
    <s v="Kanal"/>
    <n v="2011"/>
    <n v="47.7"/>
    <n v="224"/>
  </r>
  <r>
    <s v="TR411"/>
    <s v="Oylat I HES"/>
    <x v="12"/>
    <s v="Kanal"/>
    <d v="2013-09-05T00:00:00"/>
    <n v="1.9"/>
    <n v="8.08"/>
  </r>
  <r>
    <s v="TR903"/>
    <s v="Ören HES"/>
    <x v="46"/>
    <s v="Kanal"/>
    <n v="2011"/>
    <n v="26.579000000000001"/>
    <n v="85"/>
  </r>
  <r>
    <s v="TRA11"/>
    <s v="Özlüce (Çoruh) HES"/>
    <x v="32"/>
    <s v="Kanal"/>
    <n v="2013"/>
    <n v="36.380000000000003"/>
    <n v="83.83"/>
  </r>
  <r>
    <s v="TR622"/>
    <s v="Pamuk Reg. ve HES (Serbest Ürt)"/>
    <x v="30"/>
    <s v="Kanal"/>
    <n v="2004"/>
    <n v="23"/>
    <n v="93.2"/>
  </r>
  <r>
    <s v="TR422"/>
    <s v="Pamukova HES (Serbest Ürt)"/>
    <x v="0"/>
    <s v="Kanal"/>
    <n v="2000"/>
    <n v="9.3000000000000007"/>
    <n v="55"/>
  </r>
  <r>
    <s v="TR905"/>
    <s v="Papart HES"/>
    <x v="9"/>
    <s v="Kanal"/>
    <d v="2012-04-16T00:00:00"/>
    <n v="26.6"/>
    <n v="64.319999999999993"/>
  </r>
  <r>
    <s v="TR424"/>
    <s v="Paşa Reg. ve HES"/>
    <x v="52"/>
    <s v="Kanal"/>
    <n v="2012"/>
    <n v="8.68"/>
    <n v="34"/>
  </r>
  <r>
    <s v="TRC12"/>
    <s v="Pınar Reg. ve HES"/>
    <x v="26"/>
    <s v="Kanal"/>
    <n v="2009"/>
    <n v="30.1"/>
    <n v="137"/>
  </r>
  <r>
    <s v="TR833"/>
    <s v="Pirinçli HES"/>
    <x v="56"/>
    <s v="Kanal"/>
    <d v="2013-02-14T00:00:00"/>
    <n v="18.68"/>
    <n v="150"/>
  </r>
  <r>
    <s v="TR722"/>
    <s v="Polat HES "/>
    <x v="38"/>
    <s v="Kanal"/>
    <d v="2012-03-23T00:00:00"/>
    <n v="6.56"/>
    <n v="23.36"/>
  </r>
  <r>
    <s v="TR632"/>
    <s v="Poyraz HES"/>
    <x v="6"/>
    <s v="Kanal"/>
    <n v="2011"/>
    <n v="2.66"/>
    <n v="9.98"/>
  </r>
  <r>
    <s v="TR622"/>
    <s v="Remsu HES"/>
    <x v="30"/>
    <s v="Kanal"/>
    <d v="2013-02-01T00:00:00"/>
    <n v="1.958"/>
    <n v="7.1"/>
  </r>
  <r>
    <s v="TR832"/>
    <s v="Reşadiye I-II-III HES"/>
    <x v="61"/>
    <s v="Kanal"/>
    <s v="2009-2010"/>
    <n v="64.28"/>
    <n v="450"/>
  </r>
  <r>
    <s v="TR633"/>
    <s v="Sabunsuyu II HES"/>
    <x v="13"/>
    <s v="Kanal"/>
    <s v="2009-2010"/>
    <n v="7.35"/>
    <n v="25"/>
  </r>
  <r>
    <s v="TRB13"/>
    <s v="Saf I HES"/>
    <x v="62"/>
    <s v="Kanal"/>
    <d v="2013-07-17T00:00:00"/>
    <n v="18.725000000000001"/>
    <n v="55"/>
  </r>
  <r>
    <s v="TRB11"/>
    <s v="Sancar HES"/>
    <x v="16"/>
    <s v="Kanal"/>
    <d v="2012-02-24T00:00:00"/>
    <n v="0.74"/>
    <n v="4"/>
  </r>
  <r>
    <s v="TR722"/>
    <s v="Saraçbendi HES"/>
    <x v="38"/>
    <s v="Kanal"/>
    <n v="2011"/>
    <n v="25.49"/>
    <n v="101.49"/>
  </r>
  <r>
    <s v="TR632"/>
    <s v="Kandil Sarıgüzel Barajı ve HES "/>
    <x v="6"/>
    <s v="Baraj"/>
    <d v="2013-09-20T00:00:00"/>
    <n v="102.54"/>
    <n v="282"/>
  </r>
  <r>
    <s v="TR714"/>
    <s v="Sarıhıdır I HES"/>
    <x v="49"/>
    <s v="Kanal"/>
    <n v="2011"/>
    <n v="6"/>
    <n v="23"/>
  </r>
  <r>
    <s v="TR622"/>
    <s v="Sarıkavak HES"/>
    <x v="30"/>
    <s v="Kanal"/>
    <n v="2011"/>
    <n v="8.06"/>
    <n v="42.6"/>
  </r>
  <r>
    <s v="TRB21"/>
    <s v="Sarımehmet HES"/>
    <x v="5"/>
    <s v="Kanal"/>
    <n v="2011"/>
    <n v="3.31"/>
    <n v="10.199999999999999"/>
  </r>
  <r>
    <s v="TR633"/>
    <s v="Sarıtepe HES"/>
    <x v="13"/>
    <s v="Kanal"/>
    <n v="2009"/>
    <n v="4.9000000000000004"/>
    <n v="17"/>
  </r>
  <r>
    <s v="TR901"/>
    <s v="Sarmaşık I HES "/>
    <x v="11"/>
    <s v="Kanal"/>
    <n v="2010"/>
    <n v="20"/>
    <n v="108.06"/>
  </r>
  <r>
    <s v="TR901"/>
    <s v="Sarmaşık II HES "/>
    <x v="11"/>
    <s v="Kanal"/>
    <n v="2010"/>
    <n v="21.58"/>
    <n v="95.3"/>
  </r>
  <r>
    <s v="TR633"/>
    <s v="Sayan HES"/>
    <x v="13"/>
    <s v="Kanal"/>
    <n v="2011"/>
    <n v="15.2"/>
    <n v="48.3"/>
  </r>
  <r>
    <s v="TRA22"/>
    <s v="Sefaköy Barajı ve HES"/>
    <x v="8"/>
    <s v="Baraj"/>
    <n v="2011"/>
    <n v="33.11"/>
    <n v="140"/>
  </r>
  <r>
    <s v="TR904"/>
    <s v="Selimoğlu Reg.ve HES"/>
    <x v="33"/>
    <s v="Kanal"/>
    <n v="2010"/>
    <n v="8.8000000000000007"/>
    <n v="31.97"/>
  </r>
  <r>
    <s v="TRA22"/>
    <s v="Sena HES"/>
    <x v="8"/>
    <s v="Kanal"/>
    <d v="2013-07-26T00:00:00"/>
    <n v="21.436"/>
    <n v="67"/>
  </r>
  <r>
    <s v="TRB12"/>
    <s v="Seyrantepe Barajı ve HES"/>
    <x v="42"/>
    <s v="Baraj"/>
    <n v="2008"/>
    <n v="56.84"/>
    <n v="161"/>
  </r>
  <r>
    <s v="TRA11"/>
    <s v="Sırakonaklar HES"/>
    <x v="32"/>
    <s v="Kanal"/>
    <d v="2012-04-06T00:00:00"/>
    <n v="18"/>
    <n v="60"/>
  </r>
  <r>
    <s v="TRC12"/>
    <s v="Sırımtaş Barajı ve HES"/>
    <x v="26"/>
    <s v="Baraj"/>
    <n v="2013"/>
    <n v="27.234000000000002"/>
    <n v="80"/>
  </r>
  <r>
    <s v="TR321"/>
    <s v="Sırma HES"/>
    <x v="44"/>
    <s v="Kanal"/>
    <n v="2009"/>
    <n v="5.85"/>
    <n v="23.2"/>
  </r>
  <r>
    <s v="TR903"/>
    <s v="Soğukpınar HES"/>
    <x v="46"/>
    <s v="Kanal"/>
    <d v="2012-11-16T00:00:00"/>
    <n v="8.9"/>
    <n v="26"/>
  </r>
  <r>
    <s v="TRA24"/>
    <s v="Söğütlükaya (Posof III) HES"/>
    <x v="60"/>
    <s v="Kanal"/>
    <n v="2011"/>
    <n v="6.13"/>
    <n v="22.32"/>
  </r>
  <r>
    <s v="TR611"/>
    <s v="Sugözü Reg. ve Kızıldüz HES "/>
    <x v="21"/>
    <s v="Kanal"/>
    <n v="2006"/>
    <n v="15.4"/>
    <n v="53.061"/>
  </r>
  <r>
    <s v="TR901"/>
    <s v="Sukenarı HES"/>
    <x v="11"/>
    <s v="Kanal"/>
    <d v="2013-07-02T00:00:00"/>
    <n v="8.5660000000000007"/>
    <n v="25"/>
  </r>
  <r>
    <s v="TR411"/>
    <s v="Suluköy HES"/>
    <x v="12"/>
    <s v="Kanal"/>
    <d v="2012-03-16T00:00:00"/>
    <n v="6.9240000000000004"/>
    <n v="20"/>
  </r>
  <r>
    <s v="TR632"/>
    <s v="Süleymanlı HES (OTOP)"/>
    <x v="6"/>
    <s v="Kanal"/>
    <n v="2004"/>
    <n v="4.5"/>
    <n v="18.88"/>
  </r>
  <r>
    <s v="TR903"/>
    <s v="Sümer HES"/>
    <x v="46"/>
    <s v="Kanal"/>
    <n v="2010"/>
    <n v="21.6"/>
    <n v="70"/>
  </r>
  <r>
    <s v="TRC12"/>
    <s v="Şifrin HES"/>
    <x v="26"/>
    <s v="Kanal"/>
    <d v="2012-10-19T00:00:00"/>
    <n v="6.7439999999999998"/>
    <n v="18"/>
  </r>
  <r>
    <s v="TR632"/>
    <s v="Tahta Reg. ve HES "/>
    <x v="6"/>
    <s v="Kanal"/>
    <n v="2007"/>
    <n v="12.3"/>
    <n v="48.292999999999999"/>
  </r>
  <r>
    <s v="TR834"/>
    <s v="Taşova-Yenidereköy HES"/>
    <x v="4"/>
    <s v="Kanal"/>
    <n v="2009"/>
    <n v="1.98"/>
    <n v="10.08"/>
  </r>
  <r>
    <s v="TRB14"/>
    <s v="Tatar Barajı ve HES"/>
    <x v="17"/>
    <s v="Baraj"/>
    <n v="2013"/>
    <n v="128.22"/>
    <n v="364.25200000000001"/>
  </r>
  <r>
    <s v="TR632"/>
    <s v="Tayfun HES "/>
    <x v="6"/>
    <s v="Kanal"/>
    <n v="2008"/>
    <n v="0.82"/>
    <n v="5.28"/>
  </r>
  <r>
    <s v="TR811"/>
    <s v="Tefen HES"/>
    <x v="63"/>
    <s v="Kanal"/>
    <n v="2011"/>
    <n v="33"/>
    <n v="141"/>
  </r>
  <r>
    <s v="TR632"/>
    <s v="Teleme Reg.ve HES"/>
    <x v="6"/>
    <s v="Kanal"/>
    <d v="2012-07-31T00:00:00"/>
    <n v="1.57"/>
    <n v="10.86"/>
  </r>
  <r>
    <s v="TR903"/>
    <s v="Telli-I HES"/>
    <x v="46"/>
    <s v="Kanal"/>
    <n v="2012"/>
    <n v="8.73"/>
    <n v="30"/>
  </r>
  <r>
    <s v="TR611"/>
    <s v="Tınaztepe HES"/>
    <x v="21"/>
    <s v="Kanal"/>
    <n v="2008"/>
    <n v="7.5"/>
    <n v="35"/>
  </r>
  <r>
    <s v="TR611"/>
    <s v="Tocak I HES"/>
    <x v="21"/>
    <s v="Baraj"/>
    <n v="2009"/>
    <n v="4.76"/>
    <n v="14.93"/>
  </r>
  <r>
    <s v="TR901"/>
    <s v="Tonya I-II HES"/>
    <x v="11"/>
    <s v="Kanal"/>
    <d v="2013-07-22T00:00:00"/>
    <n v="2.5"/>
    <n v="11"/>
  </r>
  <r>
    <s v="TR632"/>
    <s v="Torlar HES"/>
    <x v="6"/>
    <s v="Kanal"/>
    <d v="2013-02-09T00:00:00"/>
    <n v="14.834"/>
    <n v="35"/>
  </r>
  <r>
    <s v="TR621"/>
    <s v="Toros HES"/>
    <x v="53"/>
    <s v="Kanal"/>
    <d v="2013-02-26T00:00:00"/>
    <n v="49.99"/>
    <n v="208"/>
  </r>
  <r>
    <s v="TR903"/>
    <s v="Tuğra I-II-III HES"/>
    <x v="46"/>
    <s v="Kanal"/>
    <d v="2012-12-29T00:00:00"/>
    <n v="21.24"/>
    <n v="80"/>
  </r>
  <r>
    <s v="TR832"/>
    <s v="Tuna  Barajı ve HES"/>
    <x v="61"/>
    <s v="Baraj"/>
    <d v="2012-01-13T00:00:00"/>
    <n v="37.19"/>
    <n v="100.8"/>
  </r>
  <r>
    <s v="TR714"/>
    <s v="Tuzköy Reg. ve HES"/>
    <x v="49"/>
    <s v="Kanal"/>
    <d v="2012-09-28T00:00:00"/>
    <n v="8.44"/>
    <n v="71"/>
  </r>
  <r>
    <s v="TRA11"/>
    <s v="Tuzlaköy-Serge Reg. ve HES"/>
    <x v="32"/>
    <s v="Kanal"/>
    <d v="2012-03-31T00:00:00"/>
    <n v="16.66"/>
    <n v="49.23"/>
  </r>
  <r>
    <s v="TR722"/>
    <s v="Tuztaşı HES"/>
    <x v="38"/>
    <s v="Kanal"/>
    <n v="2011"/>
    <n v="1.605"/>
    <n v="7.8609999999999998"/>
  </r>
  <r>
    <s v="TR411"/>
    <s v="Uluabat Kuvvet Tüneli ve HES"/>
    <x v="12"/>
    <s v="Kuvvet Tüneli"/>
    <n v="2011"/>
    <n v="100"/>
    <n v="423"/>
  </r>
  <r>
    <s v="TR902"/>
    <s v="Umut Reg ve HES "/>
    <x v="43"/>
    <s v="Kanal"/>
    <s v="2011-2012-2013"/>
    <n v="42.25"/>
    <n v="92"/>
  </r>
  <r>
    <s v="TRB14"/>
    <s v="Uzunçayır Barajı ve HES "/>
    <x v="17"/>
    <s v="Baraj"/>
    <n v="2009"/>
    <n v="82"/>
    <n v="322"/>
  </r>
  <r>
    <s v="TR904"/>
    <s v="Uzundere I HES"/>
    <x v="33"/>
    <s v="Kanal"/>
    <n v="2009"/>
    <n v="62.15"/>
    <n v="156"/>
  </r>
  <r>
    <s v="TR904"/>
    <s v="Uzundere II HES"/>
    <x v="33"/>
    <s v="Kanal"/>
    <d v="2013-09-24T00:00:00"/>
    <n v="19.690000000000001"/>
    <n v="100.646"/>
  </r>
  <r>
    <s v="TR901"/>
    <s v="Üçhanlar HES"/>
    <x v="11"/>
    <s v="Kanal"/>
    <d v="2013-06-24T00:00:00"/>
    <n v="11.939"/>
    <n v="40"/>
  </r>
  <r>
    <s v="TR901"/>
    <s v="Üçharmanlar HES"/>
    <x v="11"/>
    <s v="Kanal"/>
    <d v="2013-01-24T00:00:00"/>
    <n v="16.64"/>
    <n v="60"/>
  </r>
  <r>
    <s v="TR632"/>
    <s v="Üçkaya HES"/>
    <x v="6"/>
    <s v="Kanal"/>
    <d v="2012-07-14T00:00:00"/>
    <n v="1.04"/>
    <n v="4.59"/>
  </r>
  <r>
    <s v="TRA12"/>
    <s v="Üzümlü HES"/>
    <x v="15"/>
    <s v="Kanal"/>
    <n v="2011"/>
    <n v="12.416"/>
    <n v="40.65"/>
  </r>
  <r>
    <s v="TR901"/>
    <s v="Vizara Reg. HES"/>
    <x v="11"/>
    <s v="Kanal"/>
    <d v="2012-04-18T00:00:00"/>
    <n v="8.5779999999999994"/>
    <n v="27"/>
  </r>
  <r>
    <s v="TR901"/>
    <s v="Yağmur Reg. ve HES (Akfen)"/>
    <x v="11"/>
    <s v="Kanal"/>
    <d v="2012-11-27T00:00:00"/>
    <n v="8.9459999999999997"/>
    <n v="30"/>
  </r>
  <r>
    <s v="TR721"/>
    <s v="Yahyabey HES"/>
    <x v="20"/>
    <s v="Kanal"/>
    <n v="2013"/>
    <n v="0.31"/>
    <n v="1"/>
  </r>
  <r>
    <s v="TR812"/>
    <s v="Yalnızca Reg. ve HES"/>
    <x v="64"/>
    <s v="Kanal"/>
    <n v="2009"/>
    <n v="14.835000000000001"/>
    <n v="56.89"/>
  </r>
  <r>
    <s v="TR633"/>
    <s v="Yamaç HES   (Mehmetli Barajı )"/>
    <x v="13"/>
    <s v="Baraj"/>
    <n v="2011"/>
    <n v="5.46"/>
    <n v="17"/>
  </r>
  <r>
    <s v="TR621"/>
    <s v="Yamanlı III (Himmetli)"/>
    <x v="53"/>
    <s v="Kanal (Tünelli)"/>
    <d v="2012-05-12T00:00:00"/>
    <n v="26.98"/>
    <n v="110"/>
  </r>
  <r>
    <s v="TR621"/>
    <s v="Yamanlı III (Gökkaya Barajı)"/>
    <x v="53"/>
    <s v="Baraj"/>
    <d v="2012-09-14T00:00:00"/>
    <n v="28.54"/>
    <n v="95.26"/>
  </r>
  <r>
    <s v="TR834"/>
    <s v="Yaprak I Barajı ve HES"/>
    <x v="4"/>
    <s v="Baraj"/>
    <d v="1905-07-04T00:00:00"/>
    <n v="24.28"/>
    <n v="71.39"/>
  </r>
  <r>
    <s v="TR834"/>
    <s v="Yaprak II HES"/>
    <x v="4"/>
    <s v="Kanal"/>
    <d v="1905-07-03T00:00:00"/>
    <m/>
    <m/>
  </r>
  <r>
    <s v="TR611"/>
    <s v="Yaprak HES"/>
    <x v="21"/>
    <s v="Kanal"/>
    <d v="2013-07-26T00:00:00"/>
    <n v="8.9700000000000006"/>
    <n v="24.84"/>
  </r>
  <r>
    <s v="TR632"/>
    <s v="Yaşıl HES"/>
    <x v="6"/>
    <s v="Kanal"/>
    <n v="2011"/>
    <n v="3.794"/>
    <n v="14.92"/>
  </r>
  <r>
    <s v="TR821"/>
    <s v="Yavuz  HES"/>
    <x v="45"/>
    <s v="Kanal"/>
    <n v="2011"/>
    <n v="5.8"/>
    <n v="14"/>
  </r>
  <r>
    <s v="TR834"/>
    <s v="Yavuz HES"/>
    <x v="4"/>
    <s v="Kanal"/>
    <n v="2011"/>
    <n v="22.5"/>
    <n v="82.74"/>
  </r>
  <r>
    <s v="TR905"/>
    <s v="Yayla HES"/>
    <x v="9"/>
    <s v="Kanal"/>
    <n v="2013"/>
    <n v="4.67"/>
    <n v="20.87"/>
  </r>
  <r>
    <s v="TR612"/>
    <s v="Yaylabel HES"/>
    <x v="25"/>
    <s v="Kanal"/>
    <n v="2009"/>
    <n v="5.0999999999999996"/>
    <n v="20"/>
  </r>
  <r>
    <s v="TR822"/>
    <s v="Yazı HES"/>
    <x v="65"/>
    <s v="Kanal"/>
    <n v="2009"/>
    <n v="1.06"/>
    <n v="5"/>
  </r>
  <r>
    <s v="TRA11"/>
    <s v="Yazyurdu HES"/>
    <x v="32"/>
    <s v="Kanal"/>
    <n v="2013"/>
    <n v="14.9"/>
    <n v="35"/>
  </r>
  <r>
    <s v="TRA11"/>
    <s v="Yedigöl Reg. ve HES"/>
    <x v="32"/>
    <s v="Kanal"/>
    <n v="2011"/>
    <n v="21.9"/>
    <n v="70"/>
  </r>
  <r>
    <s v="TR621"/>
    <s v="Yedigöze Barajı  ve  HES"/>
    <x v="53"/>
    <s v="Baraj"/>
    <n v="2010"/>
    <n v="310.66000000000003"/>
    <n v="1141"/>
  </r>
  <r>
    <s v="TRB13"/>
    <s v="Yedisu Barajı ve HES"/>
    <x v="62"/>
    <s v="Baraj"/>
    <d v="2012-06-01T00:00:00"/>
    <n v="22.71"/>
    <n v="72"/>
  </r>
  <r>
    <s v="TR722"/>
    <s v="Yeşil HES"/>
    <x v="38"/>
    <s v="Kanal"/>
    <n v="2009"/>
    <n v="14.000999999999999"/>
    <n v="56.16"/>
  </r>
  <r>
    <s v="TR832"/>
    <s v="Yeşilırmak I Reg. ve HES"/>
    <x v="61"/>
    <s v="Kanal"/>
    <d v="2012-12-20T00:00:00"/>
    <n v="14.25"/>
    <n v="35.1"/>
  </r>
  <r>
    <s v="TR631"/>
    <s v="Yeşilvadi HES"/>
    <x v="14"/>
    <s v="Kanal"/>
    <n v="2013"/>
    <n v="9.98"/>
    <n v="35.67"/>
  </r>
  <r>
    <s v="TRA13"/>
    <s v="Yıldırım Reg. ve HES"/>
    <x v="27"/>
    <s v="Kanal"/>
    <d v="2012-09-28T00:00:00"/>
    <n v="10.677"/>
    <n v="33.299999999999997"/>
  </r>
  <r>
    <s v="TR901"/>
    <s v="Yıldızlı Reg. ve HES"/>
    <x v="11"/>
    <s v="Kanal"/>
    <n v="2010"/>
    <n v="1.2"/>
    <n v="5.64"/>
  </r>
  <r>
    <s v="TR904"/>
    <s v="Yokuşlu Kalkandere HES"/>
    <x v="33"/>
    <s v="Kanal"/>
    <n v="2010"/>
    <n v="40.24"/>
    <n v="180"/>
  </r>
  <r>
    <s v="TR901"/>
    <s v="Yukarı Manahoz Reg. ve HES "/>
    <x v="11"/>
    <s v="Kanal"/>
    <n v="2008"/>
    <n v="23.6"/>
    <n v="88.207999999999998"/>
  </r>
  <r>
    <s v="TRA12"/>
    <s v="Yukarı Mercan HES "/>
    <x v="15"/>
    <s v="Kanal"/>
    <n v="2005"/>
    <n v="14"/>
    <n v="44.18"/>
  </r>
  <r>
    <s v="TR903"/>
    <s v="Yüce HES"/>
    <x v="46"/>
    <s v="Kanal"/>
    <d v="2013-05-31T00:00:00"/>
    <n v="10.566000000000001"/>
    <n v="32"/>
  </r>
  <r>
    <s v="TR721"/>
    <s v="Zamantı Bahçelik Barajı ve HES"/>
    <x v="20"/>
    <s v="Baraj"/>
    <n v="2006"/>
    <n v="4.17"/>
    <n v="15"/>
  </r>
  <r>
    <s v="TR632"/>
    <s v="Zeytin Reg. ve HES"/>
    <x v="6"/>
    <s v="Kanal"/>
    <d v="2012-04-27T00:00:00"/>
    <n v="5.2"/>
    <n v="18.280999999999999"/>
  </r>
  <r>
    <s v="TR411"/>
    <s v="Akdere Reg. ve HES"/>
    <x v="12"/>
    <s v="Kanal "/>
    <d v="2014-07-12T00:00:00"/>
    <n v="7.48"/>
    <n v="23.16"/>
  </r>
  <r>
    <s v="TR906"/>
    <s v="Akköy I Cansuyu HES"/>
    <x v="47"/>
    <s v="Kanal"/>
    <d v="2014-06-04T00:00:00"/>
    <n v="0.495"/>
    <n v="1.5"/>
  </r>
  <r>
    <s v="TR903"/>
    <s v="Akköy II Aladereçam HES"/>
    <x v="46"/>
    <s v="Kanal "/>
    <d v="2014-08-19T00:00:00"/>
    <n v="7.33"/>
    <n v="25"/>
  </r>
  <r>
    <s v="TRB11"/>
    <s v="Aksu Reg ve HES"/>
    <x v="16"/>
    <s v="Kanal "/>
    <d v="2014-03-21T00:00:00"/>
    <n v="5.77"/>
    <n v="21.28"/>
  </r>
  <r>
    <s v="TR901"/>
    <s v="Araklı -III Reg. ve HES"/>
    <x v="11"/>
    <s v="Kanal "/>
    <d v="2014-12-01T00:00:00"/>
    <n v="0.63100000000000001"/>
    <n v="2.5"/>
  </r>
  <r>
    <s v="TR901"/>
    <s v="Arısu HES"/>
    <x v="11"/>
    <s v="Kanal "/>
    <d v="2014-02-17T00:00:00"/>
    <n v="3.8210000000000002"/>
    <n v="10.15"/>
  </r>
  <r>
    <s v="TRA11"/>
    <s v="Arkun  Barajı ve HES"/>
    <x v="32"/>
    <s v="Baraj"/>
    <d v="2014-05-30T00:00:00"/>
    <n v="244.83"/>
    <n v="842.1"/>
  </r>
  <r>
    <s v="TRC34"/>
    <s v="Baran HES"/>
    <x v="48"/>
    <s v="Kanal "/>
    <d v="1905-07-06T00:00:00"/>
    <n v="21.27"/>
    <n v="58.48"/>
  </r>
  <r>
    <s v="TR411"/>
    <s v="Boğazköy Barajı Ve HES"/>
    <x v="12"/>
    <s v="Baraj"/>
    <d v="2014-03-19T00:00:00"/>
    <n v="10"/>
    <n v="20"/>
  </r>
  <r>
    <s v="TRC22"/>
    <s v="Çağlayan HES"/>
    <x v="59"/>
    <s v="Kanal "/>
    <d v="2014-12-04T00:00:00"/>
    <n v="11.933999999999999"/>
    <n v="36.094999999999999"/>
  </r>
  <r>
    <s v="TR721"/>
    <s v="Çamlıca II HES"/>
    <x v="20"/>
    <s v="Kanal "/>
    <d v="2014-05-02T00:00:00"/>
    <n v="17.579999999999998"/>
    <n v="89.56"/>
  </r>
  <r>
    <s v="TR622"/>
    <s v="Dağbaşı HES"/>
    <x v="30"/>
    <s v="Kanal "/>
    <d v="2014-04-11T00:00:00"/>
    <n v="10.433"/>
    <n v="38"/>
  </r>
  <r>
    <s v="TR611"/>
    <s v="Değirmen HES"/>
    <x v="21"/>
    <s v="Kanal "/>
    <d v="2014-03-13T00:00:00"/>
    <n v="6.84"/>
    <n v="20"/>
  </r>
  <r>
    <s v="TR903"/>
    <s v="Dereli HES"/>
    <x v="46"/>
    <s v="Kanal "/>
    <d v="1905-07-06T00:00:00"/>
    <n v="49.2"/>
    <n v="152.13"/>
  </r>
  <r>
    <s v="TR422"/>
    <s v="Doğançay HES"/>
    <x v="0"/>
    <s v="Kanal "/>
    <d v="2014-08-29T00:00:00"/>
    <n v="30.24"/>
    <n v="171.68"/>
  </r>
  <r>
    <s v="TR423"/>
    <s v="Düzce - Aksu HES"/>
    <x v="29"/>
    <s v="Kanal "/>
    <d v="2014-04-25T00:00:00"/>
    <n v="46.2"/>
    <n v="141.37"/>
  </r>
  <r>
    <s v="TR722"/>
    <s v="Ekincik HES"/>
    <x v="38"/>
    <s v="Kanal "/>
    <d v="2014-11-20T00:00:00"/>
    <n v="7.52"/>
    <n v="19.669"/>
  </r>
  <r>
    <s v="TR722"/>
    <s v="Ekinözü I-II HES"/>
    <x v="38"/>
    <s v="Kanal "/>
    <d v="2014-03-06T00:00:00"/>
    <n v="8.9700000000000006"/>
    <n v="25.913"/>
  </r>
  <r>
    <s v="TR812"/>
    <s v="Eren HES"/>
    <x v="64"/>
    <s v="Kanal "/>
    <d v="2014-12-12T00:00:00"/>
    <n v="35.186"/>
    <n v="110"/>
  </r>
  <r>
    <s v="TR902"/>
    <s v="General HES"/>
    <x v="43"/>
    <s v="Kanal "/>
    <d v="2014-08-08T00:00:00"/>
    <n v="5.95"/>
    <n v="15.6"/>
  </r>
  <r>
    <s v="TR612"/>
    <s v="Gökbel I-II HES"/>
    <x v="25"/>
    <s v="Kanal "/>
    <d v="2014-04-18T00:00:00"/>
    <n v="18.77"/>
    <n v="83.36"/>
  </r>
  <r>
    <s v="TR633"/>
    <s v="Gökboyun Reg ve HES"/>
    <x v="13"/>
    <s v="Kanal "/>
    <d v="2014-10-20T00:00:00"/>
    <n v="5"/>
    <n v="12.57"/>
  </r>
  <r>
    <s v="TR904"/>
    <s v="Gürgen Reg. ve HES"/>
    <x v="33"/>
    <s v="Kanal "/>
    <d v="2014-10-15T00:00:00"/>
    <n v="2.36"/>
    <n v="9.66"/>
  </r>
  <r>
    <s v="TR904"/>
    <s v="Hamzabey Reg. ve HES"/>
    <x v="33"/>
    <s v="Kanal "/>
    <d v="2014-12-19T00:00:00"/>
    <n v="8.82"/>
    <n v="32.543999999999997"/>
  </r>
  <r>
    <s v="TRA11"/>
    <s v="Havva HES"/>
    <x v="32"/>
    <s v="Kanal "/>
    <d v="2014-04-22T00:00:00"/>
    <n v="7.19"/>
    <n v="25.22"/>
  </r>
  <r>
    <s v="TRA22"/>
    <s v="Kale HES"/>
    <x v="8"/>
    <s v="Kanal "/>
    <d v="2014-03-28T00:00:00"/>
    <n v="17.100000000000001"/>
    <n v="50.78"/>
  </r>
  <r>
    <s v="TRB22"/>
    <s v="Kamer Reg. Ve HES"/>
    <x v="23"/>
    <s v="Kanal "/>
    <d v="2014-04-11T00:00:00"/>
    <n v="3.75"/>
    <n v="11.43"/>
  </r>
  <r>
    <s v="TR903"/>
    <s v="Koçlu HES"/>
    <x v="46"/>
    <s v="Kanal "/>
    <d v="2014-07-10T00:00:00"/>
    <n v="36.26"/>
    <n v="121"/>
  </r>
  <r>
    <s v="TR633"/>
    <s v="Köroğlu HES "/>
    <x v="13"/>
    <s v="Kanal "/>
    <d v="2014-06-20T00:00:00"/>
    <n v="9.06"/>
    <n v="26.13"/>
  </r>
  <r>
    <s v="TR902"/>
    <s v="Murat HES "/>
    <x v="43"/>
    <s v="Kanal "/>
    <d v="2014-12-01T00:00:00"/>
    <n v="11.089"/>
    <n v="31"/>
  </r>
  <r>
    <s v="TR812"/>
    <s v="Pirinçlik HES"/>
    <x v="64"/>
    <s v="Kanal "/>
    <d v="2014-11-14T00:00:00"/>
    <n v="21.315000000000001"/>
    <n v="83.54"/>
  </r>
  <r>
    <s v="TR902"/>
    <s v="Piro Reg Ve HES "/>
    <x v="43"/>
    <s v="Kanal "/>
    <d v="2014-10-01T00:00:00"/>
    <n v="4.0599999999999996"/>
    <n v="12.79"/>
  </r>
  <r>
    <s v="TR904"/>
    <s v="Saray HES"/>
    <x v="33"/>
    <s v="Kanal "/>
    <d v="2014-07-16T00:00:00"/>
    <n v="13.5"/>
    <n v="46.89"/>
  </r>
  <r>
    <s v="TRA22"/>
    <s v="Serap HES"/>
    <x v="8"/>
    <s v="Kanal "/>
    <d v="2014-09-19T00:00:00"/>
    <n v="28.96"/>
    <n v="82.180999999999997"/>
  </r>
  <r>
    <s v="TRA12"/>
    <s v="Sölperen HES"/>
    <x v="15"/>
    <s v="Kanal "/>
    <d v="2014-04-25T00:00:00"/>
    <n v="9.7620000000000005"/>
    <n v="23.28"/>
  </r>
  <r>
    <s v="TR903"/>
    <s v="Tokmadin HES"/>
    <x v="46"/>
    <s v="Kanal "/>
    <d v="2014-06-12T00:00:00"/>
    <n v="3.43"/>
    <n v="10.16"/>
  </r>
  <r>
    <s v="TRA11"/>
    <s v="Tuana HES"/>
    <x v="32"/>
    <s v="Kanal "/>
    <d v="2014-05-13T00:00:00"/>
    <n v="7.39"/>
    <n v="14.03"/>
  </r>
  <r>
    <s v="TR633"/>
    <s v="Üçgen HES"/>
    <x v="13"/>
    <s v="Kanal "/>
    <d v="2014-11-07T00:00:00"/>
    <n v="3.3879999999999999"/>
    <n v="13.4"/>
  </r>
  <r>
    <s v="TR901"/>
    <s v="Üçgen II HES"/>
    <x v="11"/>
    <s v="Kanal "/>
    <d v="2014-07-17T00:00:00"/>
    <n v="10.319000000000001"/>
    <n v="39.033999999999999"/>
  </r>
  <r>
    <s v="TR722"/>
    <s v="Yakınca Reg. Ve HES"/>
    <x v="38"/>
    <s v="Kanal "/>
    <d v="2014-11-14T00:00:00"/>
    <n v="11.7"/>
    <n v="42.789000000000001"/>
  </r>
  <r>
    <s v="TR622"/>
    <s v="Yazılı I-II-III HES"/>
    <x v="30"/>
    <s v="Kanal "/>
    <d v="2014-12-30T00:00:00"/>
    <n v="6.62"/>
    <n v="23"/>
  </r>
  <r>
    <s v="TR904"/>
    <s v="Yeşilköy Reg. Ve HES"/>
    <x v="33"/>
    <s v="Kanal "/>
    <d v="2014-12-31T00:00:00"/>
    <n v="3.72"/>
    <n v="14.47"/>
  </r>
  <r>
    <s v="TR821"/>
    <s v="Zala HES"/>
    <x v="45"/>
    <s v="Kanal "/>
    <d v="2014-05-16T00:00:00"/>
    <n v="5.4219999999999997"/>
    <n v="18.61"/>
  </r>
  <r>
    <s v="TR903"/>
    <s v="Zekere HES"/>
    <x v="46"/>
    <s v="Kanal "/>
    <d v="2014-10-17T00:00:00"/>
    <n v="3.9780000000000002"/>
    <n v="10.063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Değerler" updatedVersion="4" minRefreshableVersion="3" useAutoFormatting="1" itemPrintTitles="1" createdVersion="4" indent="0" outline="1" outlineData="1" multipleFieldFilters="0" rowHeaderCaption=" IBBS(1) - 3. Düzey">
  <location ref="B3:I524" firstHeaderRow="0" firstDataRow="1" firstDataCol="5"/>
  <pivotFields count="8">
    <pivotField axis="axisRow" outline="0" showAll="0" defaultSubtotal="0">
      <items count="66">
        <item x="41"/>
        <item x="44"/>
        <item x="39"/>
        <item x="40"/>
        <item x="37"/>
        <item x="34"/>
        <item x="12"/>
        <item x="31"/>
        <item x="1"/>
        <item x="58"/>
        <item x="0"/>
        <item x="29"/>
        <item x="52"/>
        <item x="54"/>
        <item x="2"/>
        <item x="10"/>
        <item x="21"/>
        <item x="25"/>
        <item x="53"/>
        <item x="30"/>
        <item x="14"/>
        <item x="6"/>
        <item x="13"/>
        <item x="57"/>
        <item x="35"/>
        <item x="49"/>
        <item x="20"/>
        <item x="38"/>
        <item x="63"/>
        <item x="64"/>
        <item x="28"/>
        <item x="45"/>
        <item x="65"/>
        <item x="50"/>
        <item x="3"/>
        <item x="61"/>
        <item x="56"/>
        <item x="4"/>
        <item x="11"/>
        <item x="43"/>
        <item x="46"/>
        <item x="33"/>
        <item x="9"/>
        <item x="47"/>
        <item x="32"/>
        <item x="15"/>
        <item x="27"/>
        <item x="8"/>
        <item x="7"/>
        <item x="60"/>
        <item x="16"/>
        <item x="42"/>
        <item x="62"/>
        <item x="17"/>
        <item x="5"/>
        <item x="23"/>
        <item x="22"/>
        <item x="24"/>
        <item x="51"/>
        <item x="26"/>
        <item x="36"/>
        <item x="59"/>
        <item x="18"/>
        <item x="55"/>
        <item x="19"/>
        <item x="48"/>
      </items>
    </pivotField>
    <pivotField axis="axisRow" outline="0" showAll="0" defaultSubtotal="0">
      <items count="452">
        <item x="76"/>
        <item x="77"/>
        <item x="78"/>
        <item x="35"/>
        <item x="79"/>
        <item x="67"/>
        <item x="68"/>
        <item x="34"/>
        <item x="80"/>
        <item x="81"/>
        <item x="410"/>
        <item x="82"/>
        <item x="83"/>
        <item x="85"/>
        <item x="411"/>
        <item x="412"/>
        <item x="86"/>
        <item x="84"/>
        <item x="87"/>
        <item x="249"/>
        <item x="413"/>
        <item x="88"/>
        <item x="89"/>
        <item x="90"/>
        <item x="91"/>
        <item x="92"/>
        <item x="93"/>
        <item x="98"/>
        <item x="99"/>
        <item x="100"/>
        <item x="414"/>
        <item x="101"/>
        <item x="102"/>
        <item x="103"/>
        <item x="415"/>
        <item x="416"/>
        <item x="104"/>
        <item x="14"/>
        <item x="105"/>
        <item x="106"/>
        <item x="107"/>
        <item x="108"/>
        <item x="109"/>
        <item x="110"/>
        <item x="48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417"/>
        <item x="122"/>
        <item x="123"/>
        <item x="42"/>
        <item x="124"/>
        <item x="125"/>
        <item x="126"/>
        <item x="127"/>
        <item x="45"/>
        <item x="128"/>
        <item x="129"/>
        <item x="130"/>
        <item x="41"/>
        <item x="47"/>
        <item x="94"/>
        <item x="63"/>
        <item x="131"/>
        <item x="418"/>
        <item x="132"/>
        <item x="16"/>
        <item x="133"/>
        <item x="2"/>
        <item x="134"/>
        <item x="135"/>
        <item x="137"/>
        <item x="136"/>
        <item x="138"/>
        <item x="32"/>
        <item x="139"/>
        <item x="140"/>
        <item x="141"/>
        <item x="142"/>
        <item x="143"/>
        <item x="144"/>
        <item x="145"/>
        <item x="146"/>
        <item x="147"/>
        <item x="28"/>
        <item x="419"/>
        <item x="148"/>
        <item x="149"/>
        <item x="150"/>
        <item x="151"/>
        <item x="70"/>
        <item x="152"/>
        <item x="153"/>
        <item x="57"/>
        <item x="154"/>
        <item x="61"/>
        <item x="420"/>
        <item x="155"/>
        <item x="156"/>
        <item x="157"/>
        <item x="158"/>
        <item x="159"/>
        <item x="160"/>
        <item x="64"/>
        <item x="161"/>
        <item x="27"/>
        <item x="162"/>
        <item x="163"/>
        <item x="164"/>
        <item x="53"/>
        <item x="165"/>
        <item x="166"/>
        <item x="167"/>
        <item x="168"/>
        <item x="169"/>
        <item x="170"/>
        <item x="171"/>
        <item x="421"/>
        <item x="172"/>
        <item x="173"/>
        <item x="174"/>
        <item x="175"/>
        <item x="176"/>
        <item x="177"/>
        <item x="178"/>
        <item x="20"/>
        <item x="179"/>
        <item x="180"/>
        <item x="4"/>
        <item x="422"/>
        <item x="26"/>
        <item x="181"/>
        <item x="182"/>
        <item x="65"/>
        <item x="183"/>
        <item x="184"/>
        <item x="185"/>
        <item x="186"/>
        <item x="423"/>
        <item x="187"/>
        <item x="188"/>
        <item x="189"/>
        <item x="190"/>
        <item x="191"/>
        <item x="7"/>
        <item x="424"/>
        <item x="192"/>
        <item x="193"/>
        <item x="194"/>
        <item x="195"/>
        <item x="196"/>
        <item x="425"/>
        <item x="426"/>
        <item x="8"/>
        <item x="11"/>
        <item x="197"/>
        <item x="427"/>
        <item x="198"/>
        <item x="199"/>
        <item x="200"/>
        <item x="25"/>
        <item x="201"/>
        <item x="17"/>
        <item x="15"/>
        <item x="202"/>
        <item x="203"/>
        <item x="205"/>
        <item x="204"/>
        <item x="206"/>
        <item x="207"/>
        <item x="208"/>
        <item x="71"/>
        <item x="209"/>
        <item x="210"/>
        <item x="211"/>
        <item x="72"/>
        <item x="212"/>
        <item x="213"/>
        <item x="214"/>
        <item x="428"/>
        <item x="23"/>
        <item x="58"/>
        <item x="215"/>
        <item x="429"/>
        <item x="430"/>
        <item x="216"/>
        <item x="217"/>
        <item x="5"/>
        <item x="218"/>
        <item x="95"/>
        <item x="73"/>
        <item x="219"/>
        <item x="220"/>
        <item x="221"/>
        <item x="222"/>
        <item x="223"/>
        <item x="224"/>
        <item x="225"/>
        <item x="226"/>
        <item x="431"/>
        <item x="227"/>
        <item x="228"/>
        <item x="229"/>
        <item x="230"/>
        <item x="432"/>
        <item x="231"/>
        <item x="1"/>
        <item x="232"/>
        <item x="44"/>
        <item x="233"/>
        <item x="433"/>
        <item x="74"/>
        <item x="75"/>
        <item x="234"/>
        <item x="235"/>
        <item x="236"/>
        <item x="52"/>
        <item x="237"/>
        <item x="238"/>
        <item x="54"/>
        <item x="3"/>
        <item x="55"/>
        <item x="239"/>
        <item x="240"/>
        <item x="241"/>
        <item x="243"/>
        <item x="242"/>
        <item x="244"/>
        <item x="245"/>
        <item x="246"/>
        <item x="247"/>
        <item x="248"/>
        <item x="250"/>
        <item x="434"/>
        <item x="251"/>
        <item x="252"/>
        <item x="330"/>
        <item x="21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43"/>
        <item x="266"/>
        <item x="56"/>
        <item x="267"/>
        <item x="268"/>
        <item x="269"/>
        <item x="270"/>
        <item x="271"/>
        <item x="24"/>
        <item x="272"/>
        <item x="273"/>
        <item x="274"/>
        <item x="12"/>
        <item x="275"/>
        <item x="276"/>
        <item x="277"/>
        <item x="13"/>
        <item x="278"/>
        <item x="9"/>
        <item x="435"/>
        <item x="96"/>
        <item x="279"/>
        <item x="39"/>
        <item x="40"/>
        <item x="280"/>
        <item x="281"/>
        <item x="282"/>
        <item x="283"/>
        <item x="284"/>
        <item x="285"/>
        <item x="286"/>
        <item x="287"/>
        <item x="436"/>
        <item x="288"/>
        <item x="289"/>
        <item x="290"/>
        <item x="291"/>
        <item x="292"/>
        <item x="49"/>
        <item x="22"/>
        <item x="293"/>
        <item x="6"/>
        <item x="294"/>
        <item x="36"/>
        <item x="295"/>
        <item x="296"/>
        <item x="297"/>
        <item x="59"/>
        <item x="51"/>
        <item x="298"/>
        <item x="299"/>
        <item x="300"/>
        <item x="301"/>
        <item x="302"/>
        <item x="437"/>
        <item x="303"/>
        <item x="304"/>
        <item x="305"/>
        <item x="306"/>
        <item x="307"/>
        <item x="308"/>
        <item x="309"/>
        <item x="310"/>
        <item x="311"/>
        <item x="38"/>
        <item x="312"/>
        <item x="313"/>
        <item x="46"/>
        <item x="314"/>
        <item x="315"/>
        <item x="316"/>
        <item x="317"/>
        <item x="318"/>
        <item x="319"/>
        <item x="0"/>
        <item x="320"/>
        <item x="31"/>
        <item x="321"/>
        <item x="438"/>
        <item x="439"/>
        <item x="322"/>
        <item x="323"/>
        <item x="324"/>
        <item x="325"/>
        <item x="326"/>
        <item x="327"/>
        <item x="328"/>
        <item x="329"/>
        <item x="440"/>
        <item x="331"/>
        <item x="332"/>
        <item x="333"/>
        <item x="334"/>
        <item x="335"/>
        <item x="336"/>
        <item x="337"/>
        <item x="338"/>
        <item x="339"/>
        <item x="340"/>
        <item x="441"/>
        <item x="97"/>
        <item x="341"/>
        <item x="342"/>
        <item x="343"/>
        <item x="344"/>
        <item x="30"/>
        <item x="345"/>
        <item x="346"/>
        <item x="442"/>
        <item x="69"/>
        <item x="347"/>
        <item x="348"/>
        <item x="349"/>
        <item x="19"/>
        <item x="350"/>
        <item x="351"/>
        <item x="66"/>
        <item x="352"/>
        <item x="353"/>
        <item x="354"/>
        <item x="355"/>
        <item x="356"/>
        <item x="357"/>
        <item x="358"/>
        <item x="359"/>
        <item x="50"/>
        <item x="360"/>
        <item x="361"/>
        <item x="60"/>
        <item x="443"/>
        <item x="362"/>
        <item x="363"/>
        <item x="364"/>
        <item x="444"/>
        <item x="365"/>
        <item x="366"/>
        <item x="33"/>
        <item x="367"/>
        <item x="368"/>
        <item x="369"/>
        <item x="370"/>
        <item x="29"/>
        <item x="371"/>
        <item x="372"/>
        <item x="373"/>
        <item x="374"/>
        <item x="445"/>
        <item x="446"/>
        <item x="375"/>
        <item x="376"/>
        <item x="377"/>
        <item x="378"/>
        <item x="37"/>
        <item x="18"/>
        <item x="379"/>
        <item x="380"/>
        <item x="381"/>
        <item x="447"/>
        <item x="382"/>
        <item x="383"/>
        <item x="385"/>
        <item x="384"/>
        <item x="62"/>
        <item x="388"/>
        <item x="386"/>
        <item x="387"/>
        <item x="389"/>
        <item x="390"/>
        <item x="391"/>
        <item x="392"/>
        <item x="393"/>
        <item x="394"/>
        <item x="448"/>
        <item x="395"/>
        <item x="396"/>
        <item x="397"/>
        <item x="398"/>
        <item x="399"/>
        <item x="400"/>
        <item x="449"/>
        <item x="401"/>
        <item x="402"/>
        <item x="403"/>
        <item x="404"/>
        <item x="405"/>
        <item x="406"/>
        <item x="407"/>
        <item x="450"/>
        <item x="408"/>
        <item x="451"/>
        <item x="10"/>
        <item x="409"/>
      </items>
    </pivotField>
    <pivotField axis="axisRow" outline="0" showAll="0">
      <items count="67">
        <item x="53"/>
        <item x="26"/>
        <item x="37"/>
        <item x="4"/>
        <item x="54"/>
        <item x="21"/>
        <item x="60"/>
        <item x="9"/>
        <item x="44"/>
        <item x="41"/>
        <item x="28"/>
        <item x="55"/>
        <item x="27"/>
        <item x="1"/>
        <item x="62"/>
        <item x="22"/>
        <item x="52"/>
        <item x="12"/>
        <item x="65"/>
        <item x="56"/>
        <item x="39"/>
        <item x="59"/>
        <item x="29"/>
        <item x="42"/>
        <item x="15"/>
        <item x="32"/>
        <item x="31"/>
        <item x="51"/>
        <item x="46"/>
        <item x="47"/>
        <item x="24"/>
        <item x="14"/>
        <item x="7"/>
        <item x="25"/>
        <item x="6"/>
        <item x="64"/>
        <item x="10"/>
        <item x="8"/>
        <item x="45"/>
        <item x="20"/>
        <item x="57"/>
        <item x="58"/>
        <item x="2"/>
        <item x="34"/>
        <item x="16"/>
        <item x="18"/>
        <item x="30"/>
        <item x="40"/>
        <item x="23"/>
        <item x="49"/>
        <item x="35"/>
        <item x="43"/>
        <item x="13"/>
        <item x="33"/>
        <item x="0"/>
        <item x="3"/>
        <item x="48"/>
        <item x="50"/>
        <item x="38"/>
        <item x="36"/>
        <item x="19"/>
        <item x="61"/>
        <item x="11"/>
        <item x="17"/>
        <item x="5"/>
        <item x="63"/>
        <item t="default"/>
      </items>
    </pivotField>
    <pivotField axis="axisRow" outline="0" showAll="0" defaultSubtotal="0">
      <items count="9">
        <item x="2"/>
        <item x="3"/>
        <item x="5"/>
        <item x="0"/>
        <item x="8"/>
        <item x="7"/>
        <item x="6"/>
        <item x="1"/>
        <item x="4"/>
      </items>
    </pivotField>
    <pivotField axis="axisRow" showAll="0">
      <items count="215">
        <item x="19"/>
        <item x="20"/>
        <item x="14"/>
        <item x="13"/>
        <item x="1"/>
        <item x="22"/>
        <item x="12"/>
        <item x="0"/>
        <item x="5"/>
        <item x="6"/>
        <item x="27"/>
        <item x="40"/>
        <item x="4"/>
        <item x="25"/>
        <item x="17"/>
        <item x="21"/>
        <item x="16"/>
        <item x="35"/>
        <item x="10"/>
        <item x="23"/>
        <item x="7"/>
        <item x="24"/>
        <item x="26"/>
        <item x="3"/>
        <item x="34"/>
        <item x="18"/>
        <item x="11"/>
        <item x="2"/>
        <item x="15"/>
        <item x="9"/>
        <item x="32"/>
        <item x="28"/>
        <item x="8"/>
        <item x="29"/>
        <item x="69"/>
        <item x="37"/>
        <item x="31"/>
        <item x="30"/>
        <item x="36"/>
        <item x="39"/>
        <item x="33"/>
        <item x="71"/>
        <item x="38"/>
        <item x="50"/>
        <item x="54"/>
        <item x="48"/>
        <item x="45"/>
        <item x="52"/>
        <item x="77"/>
        <item x="51"/>
        <item x="41"/>
        <item x="174"/>
        <item x="121"/>
        <item x="147"/>
        <item x="164"/>
        <item x="182"/>
        <item x="89"/>
        <item x="67"/>
        <item x="81"/>
        <item x="104"/>
        <item x="118"/>
        <item x="83"/>
        <item x="172"/>
        <item x="124"/>
        <item x="53"/>
        <item x="110"/>
        <item x="125"/>
        <item x="96"/>
        <item x="115"/>
        <item x="64"/>
        <item x="84"/>
        <item x="85"/>
        <item x="94"/>
        <item x="120"/>
        <item x="161"/>
        <item x="105"/>
        <item x="149"/>
        <item x="154"/>
        <item x="90"/>
        <item x="114"/>
        <item x="163"/>
        <item x="62"/>
        <item x="58"/>
        <item x="146"/>
        <item x="167"/>
        <item x="101"/>
        <item x="55"/>
        <item x="47"/>
        <item x="169"/>
        <item x="66"/>
        <item x="75"/>
        <item x="49"/>
        <item x="141"/>
        <item x="122"/>
        <item x="111"/>
        <item x="68"/>
        <item x="56"/>
        <item x="131"/>
        <item x="166"/>
        <item x="76"/>
        <item x="79"/>
        <item x="156"/>
        <item x="98"/>
        <item x="65"/>
        <item x="133"/>
        <item x="59"/>
        <item x="86"/>
        <item x="170"/>
        <item x="102"/>
        <item x="162"/>
        <item x="87"/>
        <item x="80"/>
        <item x="155"/>
        <item x="112"/>
        <item x="152"/>
        <item x="168"/>
        <item x="116"/>
        <item x="63"/>
        <item x="173"/>
        <item x="72"/>
        <item x="160"/>
        <item x="171"/>
        <item x="95"/>
        <item x="165"/>
        <item x="78"/>
        <item x="100"/>
        <item x="144"/>
        <item x="126"/>
        <item x="92"/>
        <item x="158"/>
        <item x="73"/>
        <item x="46"/>
        <item x="137"/>
        <item x="159"/>
        <item x="136"/>
        <item x="129"/>
        <item x="103"/>
        <item x="130"/>
        <item x="140"/>
        <item x="107"/>
        <item x="134"/>
        <item x="123"/>
        <item x="128"/>
        <item x="57"/>
        <item x="119"/>
        <item x="106"/>
        <item x="61"/>
        <item x="74"/>
        <item x="113"/>
        <item x="97"/>
        <item x="109"/>
        <item x="132"/>
        <item x="153"/>
        <item x="42"/>
        <item x="138"/>
        <item x="148"/>
        <item x="157"/>
        <item x="151"/>
        <item x="88"/>
        <item x="139"/>
        <item x="91"/>
        <item x="99"/>
        <item x="117"/>
        <item x="108"/>
        <item x="145"/>
        <item x="70"/>
        <item x="150"/>
        <item x="60"/>
        <item x="44"/>
        <item x="127"/>
        <item x="43"/>
        <item x="143"/>
        <item x="142"/>
        <item x="93"/>
        <item x="135"/>
        <item x="82"/>
        <item x="180"/>
        <item x="191"/>
        <item x="187"/>
        <item x="183"/>
        <item x="178"/>
        <item x="199"/>
        <item x="186"/>
        <item x="194"/>
        <item x="198"/>
        <item x="189"/>
        <item x="185"/>
        <item x="207"/>
        <item x="212"/>
        <item x="181"/>
        <item x="176"/>
        <item x="206"/>
        <item x="201"/>
        <item x="200"/>
        <item x="175"/>
        <item x="204"/>
        <item x="209"/>
        <item x="193"/>
        <item x="177"/>
        <item x="188"/>
        <item x="205"/>
        <item x="203"/>
        <item x="196"/>
        <item x="213"/>
        <item x="195"/>
        <item x="208"/>
        <item x="202"/>
        <item x="190"/>
        <item x="179"/>
        <item x="184"/>
        <item x="192"/>
        <item x="197"/>
        <item x="210"/>
        <item x="211"/>
        <item t="default"/>
      </items>
    </pivotField>
    <pivotField dataField="1" showAll="0" defaultSubtotal="0"/>
    <pivotField dataField="1" showAll="0">
      <items count="410">
        <item x="13"/>
        <item x="53"/>
        <item x="15"/>
        <item x="27"/>
        <item x="23"/>
        <item x="0"/>
        <item x="1"/>
        <item x="37"/>
        <item x="33"/>
        <item x="14"/>
        <item x="343"/>
        <item x="22"/>
        <item x="2"/>
        <item x="250"/>
        <item x="31"/>
        <item x="38"/>
        <item x="6"/>
        <item x="39"/>
        <item x="368"/>
        <item x="18"/>
        <item x="113"/>
        <item x="29"/>
        <item x="4"/>
        <item x="371"/>
        <item x="25"/>
        <item x="116"/>
        <item x="51"/>
        <item x="296"/>
        <item x="7"/>
        <item x="321"/>
        <item x="21"/>
        <item x="176"/>
        <item x="3"/>
        <item x="90"/>
        <item x="353"/>
        <item x="30"/>
        <item x="16"/>
        <item x="50"/>
        <item x="362"/>
        <item x="32"/>
        <item x="34"/>
        <item x="28"/>
        <item x="219"/>
        <item x="323"/>
        <item x="236"/>
        <item x="333"/>
        <item x="206"/>
        <item x="129"/>
        <item x="283"/>
        <item x="178"/>
        <item x="292"/>
        <item x="168"/>
        <item x="319"/>
        <item x="86"/>
        <item x="63"/>
        <item x="149"/>
        <item x="62"/>
        <item x="200"/>
        <item x="17"/>
        <item x="387"/>
        <item x="71"/>
        <item x="64"/>
        <item x="326"/>
        <item x="52"/>
        <item x="156"/>
        <item x="187"/>
        <item x="54"/>
        <item x="291"/>
        <item x="12"/>
        <item x="199"/>
        <item x="61"/>
        <item x="253"/>
        <item x="20"/>
        <item x="181"/>
        <item x="161"/>
        <item x="232"/>
        <item x="194"/>
        <item x="118"/>
        <item x="271"/>
        <item x="300"/>
        <item x="402"/>
        <item x="132"/>
        <item x="400"/>
        <item x="117"/>
        <item x="170"/>
        <item x="89"/>
        <item x="406"/>
        <item x="391"/>
        <item x="93"/>
        <item x="350"/>
        <item x="372"/>
        <item x="231"/>
        <item x="408"/>
        <item x="201"/>
        <item x="91"/>
        <item x="230"/>
        <item x="396"/>
        <item x="88"/>
        <item x="19"/>
        <item x="234"/>
        <item x="366"/>
        <item x="173"/>
        <item x="74"/>
        <item x="77"/>
        <item x="105"/>
        <item x="167"/>
        <item x="10"/>
        <item x="8"/>
        <item x="246"/>
        <item x="213"/>
        <item x="255"/>
        <item x="175"/>
        <item x="325"/>
        <item x="301"/>
        <item x="386"/>
        <item x="352"/>
        <item x="227"/>
        <item x="212"/>
        <item x="242"/>
        <item x="174"/>
        <item x="407"/>
        <item x="345"/>
        <item x="44"/>
        <item x="215"/>
        <item x="92"/>
        <item x="216"/>
        <item x="241"/>
        <item x="370"/>
        <item x="351"/>
        <item x="310"/>
        <item x="384"/>
        <item x="137"/>
        <item x="312"/>
        <item x="184"/>
        <item x="290"/>
        <item x="405"/>
        <item x="272"/>
        <item x="317"/>
        <item x="26"/>
        <item x="378"/>
        <item x="112"/>
        <item x="195"/>
        <item x="315"/>
        <item x="139"/>
        <item x="65"/>
        <item x="124"/>
        <item x="220"/>
        <item x="389"/>
        <item x="162"/>
        <item x="202"/>
        <item x="369"/>
        <item x="294"/>
        <item x="401"/>
        <item x="367"/>
        <item x="101"/>
        <item x="382"/>
        <item x="153"/>
        <item x="196"/>
        <item x="229"/>
        <item x="257"/>
        <item x="299"/>
        <item x="208"/>
        <item x="151"/>
        <item x="35"/>
        <item x="9"/>
        <item x="136"/>
        <item x="331"/>
        <item x="145"/>
        <item x="214"/>
        <item x="314"/>
        <item x="341"/>
        <item x="104"/>
        <item x="243"/>
        <item x="277"/>
        <item x="324"/>
        <item x="141"/>
        <item x="305"/>
        <item x="388"/>
        <item x="191"/>
        <item x="311"/>
        <item x="96"/>
        <item x="159"/>
        <item x="55"/>
        <item x="342"/>
        <item x="349"/>
        <item x="281"/>
        <item x="393"/>
        <item x="204"/>
        <item x="146"/>
        <item x="109"/>
        <item x="152"/>
        <item x="11"/>
        <item x="256"/>
        <item x="286"/>
        <item x="186"/>
        <item x="40"/>
        <item x="120"/>
        <item x="164"/>
        <item x="223"/>
        <item x="148"/>
        <item x="73"/>
        <item x="247"/>
        <item x="399"/>
        <item x="360"/>
        <item x="70"/>
        <item x="197"/>
        <item x="41"/>
        <item x="403"/>
        <item x="233"/>
        <item x="377"/>
        <item x="365"/>
        <item x="68"/>
        <item x="361"/>
        <item x="5"/>
        <item x="130"/>
        <item x="394"/>
        <item x="67"/>
        <item x="237"/>
        <item x="269"/>
        <item x="147"/>
        <item x="266"/>
        <item x="404"/>
        <item x="375"/>
        <item x="338"/>
        <item x="264"/>
        <item x="262"/>
        <item x="318"/>
        <item x="207"/>
        <item x="97"/>
        <item x="340"/>
        <item x="56"/>
        <item x="75"/>
        <item x="127"/>
        <item x="142"/>
        <item x="280"/>
        <item x="60"/>
        <item x="185"/>
        <item x="79"/>
        <item x="78"/>
        <item x="397"/>
        <item x="209"/>
        <item x="84"/>
        <item x="358"/>
        <item x="359"/>
        <item x="24"/>
        <item x="217"/>
        <item x="239"/>
        <item x="114"/>
        <item x="260"/>
        <item x="327"/>
        <item x="344"/>
        <item x="354"/>
        <item x="95"/>
        <item x="46"/>
        <item x="303"/>
        <item x="49"/>
        <item x="313"/>
        <item x="244"/>
        <item x="138"/>
        <item x="85"/>
        <item x="98"/>
        <item x="131"/>
        <item x="157"/>
        <item x="66"/>
        <item x="339"/>
        <item x="332"/>
        <item x="211"/>
        <item x="103"/>
        <item x="43"/>
        <item x="248"/>
        <item x="390"/>
        <item x="263"/>
        <item x="111"/>
        <item x="376"/>
        <item x="154"/>
        <item x="308"/>
        <item x="123"/>
        <item x="48"/>
        <item x="289"/>
        <item x="295"/>
        <item x="385"/>
        <item x="155"/>
        <item x="169"/>
        <item x="225"/>
        <item x="47"/>
        <item x="102"/>
        <item x="337"/>
        <item x="192"/>
        <item x="177"/>
        <item x="140"/>
        <item x="69"/>
        <item x="171"/>
        <item x="45"/>
        <item x="329"/>
        <item x="374"/>
        <item x="395"/>
        <item x="306"/>
        <item x="302"/>
        <item x="316"/>
        <item x="355"/>
        <item x="182"/>
        <item x="357"/>
        <item x="261"/>
        <item x="165"/>
        <item x="364"/>
        <item x="249"/>
        <item x="235"/>
        <item x="276"/>
        <item x="198"/>
        <item x="348"/>
        <item x="106"/>
        <item x="150"/>
        <item x="252"/>
        <item x="218"/>
        <item x="297"/>
        <item x="180"/>
        <item x="284"/>
        <item x="287"/>
        <item x="346"/>
        <item x="309"/>
        <item x="83"/>
        <item x="144"/>
        <item x="126"/>
        <item x="245"/>
        <item x="205"/>
        <item x="172"/>
        <item x="347"/>
        <item x="135"/>
        <item x="76"/>
        <item x="224"/>
        <item x="398"/>
        <item x="222"/>
        <item x="72"/>
        <item x="189"/>
        <item x="107"/>
        <item x="288"/>
        <item x="380"/>
        <item x="278"/>
        <item x="226"/>
        <item x="99"/>
        <item x="270"/>
        <item x="322"/>
        <item x="304"/>
        <item x="221"/>
        <item x="383"/>
        <item x="265"/>
        <item x="274"/>
        <item x="392"/>
        <item x="285"/>
        <item x="330"/>
        <item x="275"/>
        <item x="110"/>
        <item x="166"/>
        <item x="240"/>
        <item x="163"/>
        <item x="279"/>
        <item x="363"/>
        <item x="94"/>
        <item x="273"/>
        <item x="188"/>
        <item x="334"/>
        <item x="179"/>
        <item x="143"/>
        <item x="183"/>
        <item x="251"/>
        <item x="381"/>
        <item x="115"/>
        <item x="193"/>
        <item x="282"/>
        <item x="121"/>
        <item x="108"/>
        <item x="379"/>
        <item x="268"/>
        <item x="328"/>
        <item x="36"/>
        <item x="307"/>
        <item x="134"/>
        <item x="336"/>
        <item x="254"/>
        <item x="158"/>
        <item x="293"/>
        <item x="125"/>
        <item x="128"/>
        <item x="190"/>
        <item x="259"/>
        <item x="82"/>
        <item x="335"/>
        <item x="57"/>
        <item x="267"/>
        <item x="133"/>
        <item x="100"/>
        <item x="203"/>
        <item x="58"/>
        <item x="80"/>
        <item x="298"/>
        <item x="160"/>
        <item x="320"/>
        <item x="210"/>
        <item x="258"/>
        <item x="238"/>
        <item x="228"/>
        <item x="81"/>
        <item x="373"/>
        <item x="87"/>
        <item x="356"/>
        <item x="122"/>
        <item x="42"/>
        <item x="59"/>
        <item x="119"/>
        <item t="default"/>
      </items>
    </pivotField>
    <pivotField dataField="1" showAll="0">
      <items count="321">
        <item x="11"/>
        <item x="12"/>
        <item x="0"/>
        <item x="30"/>
        <item x="24"/>
        <item x="20"/>
        <item x="1"/>
        <item x="26"/>
        <item x="22"/>
        <item x="13"/>
        <item x="201"/>
        <item x="4"/>
        <item x="19"/>
        <item x="85"/>
        <item x="2"/>
        <item x="18"/>
        <item x="14"/>
        <item x="27"/>
        <item x="5"/>
        <item x="93"/>
        <item x="28"/>
        <item x="25"/>
        <item x="91"/>
        <item x="162"/>
        <item x="143"/>
        <item x="266"/>
        <item x="208"/>
        <item x="276"/>
        <item x="253"/>
        <item x="175"/>
        <item x="132"/>
        <item x="122"/>
        <item x="233"/>
        <item x="260"/>
        <item x="15"/>
        <item x="223"/>
        <item x="191"/>
        <item x="151"/>
        <item x="300"/>
        <item x="232"/>
        <item x="53"/>
        <item x="319"/>
        <item x="251"/>
        <item x="286"/>
        <item x="312"/>
        <item x="158"/>
        <item x="107"/>
        <item x="255"/>
        <item x="105"/>
        <item x="48"/>
        <item x="304"/>
        <item x="47"/>
        <item x="50"/>
        <item x="10"/>
        <item x="46"/>
        <item x="146"/>
        <item x="183"/>
        <item x="299"/>
        <item x="308"/>
        <item x="8"/>
        <item x="161"/>
        <item x="205"/>
        <item x="314"/>
        <item x="83"/>
        <item x="6"/>
        <item x="313"/>
        <item x="67"/>
        <item x="58"/>
        <item x="317"/>
        <item x="139"/>
        <item x="273"/>
        <item x="256"/>
        <item x="16"/>
        <item x="72"/>
        <item x="297"/>
        <item x="95"/>
        <item x="198"/>
        <item x="127"/>
        <item x="239"/>
        <item x="115"/>
        <item x="17"/>
        <item x="283"/>
        <item x="318"/>
        <item x="184"/>
        <item x="249"/>
        <item x="186"/>
        <item x="94"/>
        <item x="295"/>
        <item x="149"/>
        <item x="142"/>
        <item x="172"/>
        <item x="121"/>
        <item x="275"/>
        <item x="171"/>
        <item x="285"/>
        <item x="90"/>
        <item x="185"/>
        <item x="188"/>
        <item x="114"/>
        <item x="45"/>
        <item x="247"/>
        <item x="237"/>
        <item x="69"/>
        <item x="284"/>
        <item x="245"/>
        <item x="311"/>
        <item x="231"/>
        <item x="96"/>
        <item x="112"/>
        <item x="189"/>
        <item x="68"/>
        <item x="272"/>
        <item x="71"/>
        <item x="196"/>
        <item x="70"/>
        <item x="302"/>
        <item x="74"/>
        <item x="296"/>
        <item x="246"/>
        <item x="306"/>
        <item x="192"/>
        <item x="268"/>
        <item x="164"/>
        <item x="49"/>
        <item x="111"/>
        <item x="79"/>
        <item x="82"/>
        <item x="135"/>
        <item x="222"/>
        <item x="126"/>
        <item x="195"/>
        <item x="243"/>
        <item x="120"/>
        <item x="167"/>
        <item x="123"/>
        <item x="174"/>
        <item x="301"/>
        <item x="100"/>
        <item x="279"/>
        <item x="228"/>
        <item x="9"/>
        <item x="118"/>
        <item x="278"/>
        <item x="138"/>
        <item x="34"/>
        <item x="289"/>
        <item x="170"/>
        <item x="291"/>
        <item x="315"/>
        <item x="221"/>
        <item x="59"/>
        <item x="75"/>
        <item x="176"/>
        <item x="159"/>
        <item x="267"/>
        <item x="156"/>
        <item x="21"/>
        <item x="66"/>
        <item x="238"/>
        <item x="316"/>
        <item x="39"/>
        <item x="7"/>
        <item x="282"/>
        <item x="193"/>
        <item x="133"/>
        <item x="56"/>
        <item x="136"/>
        <item x="81"/>
        <item x="309"/>
        <item x="31"/>
        <item x="211"/>
        <item x="38"/>
        <item x="250"/>
        <item x="242"/>
        <item x="259"/>
        <item x="23"/>
        <item x="303"/>
        <item x="35"/>
        <item x="106"/>
        <item x="179"/>
        <item x="150"/>
        <item x="197"/>
        <item x="248"/>
        <item x="226"/>
        <item x="65"/>
        <item x="89"/>
        <item x="55"/>
        <item x="269"/>
        <item x="187"/>
        <item x="60"/>
        <item x="103"/>
        <item x="76"/>
        <item x="288"/>
        <item x="41"/>
        <item x="113"/>
        <item x="52"/>
        <item x="160"/>
        <item x="166"/>
        <item x="199"/>
        <item x="119"/>
        <item x="130"/>
        <item x="99"/>
        <item x="227"/>
        <item x="217"/>
        <item x="3"/>
        <item x="190"/>
        <item x="271"/>
        <item x="144"/>
        <item x="200"/>
        <item x="165"/>
        <item x="97"/>
        <item x="203"/>
        <item x="77"/>
        <item x="36"/>
        <item x="124"/>
        <item x="80"/>
        <item x="310"/>
        <item x="274"/>
        <item x="298"/>
        <item x="307"/>
        <item x="224"/>
        <item x="141"/>
        <item x="64"/>
        <item x="147"/>
        <item x="33"/>
        <item x="168"/>
        <item x="110"/>
        <item x="281"/>
        <item x="290"/>
        <item x="51"/>
        <item x="84"/>
        <item x="262"/>
        <item x="128"/>
        <item x="225"/>
        <item x="117"/>
        <item x="57"/>
        <item x="86"/>
        <item x="270"/>
        <item x="241"/>
        <item x="209"/>
        <item x="140"/>
        <item x="181"/>
        <item x="265"/>
        <item x="258"/>
        <item x="235"/>
        <item x="73"/>
        <item x="177"/>
        <item x="178"/>
        <item x="240"/>
        <item x="54"/>
        <item x="37"/>
        <item x="180"/>
        <item x="218"/>
        <item x="102"/>
        <item x="134"/>
        <item x="154"/>
        <item x="212"/>
        <item x="210"/>
        <item x="88"/>
        <item x="305"/>
        <item x="137"/>
        <item x="148"/>
        <item x="173"/>
        <item x="145"/>
        <item x="229"/>
        <item x="125"/>
        <item x="254"/>
        <item x="294"/>
        <item x="220"/>
        <item x="230"/>
        <item x="202"/>
        <item x="216"/>
        <item x="292"/>
        <item x="264"/>
        <item x="116"/>
        <item x="244"/>
        <item x="214"/>
        <item x="92"/>
        <item x="215"/>
        <item x="293"/>
        <item x="280"/>
        <item x="87"/>
        <item x="129"/>
        <item x="153"/>
        <item x="104"/>
        <item x="207"/>
        <item x="213"/>
        <item x="152"/>
        <item x="257"/>
        <item x="157"/>
        <item x="29"/>
        <item x="155"/>
        <item x="101"/>
        <item x="219"/>
        <item x="109"/>
        <item x="63"/>
        <item x="236"/>
        <item x="163"/>
        <item x="61"/>
        <item x="263"/>
        <item x="204"/>
        <item x="169"/>
        <item x="78"/>
        <item x="108"/>
        <item x="252"/>
        <item x="131"/>
        <item x="206"/>
        <item x="261"/>
        <item x="43"/>
        <item x="42"/>
        <item x="234"/>
        <item x="182"/>
        <item x="194"/>
        <item x="287"/>
        <item x="62"/>
        <item x="277"/>
        <item x="98"/>
        <item x="32"/>
        <item x="44"/>
        <item x="40"/>
        <item t="default"/>
      </items>
    </pivotField>
  </pivotFields>
  <rowFields count="5">
    <field x="0"/>
    <field x="2"/>
    <field x="1"/>
    <field x="3"/>
    <field x="4"/>
  </rowFields>
  <rowItems count="521">
    <i>
      <x/>
      <x v="9"/>
      <x v="111"/>
      <x/>
      <x v="43"/>
    </i>
    <i r="2">
      <x v="199"/>
      <x/>
      <x v="35"/>
    </i>
    <i t="default" r="1">
      <x v="9"/>
    </i>
    <i>
      <x v="1"/>
      <x v="8"/>
      <x v="9"/>
      <x v="3"/>
      <x v="46"/>
    </i>
    <i r="2">
      <x v="58"/>
      <x v="3"/>
      <x v="43"/>
    </i>
    <i r="2">
      <x v="179"/>
      <x v="3"/>
      <x v="41"/>
    </i>
    <i r="2">
      <x v="364"/>
      <x v="3"/>
      <x v="46"/>
    </i>
    <i t="default" r="1">
      <x v="8"/>
    </i>
    <i>
      <x v="2"/>
      <x v="20"/>
      <x v="8"/>
      <x v="3"/>
      <x v="168"/>
    </i>
    <i r="2">
      <x v="12"/>
      <x v="3"/>
      <x v="168"/>
    </i>
    <i r="2">
      <x v="65"/>
      <x v="3"/>
      <x v="34"/>
    </i>
    <i r="2">
      <x v="66"/>
      <x v="3"/>
      <x v="34"/>
    </i>
    <i r="2">
      <x v="91"/>
      <x/>
      <x v="47"/>
    </i>
    <i r="2">
      <x v="99"/>
      <x v="3"/>
      <x v="38"/>
    </i>
    <i r="2">
      <x v="131"/>
      <x v="3"/>
      <x v="50"/>
    </i>
    <i r="2">
      <x v="136"/>
      <x v="3"/>
      <x v="102"/>
    </i>
    <i r="2">
      <x v="146"/>
      <x v="3"/>
      <x v="47"/>
    </i>
    <i r="2">
      <x v="155"/>
      <x v="3"/>
      <x v="46"/>
    </i>
    <i t="default" r="1">
      <x v="20"/>
    </i>
    <i>
      <x v="3"/>
      <x v="47"/>
      <x v="39"/>
      <x v="3"/>
      <x v="37"/>
    </i>
    <i r="2">
      <x v="40"/>
      <x v="3"/>
      <x v="38"/>
    </i>
    <i r="2">
      <x v="41"/>
      <x v="3"/>
      <x v="39"/>
    </i>
    <i r="2">
      <x v="42"/>
      <x v="3"/>
      <x v="39"/>
    </i>
    <i r="2">
      <x v="43"/>
      <x v="3"/>
      <x v="40"/>
    </i>
    <i r="2">
      <x v="50"/>
      <x v="3"/>
      <x v="35"/>
    </i>
    <i r="2">
      <x v="100"/>
      <x v="3"/>
      <x v="45"/>
    </i>
    <i r="2">
      <x v="175"/>
      <x v="3"/>
      <x v="39"/>
    </i>
    <i r="2">
      <x v="176"/>
      <x/>
      <x v="65"/>
    </i>
    <i r="2">
      <x v="180"/>
      <x v="3"/>
      <x v="36"/>
    </i>
    <i r="2">
      <x v="197"/>
      <x v="3"/>
      <x v="43"/>
    </i>
    <i r="2">
      <x v="257"/>
      <x v="3"/>
      <x v="137"/>
    </i>
    <i t="default" r="1">
      <x v="47"/>
    </i>
    <i>
      <x v="4"/>
      <x v="2"/>
      <x v="142"/>
      <x v="3"/>
      <x v="37"/>
    </i>
    <i t="default" r="1">
      <x v="2"/>
    </i>
    <i>
      <x v="5"/>
      <x v="43"/>
      <x v="157"/>
      <x v="3"/>
      <x v="75"/>
    </i>
    <i r="2">
      <x v="262"/>
      <x v="3"/>
      <x v="13"/>
    </i>
    <i t="default" r="1">
      <x v="43"/>
    </i>
    <i>
      <x v="6"/>
      <x v="17"/>
      <x v="10"/>
      <x v="4"/>
      <x v="194"/>
    </i>
    <i r="2">
      <x v="73"/>
      <x/>
      <x v="179"/>
    </i>
    <i r="2">
      <x v="140"/>
      <x/>
      <x v="161"/>
    </i>
    <i r="2">
      <x v="156"/>
      <x v="3"/>
      <x v="46"/>
    </i>
    <i r="2">
      <x v="200"/>
      <x v="3"/>
      <x v="45"/>
    </i>
    <i r="2">
      <x v="201"/>
      <x v="3"/>
      <x v="131"/>
    </i>
    <i r="2">
      <x v="228"/>
      <x v="3"/>
      <x v="6"/>
    </i>
    <i r="2">
      <x v="230"/>
      <x v="3"/>
      <x v="6"/>
    </i>
    <i r="2">
      <x v="326"/>
      <x v="3"/>
      <x v="164"/>
    </i>
    <i r="2">
      <x v="372"/>
      <x v="3"/>
      <x v="77"/>
    </i>
    <i r="2">
      <x v="373"/>
      <x v="3"/>
      <x v="6"/>
    </i>
    <i r="2">
      <x v="400"/>
      <x v="6"/>
      <x v="48"/>
    </i>
    <i t="default" r="1">
      <x v="17"/>
    </i>
    <i>
      <x v="7"/>
      <x v="26"/>
      <x v="69"/>
      <x v="3"/>
      <x v="37"/>
    </i>
    <i t="default" r="1">
      <x v="26"/>
    </i>
    <i>
      <x v="8"/>
      <x v="13"/>
      <x v="77"/>
      <x v="3"/>
      <x v="4"/>
    </i>
    <i r="2">
      <x v="82"/>
      <x v="3"/>
      <x v="147"/>
    </i>
    <i r="2">
      <x v="129"/>
      <x v="8"/>
      <x v="67"/>
    </i>
    <i t="default" r="1">
      <x v="13"/>
    </i>
    <i>
      <x v="9"/>
      <x v="41"/>
      <x v="274"/>
      <x v="3"/>
      <x v="48"/>
    </i>
    <i t="default" r="1">
      <x v="41"/>
    </i>
    <i>
      <x v="10"/>
      <x v="54"/>
      <x v="2"/>
      <x v="3"/>
      <x v="50"/>
    </i>
    <i r="2">
      <x v="147"/>
      <x v="4"/>
      <x v="199"/>
    </i>
    <i r="2">
      <x v="215"/>
      <x v="3"/>
      <x v="7"/>
    </i>
    <i r="2">
      <x v="331"/>
      <x v="3"/>
      <x v="37"/>
    </i>
    <i r="2">
      <x v="334"/>
      <x v="3"/>
      <x v="7"/>
    </i>
    <i t="default" r="1">
      <x v="54"/>
    </i>
    <i>
      <x v="11"/>
      <x v="22"/>
      <x v="119"/>
      <x v="3"/>
      <x v="78"/>
    </i>
    <i r="2">
      <x v="132"/>
      <x v="3"/>
      <x v="46"/>
    </i>
    <i r="2">
      <x v="154"/>
      <x v="4"/>
      <x v="185"/>
    </i>
    <i r="2">
      <x v="217"/>
      <x/>
      <x v="31"/>
    </i>
    <i r="2">
      <x v="218"/>
      <x v="3"/>
      <x v="73"/>
    </i>
    <i r="2">
      <x v="288"/>
      <x v="3"/>
      <x v="81"/>
    </i>
    <i t="default" r="1">
      <x v="22"/>
    </i>
    <i>
      <x v="12"/>
      <x v="16"/>
      <x v="88"/>
      <x v="3"/>
      <x v="124"/>
    </i>
    <i r="2">
      <x v="113"/>
      <x v="3"/>
      <x v="110"/>
    </i>
    <i r="2">
      <x v="247"/>
      <x v="3"/>
      <x v="135"/>
    </i>
    <i r="2">
      <x v="259"/>
      <x v="3"/>
      <x v="42"/>
    </i>
    <i r="2">
      <x v="290"/>
      <x/>
      <x v="49"/>
    </i>
    <i r="2">
      <x v="333"/>
      <x v="3"/>
      <x v="49"/>
    </i>
    <i t="default" r="1">
      <x v="16"/>
    </i>
    <i>
      <x v="13"/>
      <x v="4"/>
      <x v="117"/>
      <x v="3"/>
      <x v="56"/>
    </i>
    <i r="2">
      <x v="238"/>
      <x v="3"/>
      <x v="49"/>
    </i>
    <i t="default" r="1">
      <x v="4"/>
    </i>
    <i>
      <x v="14"/>
      <x v="42"/>
      <x v="75"/>
      <x v="3"/>
      <x v="6"/>
    </i>
    <i r="2">
      <x v="137"/>
      <x v="3"/>
      <x v="23"/>
    </i>
    <i r="2">
      <x v="196"/>
      <x v="3"/>
      <x v="12"/>
    </i>
    <i r="2">
      <x v="229"/>
      <x v="3"/>
      <x v="27"/>
    </i>
    <i t="default" r="1">
      <x v="42"/>
    </i>
    <i>
      <x v="15"/>
      <x v="36"/>
      <x v="54"/>
      <x/>
      <x v="103"/>
    </i>
    <i r="2">
      <x v="127"/>
      <x v="3"/>
      <x v="48"/>
    </i>
    <i r="2">
      <x v="128"/>
      <x v="3"/>
      <x v="122"/>
    </i>
    <i r="2">
      <x v="171"/>
      <x v="3"/>
      <x v="3"/>
    </i>
    <i r="2">
      <x v="205"/>
      <x/>
      <x v="90"/>
    </i>
    <i r="2">
      <x v="267"/>
      <x v="3"/>
      <x v="45"/>
    </i>
    <i t="default" r="1">
      <x v="36"/>
    </i>
    <i>
      <x v="16"/>
      <x v="5"/>
      <x v="22"/>
      <x v="3"/>
      <x v="43"/>
    </i>
    <i r="2">
      <x v="24"/>
      <x v="3"/>
      <x v="47"/>
    </i>
    <i r="2">
      <x v="27"/>
      <x v="3"/>
      <x v="86"/>
    </i>
    <i r="2">
      <x v="78"/>
      <x v="3"/>
      <x v="119"/>
    </i>
    <i r="2">
      <x v="115"/>
      <x v="3"/>
      <x v="49"/>
    </i>
    <i r="2">
      <x v="133"/>
      <x v="4"/>
      <x v="178"/>
    </i>
    <i r="2">
      <x v="141"/>
      <x/>
      <x v="47"/>
    </i>
    <i r="2">
      <x v="174"/>
      <x v="3"/>
      <x v="150"/>
    </i>
    <i r="2">
      <x v="287"/>
      <x v="3"/>
      <x v="48"/>
    </i>
    <i r="2">
      <x v="300"/>
      <x v="3"/>
      <x v="48"/>
    </i>
    <i r="2">
      <x v="327"/>
      <x/>
      <x v="26"/>
    </i>
    <i r="2">
      <x v="370"/>
      <x v="3"/>
      <x v="43"/>
    </i>
    <i r="2">
      <x v="386"/>
      <x v="3"/>
      <x v="45"/>
    </i>
    <i r="2">
      <x v="387"/>
      <x/>
      <x v="46"/>
    </i>
    <i r="2">
      <x v="396"/>
      <x v="3"/>
      <x v="15"/>
    </i>
    <i r="2">
      <x v="423"/>
      <x v="3"/>
      <x v="157"/>
    </i>
    <i t="default" r="1">
      <x v="5"/>
    </i>
    <i>
      <x v="17"/>
      <x v="33"/>
      <x v="112"/>
      <x v="3"/>
      <x v="29"/>
    </i>
    <i r="2">
      <x v="125"/>
      <x v="3"/>
      <x v="72"/>
    </i>
    <i r="2">
      <x v="192"/>
      <x v="4"/>
      <x v="183"/>
    </i>
    <i r="2">
      <x v="282"/>
      <x v="1"/>
      <x v="13"/>
    </i>
    <i r="2">
      <x v="283"/>
      <x v="1"/>
      <x v="22"/>
    </i>
    <i r="2">
      <x v="376"/>
      <x v="3"/>
      <x v="35"/>
    </i>
    <i r="2">
      <x v="430"/>
      <x v="3"/>
      <x v="46"/>
    </i>
    <i t="default" r="1">
      <x v="33"/>
    </i>
    <i>
      <x v="18"/>
      <x/>
      <x v="98"/>
      <x v="3"/>
      <x v="48"/>
    </i>
    <i r="2">
      <x v="124"/>
      <x v="3"/>
      <x v="173"/>
    </i>
    <i r="2">
      <x v="158"/>
      <x v="3"/>
      <x v="145"/>
    </i>
    <i r="2">
      <x v="159"/>
      <x v="3"/>
      <x v="139"/>
    </i>
    <i r="2">
      <x v="177"/>
      <x v="3"/>
      <x v="94"/>
    </i>
    <i r="2">
      <x v="178"/>
      <x/>
      <x v="47"/>
    </i>
    <i r="2">
      <x v="258"/>
      <x/>
      <x v="50"/>
    </i>
    <i r="2">
      <x v="273"/>
      <x v="3"/>
      <x v="140"/>
    </i>
    <i r="2">
      <x v="286"/>
      <x v="3"/>
      <x v="46"/>
    </i>
    <i r="2">
      <x v="289"/>
      <x/>
      <x v="132"/>
    </i>
    <i r="2">
      <x v="297"/>
      <x/>
      <x v="159"/>
    </i>
    <i r="2">
      <x v="305"/>
      <x/>
      <x v="48"/>
    </i>
    <i r="2">
      <x v="306"/>
      <x v="3"/>
      <x v="43"/>
    </i>
    <i r="2">
      <x v="392"/>
      <x v="3"/>
      <x v="133"/>
    </i>
    <i r="2">
      <x v="420"/>
      <x/>
      <x v="107"/>
    </i>
    <i r="2">
      <x v="421"/>
      <x v="5"/>
      <x v="88"/>
    </i>
    <i r="2">
      <x v="435"/>
      <x/>
      <x v="47"/>
    </i>
    <i t="default" r="1">
      <x/>
    </i>
    <i>
      <x v="19"/>
      <x v="46"/>
      <x v="49"/>
      <x v="3"/>
      <x v="47"/>
    </i>
    <i r="2">
      <x v="64"/>
      <x/>
      <x v="33"/>
    </i>
    <i r="2">
      <x v="72"/>
      <x v="3"/>
      <x v="41"/>
    </i>
    <i r="2">
      <x v="126"/>
      <x v="4"/>
      <x v="182"/>
    </i>
    <i r="2">
      <x v="144"/>
      <x v="3"/>
      <x v="125"/>
    </i>
    <i r="2">
      <x v="191"/>
      <x v="3"/>
      <x v="45"/>
    </i>
    <i r="2">
      <x v="302"/>
      <x v="3"/>
      <x v="46"/>
    </i>
    <i r="2">
      <x v="325"/>
      <x v="3"/>
      <x v="48"/>
    </i>
    <i r="2">
      <x v="330"/>
      <x v="3"/>
      <x v="41"/>
    </i>
    <i r="2">
      <x v="342"/>
      <x v="3"/>
      <x v="125"/>
    </i>
    <i r="2">
      <x v="350"/>
      <x v="3"/>
      <x v="48"/>
    </i>
    <i r="2">
      <x v="432"/>
      <x v="4"/>
      <x v="212"/>
    </i>
    <i t="default" r="1">
      <x v="46"/>
    </i>
    <i>
      <x v="20"/>
      <x v="31"/>
      <x v="299"/>
      <x v="3"/>
      <x v="8"/>
    </i>
    <i r="2">
      <x v="440"/>
      <x v="3"/>
      <x v="50"/>
    </i>
    <i t="default" r="1">
      <x v="31"/>
    </i>
    <i>
      <x v="21"/>
      <x v="34"/>
      <x v="28"/>
      <x v="3"/>
      <x v="44"/>
    </i>
    <i r="2">
      <x v="46"/>
      <x v="3"/>
      <x v="81"/>
    </i>
    <i r="2">
      <x v="110"/>
      <x v="3"/>
      <x v="48"/>
    </i>
    <i r="2">
      <x v="135"/>
      <x v="3"/>
      <x v="45"/>
    </i>
    <i r="2">
      <x v="182"/>
      <x v="3"/>
      <x v="45"/>
    </i>
    <i r="2">
      <x v="194"/>
      <x v="3"/>
      <x v="79"/>
    </i>
    <i r="2">
      <x v="206"/>
      <x v="3"/>
      <x v="46"/>
    </i>
    <i r="2">
      <x v="212"/>
      <x v="3"/>
      <x v="60"/>
    </i>
    <i r="2">
      <x v="235"/>
      <x v="3"/>
      <x v="46"/>
    </i>
    <i r="2">
      <x v="243"/>
      <x/>
      <x v="169"/>
    </i>
    <i r="2">
      <x v="244"/>
      <x v="3"/>
      <x v="142"/>
    </i>
    <i r="2">
      <x v="245"/>
      <x/>
      <x v="166"/>
    </i>
    <i r="2">
      <x v="248"/>
      <x v="3"/>
      <x v="44"/>
    </i>
    <i r="2">
      <x v="254"/>
      <x v="3"/>
      <x v="42"/>
    </i>
    <i r="2">
      <x v="256"/>
      <x/>
      <x v="95"/>
    </i>
    <i r="2">
      <x v="269"/>
      <x v="3"/>
      <x v="48"/>
    </i>
    <i r="2">
      <x v="272"/>
      <x v="3"/>
      <x v="32"/>
    </i>
    <i r="2">
      <x v="285"/>
      <x v="3"/>
      <x v="46"/>
    </i>
    <i r="2">
      <x v="293"/>
      <x v="3"/>
      <x v="48"/>
    </i>
    <i r="2">
      <x v="341"/>
      <x v="3"/>
      <x v="48"/>
    </i>
    <i r="2">
      <x v="369"/>
      <x/>
      <x v="37"/>
    </i>
    <i r="2">
      <x v="374"/>
      <x v="3"/>
      <x v="41"/>
    </i>
    <i r="2">
      <x v="378"/>
      <x v="3"/>
      <x v="44"/>
    </i>
    <i r="2">
      <x v="381"/>
      <x v="3"/>
      <x v="45"/>
    </i>
    <i r="2">
      <x v="383"/>
      <x v="3"/>
      <x v="101"/>
    </i>
    <i r="2">
      <x v="391"/>
      <x v="3"/>
      <x v="129"/>
    </i>
    <i r="2">
      <x v="410"/>
      <x v="3"/>
      <x v="98"/>
    </i>
    <i r="2">
      <x v="426"/>
      <x v="3"/>
      <x v="48"/>
    </i>
    <i r="2">
      <x v="451"/>
      <x v="3"/>
      <x v="51"/>
    </i>
    <i t="default" r="1">
      <x v="34"/>
    </i>
    <i>
      <x v="22"/>
      <x v="52"/>
      <x v="90"/>
      <x/>
      <x v="47"/>
    </i>
    <i r="2">
      <x v="134"/>
      <x v="3"/>
      <x v="28"/>
    </i>
    <i r="2">
      <x v="164"/>
      <x v="3"/>
      <x v="163"/>
    </i>
    <i r="2">
      <x v="193"/>
      <x v="4"/>
      <x v="204"/>
    </i>
    <i r="2">
      <x v="222"/>
      <x v="3"/>
      <x v="52"/>
    </i>
    <i r="2">
      <x v="237"/>
      <x v="3"/>
      <x v="43"/>
    </i>
    <i r="2">
      <x v="246"/>
      <x v="3"/>
      <x v="9"/>
    </i>
    <i r="2">
      <x v="292"/>
      <x v="4"/>
      <x v="192"/>
    </i>
    <i r="2">
      <x v="344"/>
      <x v="3"/>
      <x v="53"/>
    </i>
    <i r="2">
      <x v="352"/>
      <x v="3"/>
      <x v="46"/>
    </i>
    <i r="2">
      <x v="355"/>
      <x v="3"/>
      <x v="48"/>
    </i>
    <i r="2">
      <x v="406"/>
      <x v="4"/>
      <x v="205"/>
    </i>
    <i r="2">
      <x v="419"/>
      <x/>
      <x v="48"/>
    </i>
    <i t="default" r="1">
      <x v="52"/>
    </i>
    <i>
      <x v="23"/>
      <x v="40"/>
      <x v="214"/>
      <x v="3"/>
      <x v="45"/>
    </i>
    <i t="default" r="1">
      <x v="40"/>
    </i>
    <i>
      <x v="24"/>
      <x v="50"/>
      <x v="102"/>
      <x v="3"/>
      <x v="17"/>
    </i>
    <i t="default" r="1">
      <x v="50"/>
    </i>
    <i>
      <x v="25"/>
      <x v="49"/>
      <x v="45"/>
      <x v="3"/>
      <x v="146"/>
    </i>
    <i r="2">
      <x v="61"/>
      <x/>
      <x v="57"/>
    </i>
    <i r="2">
      <x v="216"/>
      <x v="3"/>
      <x v="144"/>
    </i>
    <i r="2">
      <x v="349"/>
      <x v="3"/>
      <x v="48"/>
    </i>
    <i r="2">
      <x v="397"/>
      <x v="3"/>
      <x v="109"/>
    </i>
    <i t="default" r="1">
      <x v="49"/>
    </i>
    <i>
      <x v="26"/>
      <x v="39"/>
      <x v="83"/>
      <x v="3"/>
      <x v="1"/>
    </i>
    <i r="2">
      <x v="104"/>
      <x v="3"/>
      <x v="35"/>
    </i>
    <i r="2">
      <x v="105"/>
      <x v="4"/>
      <x v="186"/>
    </i>
    <i r="2">
      <x v="106"/>
      <x/>
      <x v="61"/>
    </i>
    <i r="2">
      <x v="311"/>
      <x v="3"/>
      <x v="38"/>
    </i>
    <i r="2">
      <x v="336"/>
      <x v="3"/>
      <x/>
    </i>
    <i r="2">
      <x v="365"/>
      <x v="3"/>
      <x v="14"/>
    </i>
    <i r="2">
      <x v="416"/>
      <x v="3"/>
      <x v="50"/>
    </i>
    <i r="2">
      <x v="422"/>
      <x/>
      <x v="42"/>
    </i>
    <i r="2">
      <x v="448"/>
      <x/>
      <x v="43"/>
    </i>
    <i t="default" r="1">
      <x v="39"/>
    </i>
    <i>
      <x v="27"/>
      <x v="58"/>
      <x v="5"/>
      <x v="3"/>
      <x v="36"/>
    </i>
    <i r="2">
      <x v="6"/>
      <x v="3"/>
      <x v="37"/>
    </i>
    <i r="2">
      <x v="26"/>
      <x v="3"/>
      <x v="44"/>
    </i>
    <i r="2">
      <x v="70"/>
      <x v="3"/>
      <x v="44"/>
    </i>
    <i r="2">
      <x v="116"/>
      <x/>
      <x v="158"/>
    </i>
    <i r="2">
      <x v="123"/>
      <x v="3"/>
      <x v="128"/>
    </i>
    <i r="2">
      <x v="160"/>
      <x v="4"/>
      <x v="207"/>
    </i>
    <i r="2">
      <x v="161"/>
      <x v="4"/>
      <x v="177"/>
    </i>
    <i r="2">
      <x v="198"/>
      <x v="3"/>
      <x v="46"/>
    </i>
    <i r="2">
      <x v="280"/>
      <x v="3"/>
      <x v="44"/>
    </i>
    <i r="2">
      <x v="284"/>
      <x v="3"/>
      <x v="46"/>
    </i>
    <i r="2">
      <x v="318"/>
      <x/>
      <x v="47"/>
    </i>
    <i r="2">
      <x v="340"/>
      <x v="3"/>
      <x v="78"/>
    </i>
    <i r="2">
      <x v="347"/>
      <x v="3"/>
      <x v="48"/>
    </i>
    <i r="2">
      <x v="360"/>
      <x v="3"/>
      <x v="46"/>
    </i>
    <i r="2">
      <x v="399"/>
      <x v="3"/>
      <x v="48"/>
    </i>
    <i r="2">
      <x v="417"/>
      <x v="4"/>
      <x v="206"/>
    </i>
    <i r="2">
      <x v="437"/>
      <x v="3"/>
      <x v="46"/>
    </i>
    <i t="default" r="1">
      <x v="58"/>
    </i>
    <i>
      <x v="28"/>
      <x v="65"/>
      <x v="382"/>
      <x v="3"/>
      <x v="48"/>
    </i>
    <i t="default" r="1">
      <x v="65"/>
    </i>
    <i>
      <x v="29"/>
      <x v="35"/>
      <x v="165"/>
      <x v="4"/>
      <x v="210"/>
    </i>
    <i r="2">
      <x v="338"/>
      <x v="4"/>
      <x v="206"/>
    </i>
    <i r="2">
      <x v="418"/>
      <x v="3"/>
      <x v="46"/>
    </i>
    <i t="default" r="1">
      <x v="35"/>
    </i>
    <i>
      <x v="30"/>
      <x v="10"/>
      <x v="57"/>
      <x v="3"/>
      <x v="47"/>
    </i>
    <i r="2">
      <x v="260"/>
      <x v="3"/>
      <x v="5"/>
    </i>
    <i t="default" r="1">
      <x v="10"/>
    </i>
    <i>
      <x v="31"/>
      <x v="38"/>
      <x v="11"/>
      <x v="3"/>
      <x v="131"/>
    </i>
    <i r="2">
      <x v="67"/>
      <x v="3"/>
      <x v="165"/>
    </i>
    <i r="2">
      <x v="427"/>
      <x v="3"/>
      <x v="48"/>
    </i>
    <i r="2">
      <x v="447"/>
      <x v="4"/>
      <x v="188"/>
    </i>
    <i t="default" r="1">
      <x v="38"/>
    </i>
    <i>
      <x v="32"/>
      <x v="18"/>
      <x v="431"/>
      <x v="3"/>
      <x v="46"/>
    </i>
    <i t="default" r="1">
      <x v="18"/>
    </i>
    <i>
      <x v="33"/>
      <x v="57"/>
      <x v="47"/>
      <x v="3"/>
      <x v="49"/>
    </i>
    <i r="2">
      <x v="74"/>
      <x/>
      <x v="49"/>
    </i>
    <i r="2">
      <x v="168"/>
      <x v="3"/>
      <x v="49"/>
    </i>
    <i r="2">
      <x v="209"/>
      <x v="3"/>
      <x v="46"/>
    </i>
    <i t="default" r="1">
      <x v="57"/>
    </i>
    <i>
      <x v="34"/>
      <x v="55"/>
      <x v="44"/>
      <x/>
      <x v="29"/>
    </i>
    <i r="2">
      <x v="109"/>
      <x v="3"/>
      <x v="106"/>
    </i>
    <i r="2">
      <x v="296"/>
      <x v="3"/>
      <x v="48"/>
    </i>
    <i r="2">
      <x v="301"/>
      <x v="3"/>
      <x v="8"/>
    </i>
    <i t="default" r="1">
      <x v="55"/>
    </i>
    <i>
      <x v="35"/>
      <x v="61"/>
      <x v="320"/>
      <x v="3"/>
      <x v="92"/>
    </i>
    <i r="2">
      <x v="343"/>
      <x v="3"/>
      <x v="53"/>
    </i>
    <i r="2">
      <x v="395"/>
      <x/>
      <x v="74"/>
    </i>
    <i r="2">
      <x v="438"/>
      <x v="3"/>
      <x v="118"/>
    </i>
    <i t="default" r="1">
      <x v="61"/>
    </i>
    <i>
      <x v="36"/>
      <x v="19"/>
      <x v="195"/>
      <x v="3"/>
      <x v="68"/>
    </i>
    <i r="2">
      <x v="226"/>
      <x v="3"/>
      <x v="63"/>
    </i>
    <i r="2">
      <x v="337"/>
      <x v="3"/>
      <x v="131"/>
    </i>
    <i t="default" r="1">
      <x v="19"/>
    </i>
    <i>
      <x v="37"/>
      <x v="3"/>
      <x v="63"/>
      <x v="3"/>
      <x v="49"/>
    </i>
    <i r="2">
      <x v="151"/>
      <x v="3"/>
      <x v="136"/>
    </i>
    <i r="2">
      <x v="152"/>
      <x v="3"/>
      <x v="59"/>
    </i>
    <i r="2">
      <x v="153"/>
      <x v="7"/>
      <x v="9"/>
    </i>
    <i r="2">
      <x v="234"/>
      <x v="3"/>
      <x v="127"/>
    </i>
    <i r="2">
      <x v="310"/>
      <x v="3"/>
      <x v="49"/>
    </i>
    <i r="2">
      <x v="323"/>
      <x v="3"/>
      <x v="126"/>
    </i>
    <i r="2">
      <x v="379"/>
      <x v="3"/>
      <x v="46"/>
    </i>
    <i r="2">
      <x v="424"/>
      <x/>
      <x v="121"/>
    </i>
    <i r="2">
      <x v="425"/>
      <x v="3"/>
      <x v="62"/>
    </i>
    <i r="2">
      <x v="428"/>
      <x v="3"/>
      <x v="48"/>
    </i>
    <i t="default" r="1">
      <x v="3"/>
    </i>
    <i>
      <x v="38"/>
      <x v="62"/>
      <x/>
      <x v="3"/>
      <x v="50"/>
    </i>
    <i r="2">
      <x v="18"/>
      <x v="3"/>
      <x v="45"/>
    </i>
    <i r="2">
      <x v="30"/>
      <x v="4"/>
      <x v="208"/>
    </i>
    <i r="2">
      <x v="31"/>
      <x v="3"/>
      <x v="143"/>
    </i>
    <i r="2">
      <x v="33"/>
      <x v="3"/>
      <x v="82"/>
    </i>
    <i r="2">
      <x v="34"/>
      <x v="4"/>
      <x v="176"/>
    </i>
    <i r="2">
      <x v="53"/>
      <x v="3"/>
      <x v="69"/>
    </i>
    <i r="2">
      <x v="55"/>
      <x v="3"/>
      <x v="89"/>
    </i>
    <i r="2">
      <x v="87"/>
      <x v="3"/>
      <x v="48"/>
    </i>
    <i r="2">
      <x v="92"/>
      <x v="3"/>
      <x v="100"/>
    </i>
    <i r="2">
      <x v="95"/>
      <x v="3"/>
      <x v="111"/>
    </i>
    <i r="2">
      <x v="103"/>
      <x v="3"/>
      <x v="175"/>
    </i>
    <i r="2">
      <x v="107"/>
      <x v="3"/>
      <x v="70"/>
    </i>
    <i r="2">
      <x v="108"/>
      <x v="3"/>
      <x v="71"/>
    </i>
    <i r="2">
      <x v="204"/>
      <x v="3"/>
      <x v="46"/>
    </i>
    <i r="2">
      <x v="207"/>
      <x v="3"/>
      <x v="116"/>
    </i>
    <i r="2">
      <x v="223"/>
      <x v="3"/>
      <x v="93"/>
    </i>
    <i r="2">
      <x v="266"/>
      <x v="3"/>
      <x v="151"/>
    </i>
    <i r="2">
      <x v="304"/>
      <x v="3"/>
      <x v="50"/>
    </i>
    <i r="2">
      <x v="322"/>
      <x v="3"/>
      <x v="171"/>
    </i>
    <i r="2">
      <x v="353"/>
      <x v="3"/>
      <x v="47"/>
    </i>
    <i r="2">
      <x v="354"/>
      <x v="3"/>
      <x v="47"/>
    </i>
    <i r="2">
      <x v="371"/>
      <x v="3"/>
      <x v="152"/>
    </i>
    <i r="2">
      <x v="390"/>
      <x v="3"/>
      <x v="156"/>
    </i>
    <i r="2">
      <x v="407"/>
      <x v="4"/>
      <x v="196"/>
    </i>
    <i r="2">
      <x v="408"/>
      <x v="3"/>
      <x v="151"/>
    </i>
    <i r="2">
      <x v="409"/>
      <x v="3"/>
      <x v="123"/>
    </i>
    <i r="2">
      <x v="413"/>
      <x v="3"/>
      <x v="2"/>
    </i>
    <i r="2">
      <x v="414"/>
      <x v="3"/>
      <x v="84"/>
    </i>
    <i r="2">
      <x v="415"/>
      <x v="3"/>
      <x v="115"/>
    </i>
    <i r="2">
      <x v="442"/>
      <x v="3"/>
      <x v="47"/>
    </i>
    <i r="2">
      <x v="444"/>
      <x v="3"/>
      <x v="45"/>
    </i>
    <i t="default" r="1">
      <x v="62"/>
    </i>
    <i>
      <x v="39"/>
      <x v="51"/>
      <x v="4"/>
      <x v="3"/>
      <x v="170"/>
    </i>
    <i r="2">
      <x v="76"/>
      <x v="3"/>
      <x v="50"/>
    </i>
    <i r="2">
      <x v="130"/>
      <x v="3"/>
      <x v="46"/>
    </i>
    <i r="2">
      <x v="188"/>
      <x v="4"/>
      <x v="197"/>
    </i>
    <i r="2">
      <x v="224"/>
      <x v="3"/>
      <x v="141"/>
    </i>
    <i r="2">
      <x v="314"/>
      <x v="4"/>
      <x v="208"/>
    </i>
    <i r="2">
      <x v="321"/>
      <x v="3"/>
      <x v="172"/>
    </i>
    <i r="2">
      <x v="339"/>
      <x v="4"/>
      <x v="201"/>
    </i>
    <i r="2">
      <x v="402"/>
      <x v="3"/>
      <x v="54"/>
    </i>
    <i t="default" r="1">
      <x v="51"/>
    </i>
    <i>
      <x v="40"/>
      <x v="28"/>
      <x v="15"/>
      <x v="4"/>
      <x v="198"/>
    </i>
    <i r="2">
      <x v="17"/>
      <x v="3"/>
      <x v="87"/>
    </i>
    <i r="2">
      <x v="19"/>
      <x v="3"/>
      <x v="48"/>
    </i>
    <i r="2">
      <x v="29"/>
      <x v="3"/>
      <x v="96"/>
    </i>
    <i r="2">
      <x v="38"/>
      <x/>
      <x v="167"/>
    </i>
    <i r="2">
      <x v="81"/>
      <x v="3"/>
      <x v="130"/>
    </i>
    <i r="2">
      <x v="120"/>
      <x v="3"/>
      <x v="49"/>
    </i>
    <i r="2">
      <x v="122"/>
      <x v="3"/>
      <x v="160"/>
    </i>
    <i r="2">
      <x v="138"/>
      <x v="4"/>
      <x v="55"/>
    </i>
    <i r="2">
      <x v="149"/>
      <x v="3"/>
      <x v="50"/>
    </i>
    <i r="2">
      <x v="185"/>
      <x v="3"/>
      <x v="145"/>
    </i>
    <i r="2">
      <x v="232"/>
      <x v="3"/>
      <x v="46"/>
    </i>
    <i r="2">
      <x v="239"/>
      <x v="3"/>
      <x v="45"/>
    </i>
    <i r="2">
      <x v="240"/>
      <x v="3"/>
      <x v="46"/>
    </i>
    <i r="2">
      <x v="261"/>
      <x v="3"/>
      <x v="97"/>
    </i>
    <i r="2">
      <x v="270"/>
      <x v="3"/>
      <x v="48"/>
    </i>
    <i r="2">
      <x v="277"/>
      <x v="3"/>
      <x v="134"/>
    </i>
    <i r="2">
      <x v="279"/>
      <x v="4"/>
      <x v="193"/>
    </i>
    <i r="2">
      <x v="316"/>
      <x v="3"/>
      <x v="48"/>
    </i>
    <i r="2">
      <x v="328"/>
      <x v="3"/>
      <x v="48"/>
    </i>
    <i r="2">
      <x v="366"/>
      <x v="3"/>
      <x v="114"/>
    </i>
    <i r="2">
      <x v="375"/>
      <x v="3"/>
      <x v="47"/>
    </i>
    <i r="2">
      <x v="384"/>
      <x v="3"/>
      <x v="49"/>
    </i>
    <i r="2">
      <x v="389"/>
      <x v="4"/>
      <x v="191"/>
    </i>
    <i r="2">
      <x v="394"/>
      <x v="3"/>
      <x v="120"/>
    </i>
    <i r="2">
      <x v="446"/>
      <x v="3"/>
      <x v="148"/>
    </i>
    <i r="2">
      <x v="449"/>
      <x v="4"/>
      <x v="203"/>
    </i>
    <i t="default" r="1">
      <x v="28"/>
    </i>
    <i>
      <x v="41"/>
      <x v="53"/>
      <x v="1"/>
      <x v="3"/>
      <x v="153"/>
    </i>
    <i r="2">
      <x v="48"/>
      <x v="3"/>
      <x v="117"/>
    </i>
    <i r="2">
      <x v="89"/>
      <x v="3"/>
      <x v="47"/>
    </i>
    <i r="2">
      <x v="208"/>
      <x v="4"/>
      <x v="202"/>
    </i>
    <i r="2">
      <x v="213"/>
      <x v="4"/>
      <x v="211"/>
    </i>
    <i r="2">
      <x v="225"/>
      <x v="3"/>
      <x v="14"/>
    </i>
    <i r="2">
      <x v="227"/>
      <x v="3"/>
      <x v="66"/>
    </i>
    <i r="2">
      <x v="236"/>
      <x v="3"/>
      <x v="47"/>
    </i>
    <i r="2">
      <x v="348"/>
      <x v="4"/>
      <x v="195"/>
    </i>
    <i r="2">
      <x v="357"/>
      <x v="3"/>
      <x v="47"/>
    </i>
    <i r="2">
      <x v="404"/>
      <x v="3"/>
      <x v="46"/>
    </i>
    <i r="2">
      <x v="405"/>
      <x v="3"/>
      <x v="167"/>
    </i>
    <i r="2">
      <x v="439"/>
      <x v="4"/>
      <x v="213"/>
    </i>
    <i r="2">
      <x v="443"/>
      <x v="3"/>
      <x v="47"/>
    </i>
    <i t="default" r="1">
      <x v="53"/>
    </i>
    <i>
      <x v="42"/>
      <x v="7"/>
      <x v="32"/>
      <x v="3"/>
      <x v="47"/>
    </i>
    <i r="2">
      <x v="36"/>
      <x v="3"/>
      <x v="105"/>
    </i>
    <i r="2">
      <x v="86"/>
      <x v="3"/>
      <x v="45"/>
    </i>
    <i r="2">
      <x v="96"/>
      <x v="3"/>
      <x v="46"/>
    </i>
    <i r="2">
      <x v="121"/>
      <x v="3"/>
      <x v="50"/>
    </i>
    <i r="2">
      <x v="145"/>
      <x v="3"/>
      <x v="50"/>
    </i>
    <i r="2">
      <x v="166"/>
      <x v="3"/>
      <x v="49"/>
    </i>
    <i r="2">
      <x v="167"/>
      <x v="3"/>
      <x v="49"/>
    </i>
    <i r="2">
      <x v="172"/>
      <x v="3"/>
      <x v="26"/>
    </i>
    <i r="2">
      <x v="231"/>
      <x v="3"/>
      <x v="46"/>
    </i>
    <i r="2">
      <x v="317"/>
      <x v="3"/>
      <x v="47"/>
    </i>
    <i r="2">
      <x v="332"/>
      <x v="3"/>
      <x v="83"/>
    </i>
    <i r="2">
      <x v="429"/>
      <x v="3"/>
      <x v="50"/>
    </i>
    <i t="default" r="1">
      <x v="7"/>
    </i>
    <i>
      <x v="43"/>
      <x v="29"/>
      <x v="13"/>
      <x/>
      <x v="45"/>
    </i>
    <i r="2">
      <x v="14"/>
      <x v="3"/>
      <x v="190"/>
    </i>
    <i r="2">
      <x v="16"/>
      <x/>
      <x v="91"/>
    </i>
    <i r="2">
      <x v="84"/>
      <x v="3"/>
      <x v="90"/>
    </i>
    <i r="2">
      <x v="133"/>
      <x v="3"/>
      <x v="149"/>
    </i>
    <i r="2">
      <x v="181"/>
      <x v="3"/>
      <x v="113"/>
    </i>
    <i r="2">
      <x v="210"/>
      <x v="3"/>
      <x v="162"/>
    </i>
    <i r="2">
      <x v="291"/>
      <x v="3"/>
      <x v="154"/>
    </i>
    <i r="2">
      <x v="312"/>
      <x v="3"/>
      <x v="138"/>
    </i>
    <i t="default" r="1">
      <x v="29"/>
    </i>
    <i>
      <x v="44"/>
      <x v="25"/>
      <x v="21"/>
      <x v="3"/>
      <x v="43"/>
    </i>
    <i r="2">
      <x v="23"/>
      <x v="3"/>
      <x v="49"/>
    </i>
    <i r="2">
      <x v="35"/>
      <x/>
      <x v="189"/>
    </i>
    <i r="2">
      <x v="150"/>
      <x v="3"/>
      <x v="108"/>
    </i>
    <i r="2">
      <x v="173"/>
      <x v="3"/>
      <x v="49"/>
    </i>
    <i r="2">
      <x v="186"/>
      <x v="3"/>
      <x v="148"/>
    </i>
    <i r="2">
      <x v="203"/>
      <x/>
      <x v="78"/>
    </i>
    <i r="2">
      <x v="219"/>
      <x v="4"/>
      <x v="184"/>
    </i>
    <i r="2">
      <x v="241"/>
      <x v="3"/>
      <x v="46"/>
    </i>
    <i r="2">
      <x v="249"/>
      <x v="3"/>
      <x v="48"/>
    </i>
    <i r="2">
      <x v="250"/>
      <x v="3"/>
      <x v="48"/>
    </i>
    <i r="2">
      <x v="251"/>
      <x v="3"/>
      <x v="48"/>
    </i>
    <i r="2">
      <x v="252"/>
      <x v="3"/>
      <x v="48"/>
    </i>
    <i r="2">
      <x v="298"/>
      <x/>
      <x v="36"/>
    </i>
    <i r="2">
      <x v="329"/>
      <x v="3"/>
      <x v="50"/>
    </i>
    <i r="2">
      <x v="362"/>
      <x v="3"/>
      <x v="82"/>
    </i>
    <i r="2">
      <x v="393"/>
      <x v="4"/>
      <x v="187"/>
    </i>
    <i r="2">
      <x v="398"/>
      <x v="3"/>
      <x v="80"/>
    </i>
    <i r="2">
      <x v="433"/>
      <x v="3"/>
      <x v="50"/>
    </i>
    <i r="2">
      <x v="434"/>
      <x v="3"/>
      <x v="48"/>
    </i>
    <i t="default" r="1">
      <x v="25"/>
    </i>
    <i>
      <x v="45"/>
      <x v="24"/>
      <x v="52"/>
      <x v="3"/>
      <x v="49"/>
    </i>
    <i r="2">
      <x v="97"/>
      <x v="3"/>
      <x v="58"/>
    </i>
    <i r="2">
      <x v="101"/>
      <x v="3"/>
      <x v="45"/>
    </i>
    <i r="2">
      <x v="189"/>
      <x v="3"/>
      <x v="7"/>
    </i>
    <i r="2">
      <x v="190"/>
      <x v="3"/>
      <x v="38"/>
    </i>
    <i r="2">
      <x v="253"/>
      <x v="3"/>
      <x v="48"/>
    </i>
    <i r="2">
      <x v="263"/>
      <x v="3"/>
      <x v="46"/>
    </i>
    <i r="2">
      <x v="307"/>
      <x v="3"/>
      <x v="38"/>
    </i>
    <i r="2">
      <x v="368"/>
      <x v="4"/>
      <x v="185"/>
    </i>
    <i r="2">
      <x v="385"/>
      <x/>
      <x v="30"/>
    </i>
    <i r="2">
      <x v="411"/>
      <x v="3"/>
      <x v="48"/>
    </i>
    <i r="2">
      <x v="445"/>
      <x v="3"/>
      <x v="42"/>
    </i>
    <i t="default" r="1">
      <x v="24"/>
    </i>
    <i>
      <x v="46"/>
      <x v="12"/>
      <x v="59"/>
      <x v="3"/>
      <x v="5"/>
    </i>
    <i r="2">
      <x v="60"/>
      <x v="3"/>
      <x v="47"/>
    </i>
    <i r="2">
      <x v="441"/>
      <x v="3"/>
      <x v="109"/>
    </i>
    <i t="default" r="1">
      <x v="12"/>
    </i>
    <i>
      <x v="47"/>
      <x v="37"/>
      <x v="37"/>
      <x v="3"/>
      <x v="18"/>
    </i>
    <i r="2">
      <x v="85"/>
      <x v="3"/>
      <x v="99"/>
    </i>
    <i r="2">
      <x v="118"/>
      <x v="1"/>
      <x v="24"/>
    </i>
    <i r="2">
      <x v="184"/>
      <x v="3"/>
      <x v="39"/>
    </i>
    <i r="2">
      <x v="234"/>
      <x v="4"/>
      <x v="181"/>
    </i>
    <i r="2">
      <x v="319"/>
      <x v="3"/>
      <x v="47"/>
    </i>
    <i r="2">
      <x v="356"/>
      <x/>
      <x v="48"/>
    </i>
    <i r="2">
      <x v="358"/>
      <x v="3"/>
      <x v="157"/>
    </i>
    <i r="2">
      <x v="359"/>
      <x v="4"/>
      <x v="200"/>
    </i>
    <i t="default" r="1">
      <x v="37"/>
    </i>
    <i>
      <x v="48"/>
      <x v="32"/>
      <x v="276"/>
      <x v="7"/>
      <x v="18"/>
    </i>
    <i t="default" r="1">
      <x v="32"/>
    </i>
    <i>
      <x v="49"/>
      <x v="6"/>
      <x v="309"/>
      <x v="3"/>
      <x v="49"/>
    </i>
    <i r="2">
      <x v="367"/>
      <x v="3"/>
      <x v="48"/>
    </i>
    <i t="default" r="1">
      <x v="6"/>
    </i>
    <i>
      <x v="50"/>
      <x v="44"/>
      <x v="20"/>
      <x v="4"/>
      <x v="180"/>
    </i>
    <i r="2">
      <x v="139"/>
      <x v="3"/>
      <x v="14"/>
    </i>
    <i r="2">
      <x v="169"/>
      <x v="3"/>
      <x v="23"/>
    </i>
    <i r="2">
      <x v="202"/>
      <x v="3"/>
      <x v="45"/>
    </i>
    <i r="2">
      <x v="211"/>
      <x v="3"/>
      <x v="41"/>
    </i>
    <i r="2">
      <x v="265"/>
      <x v="3"/>
      <x v="45"/>
    </i>
    <i r="2">
      <x v="268"/>
      <x v="7"/>
      <x v="16"/>
    </i>
    <i r="2">
      <x v="346"/>
      <x v="3"/>
      <x v="76"/>
    </i>
    <i r="2">
      <x v="388"/>
      <x v="3"/>
      <x v="35"/>
    </i>
    <i t="default" r="1">
      <x v="44"/>
    </i>
    <i>
      <x v="51"/>
      <x v="23"/>
      <x v="220"/>
      <x v="3"/>
      <x v="11"/>
    </i>
    <i r="2">
      <x v="221"/>
      <x v="3"/>
      <x v="19"/>
    </i>
    <i r="2">
      <x v="264"/>
      <x v="3"/>
      <x v="44"/>
    </i>
    <i r="2">
      <x v="361"/>
      <x/>
      <x v="45"/>
    </i>
    <i t="default" r="1">
      <x v="23"/>
    </i>
    <i>
      <x v="52"/>
      <x v="14"/>
      <x v="345"/>
      <x v="3"/>
      <x v="155"/>
    </i>
    <i r="2">
      <x v="436"/>
      <x/>
      <x v="91"/>
    </i>
    <i t="default" r="1">
      <x v="14"/>
    </i>
    <i>
      <x v="53"/>
      <x v="63"/>
      <x v="114"/>
      <x v="3"/>
      <x v="14"/>
    </i>
    <i r="2">
      <x v="143"/>
      <x v="3"/>
      <x v="47"/>
    </i>
    <i r="2">
      <x v="308"/>
      <x v="3"/>
      <x v="40"/>
    </i>
    <i r="2">
      <x v="380"/>
      <x/>
      <x v="50"/>
    </i>
    <i r="2">
      <x v="403"/>
      <x/>
      <x v="46"/>
    </i>
    <i t="default" r="1">
      <x v="63"/>
    </i>
    <i>
      <x v="54"/>
      <x v="64"/>
      <x v="162"/>
      <x v="3"/>
      <x v="20"/>
    </i>
    <i r="2">
      <x v="163"/>
      <x v="3"/>
      <x v="20"/>
    </i>
    <i r="2">
      <x v="278"/>
      <x/>
      <x v="32"/>
    </i>
    <i r="2">
      <x v="313"/>
      <x v="3"/>
      <x v="48"/>
    </i>
    <i r="2">
      <x v="351"/>
      <x v="3"/>
      <x v="48"/>
    </i>
    <i r="2">
      <x v="450"/>
      <x/>
      <x v="29"/>
    </i>
    <i t="default" r="1">
      <x v="64"/>
    </i>
    <i>
      <x v="55"/>
      <x v="48"/>
      <x v="242"/>
      <x v="4"/>
      <x v="182"/>
    </i>
    <i r="2">
      <x v="303"/>
      <x v="3"/>
      <x v="18"/>
    </i>
    <i r="2">
      <x v="412"/>
      <x v="3"/>
      <x v="20"/>
    </i>
    <i t="default" r="1">
      <x v="48"/>
    </i>
    <i>
      <x v="56"/>
      <x v="15"/>
      <x v="3"/>
      <x v="3"/>
      <x v="19"/>
    </i>
    <i r="2">
      <x v="7"/>
      <x v="3"/>
      <x v="5"/>
    </i>
    <i t="default" r="1">
      <x v="15"/>
    </i>
    <i>
      <x v="57"/>
      <x v="30"/>
      <x v="51"/>
      <x v="3"/>
      <x v="46"/>
    </i>
    <i r="2">
      <x v="271"/>
      <x v="3"/>
      <x v="104"/>
    </i>
    <i r="2">
      <x v="324"/>
      <x v="3"/>
      <x v="21"/>
    </i>
    <i t="default" r="1">
      <x v="30"/>
    </i>
    <i>
      <x v="58"/>
      <x v="27"/>
      <x v="62"/>
      <x v="3"/>
      <x v="95"/>
    </i>
    <i r="2">
      <x v="255"/>
      <x v="3"/>
      <x v="48"/>
    </i>
    <i t="default" r="1">
      <x v="27"/>
    </i>
    <i>
      <x v="59"/>
      <x v="1"/>
      <x v="68"/>
      <x v="3"/>
      <x v="10"/>
    </i>
    <i r="2">
      <x v="79"/>
      <x v="3"/>
      <x v="47"/>
    </i>
    <i r="2">
      <x v="80"/>
      <x v="3"/>
      <x v="41"/>
    </i>
    <i r="2">
      <x v="148"/>
      <x v="3"/>
      <x v="85"/>
    </i>
    <i r="2">
      <x v="170"/>
      <x v="3"/>
      <x v="46"/>
    </i>
    <i r="2">
      <x v="187"/>
      <x v="3"/>
      <x v="49"/>
    </i>
    <i r="2">
      <x v="233"/>
      <x v="3"/>
      <x v="46"/>
    </i>
    <i r="2">
      <x v="281"/>
      <x v="2"/>
      <x v="48"/>
    </i>
    <i r="2">
      <x v="315"/>
      <x v="3"/>
      <x v="49"/>
    </i>
    <i r="2">
      <x v="335"/>
      <x v="3"/>
      <x v="46"/>
    </i>
    <i r="2">
      <x v="363"/>
      <x/>
      <x v="50"/>
    </i>
    <i r="2">
      <x v="377"/>
      <x v="3"/>
      <x v="112"/>
    </i>
    <i t="default" r="1">
      <x v="1"/>
    </i>
    <i>
      <x v="60"/>
      <x v="59"/>
      <x v="71"/>
      <x/>
      <x v="37"/>
    </i>
    <i t="default" r="1">
      <x v="59"/>
    </i>
    <i>
      <x v="61"/>
      <x v="21"/>
      <x v="94"/>
      <x v="4"/>
      <x v="209"/>
    </i>
    <i r="2">
      <x v="294"/>
      <x v="3"/>
      <x v="48"/>
    </i>
    <i r="2">
      <x v="295"/>
      <x v="3"/>
      <x v="47"/>
    </i>
    <i t="default" r="1">
      <x v="21"/>
    </i>
    <i>
      <x v="62"/>
      <x v="45"/>
      <x v="93"/>
      <x v="7"/>
      <x v="20"/>
    </i>
    <i t="default" r="1">
      <x v="45"/>
    </i>
    <i>
      <x v="63"/>
      <x v="11"/>
      <x v="183"/>
      <x/>
      <x v="49"/>
    </i>
    <i t="default" r="1">
      <x v="11"/>
    </i>
    <i>
      <x v="64"/>
      <x v="60"/>
      <x v="401"/>
      <x v="7"/>
      <x v="25"/>
    </i>
    <i t="default" r="1">
      <x v="60"/>
    </i>
    <i>
      <x v="65"/>
      <x v="56"/>
      <x v="25"/>
      <x/>
      <x v="64"/>
    </i>
    <i r="2">
      <x v="56"/>
      <x v="4"/>
      <x v="55"/>
    </i>
    <i r="2">
      <x v="275"/>
      <x v="3"/>
      <x v="174"/>
    </i>
    <i t="default" r="1">
      <x v="5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Hes Sayısı" fld="5" baseField="0" baseItem="0" numFmtId="3"/>
    <dataField name=" Kurulu Güç (MW)" fld="6" baseField="0" baseItem="0"/>
    <dataField name=" Ortalama Enerji Üretimi (GWh/Yıl)" fld="7" baseField="0" baseItem="0"/>
  </dataFields>
  <formats count="2112">
    <format dxfId="2125">
      <pivotArea type="all" dataOnly="0" outline="0" fieldPosition="0"/>
    </format>
    <format dxfId="2124">
      <pivotArea dataOnly="0" labelOnly="1" fieldPosition="0">
        <references count="1">
          <reference field="2" count="0"/>
        </references>
      </pivotArea>
    </format>
    <format dxfId="2123">
      <pivotArea dataOnly="0" outline="0" fieldPosition="0">
        <references count="1">
          <reference field="2" count="0" defaultSubtotal="1"/>
        </references>
      </pivotArea>
    </format>
    <format dxfId="2122">
      <pivotArea outline="0" collapsedLevelsAreSubtotals="1" fieldPosition="0"/>
    </format>
    <format dxfId="212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20">
      <pivotArea outline="0" collapsedLevelsAreSubtotals="1" fieldPosition="0"/>
    </format>
    <format dxfId="211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18">
      <pivotArea dataOnly="0" labelOnly="1" fieldPosition="0">
        <references count="2">
          <reference field="0" count="1" selected="0">
            <x v="0"/>
          </reference>
          <reference field="2" count="1" defaultSubtotal="1">
            <x v="9"/>
          </reference>
        </references>
      </pivotArea>
    </format>
    <format dxfId="2117">
      <pivotArea dataOnly="0" labelOnly="1" fieldPosition="0">
        <references count="5">
          <reference field="0" count="1" selected="0">
            <x v="0"/>
          </reference>
          <reference field="1" count="1" selected="0">
            <x v="111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43"/>
          </reference>
        </references>
      </pivotArea>
    </format>
    <format dxfId="2116">
      <pivotArea dataOnly="0" labelOnly="1" fieldPosition="0">
        <references count="5">
          <reference field="0" count="1" selected="0">
            <x v="0"/>
          </reference>
          <reference field="1" count="1" selected="0">
            <x v="199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35"/>
          </reference>
        </references>
      </pivotArea>
    </format>
    <format dxfId="2115">
      <pivotArea dataOnly="0" labelOnly="1" grandRow="1" outline="0" offset="A256" fieldPosition="0"/>
    </format>
    <format dxfId="2114">
      <pivotArea field="4" type="button" dataOnly="0" labelOnly="1" outline="0" axis="axisRow" fieldPosition="4"/>
    </format>
    <format dxfId="2113">
      <pivotArea dataOnly="0" labelOnly="1" grandRow="1" outline="0" fieldPosition="0"/>
    </format>
    <format dxfId="2112">
      <pivotArea dataOnly="0" labelOnly="1" fieldPosition="0">
        <references count="2">
          <reference field="0" count="1" selected="0">
            <x v="0"/>
          </reference>
          <reference field="2" count="1" defaultSubtotal="1">
            <x v="9"/>
          </reference>
        </references>
      </pivotArea>
    </format>
    <format dxfId="2111">
      <pivotArea dataOnly="0" labelOnly="1" fieldPosition="0">
        <references count="2">
          <reference field="0" count="1" selected="0">
            <x v="1"/>
          </reference>
          <reference field="2" count="1" defaultSubtotal="1">
            <x v="8"/>
          </reference>
        </references>
      </pivotArea>
    </format>
    <format dxfId="2110">
      <pivotArea dataOnly="0" labelOnly="1" fieldPosition="0">
        <references count="2">
          <reference field="0" count="1" selected="0">
            <x v="2"/>
          </reference>
          <reference field="2" count="1" defaultSubtotal="1">
            <x v="20"/>
          </reference>
        </references>
      </pivotArea>
    </format>
    <format dxfId="2109">
      <pivotArea dataOnly="0" labelOnly="1" fieldPosition="0">
        <references count="2">
          <reference field="0" count="1" selected="0">
            <x v="3"/>
          </reference>
          <reference field="2" count="1" defaultSubtotal="1">
            <x v="47"/>
          </reference>
        </references>
      </pivotArea>
    </format>
    <format dxfId="2108">
      <pivotArea dataOnly="0" labelOnly="1" fieldPosition="0">
        <references count="2">
          <reference field="0" count="1" selected="0">
            <x v="4"/>
          </reference>
          <reference field="2" count="1" defaultSubtotal="1">
            <x v="2"/>
          </reference>
        </references>
      </pivotArea>
    </format>
    <format dxfId="2107">
      <pivotArea dataOnly="0" labelOnly="1" fieldPosition="0">
        <references count="2">
          <reference field="0" count="1" selected="0">
            <x v="5"/>
          </reference>
          <reference field="2" count="1" defaultSubtotal="1">
            <x v="43"/>
          </reference>
        </references>
      </pivotArea>
    </format>
    <format dxfId="2106">
      <pivotArea dataOnly="0" labelOnly="1" fieldPosition="0">
        <references count="2">
          <reference field="0" count="1" selected="0">
            <x v="6"/>
          </reference>
          <reference field="2" count="1" defaultSubtotal="1">
            <x v="17"/>
          </reference>
        </references>
      </pivotArea>
    </format>
    <format dxfId="2105">
      <pivotArea dataOnly="0" labelOnly="1" fieldPosition="0">
        <references count="2">
          <reference field="0" count="1" selected="0">
            <x v="7"/>
          </reference>
          <reference field="2" count="1" defaultSubtotal="1">
            <x v="26"/>
          </reference>
        </references>
      </pivotArea>
    </format>
    <format dxfId="2104">
      <pivotArea dataOnly="0" labelOnly="1" fieldPosition="0">
        <references count="2">
          <reference field="0" count="1" selected="0">
            <x v="8"/>
          </reference>
          <reference field="2" count="1" defaultSubtotal="1">
            <x v="13"/>
          </reference>
        </references>
      </pivotArea>
    </format>
    <format dxfId="2103">
      <pivotArea dataOnly="0" labelOnly="1" fieldPosition="0">
        <references count="2">
          <reference field="0" count="1" selected="0">
            <x v="9"/>
          </reference>
          <reference field="2" count="1" defaultSubtotal="1">
            <x v="41"/>
          </reference>
        </references>
      </pivotArea>
    </format>
    <format dxfId="2102">
      <pivotArea dataOnly="0" labelOnly="1" fieldPosition="0">
        <references count="2">
          <reference field="0" count="1" selected="0">
            <x v="10"/>
          </reference>
          <reference field="2" count="1" defaultSubtotal="1">
            <x v="54"/>
          </reference>
        </references>
      </pivotArea>
    </format>
    <format dxfId="2101">
      <pivotArea dataOnly="0" labelOnly="1" fieldPosition="0">
        <references count="2">
          <reference field="0" count="1" selected="0">
            <x v="11"/>
          </reference>
          <reference field="2" count="1" defaultSubtotal="1">
            <x v="22"/>
          </reference>
        </references>
      </pivotArea>
    </format>
    <format dxfId="2100">
      <pivotArea dataOnly="0" labelOnly="1" fieldPosition="0">
        <references count="2">
          <reference field="0" count="1" selected="0">
            <x v="12"/>
          </reference>
          <reference field="2" count="1" defaultSubtotal="1">
            <x v="16"/>
          </reference>
        </references>
      </pivotArea>
    </format>
    <format dxfId="2099">
      <pivotArea dataOnly="0" labelOnly="1" fieldPosition="0">
        <references count="2">
          <reference field="0" count="1" selected="0">
            <x v="13"/>
          </reference>
          <reference field="2" count="1" defaultSubtotal="1">
            <x v="4"/>
          </reference>
        </references>
      </pivotArea>
    </format>
    <format dxfId="2098">
      <pivotArea dataOnly="0" labelOnly="1" fieldPosition="0">
        <references count="2">
          <reference field="0" count="1" selected="0">
            <x v="14"/>
          </reference>
          <reference field="2" count="1" defaultSubtotal="1">
            <x v="42"/>
          </reference>
        </references>
      </pivotArea>
    </format>
    <format dxfId="2097">
      <pivotArea dataOnly="0" labelOnly="1" fieldPosition="0">
        <references count="2">
          <reference field="0" count="1" selected="0">
            <x v="15"/>
          </reference>
          <reference field="2" count="1" defaultSubtotal="1">
            <x v="36"/>
          </reference>
        </references>
      </pivotArea>
    </format>
    <format dxfId="2096">
      <pivotArea dataOnly="0" labelOnly="1" fieldPosition="0">
        <references count="2">
          <reference field="0" count="1" selected="0">
            <x v="16"/>
          </reference>
          <reference field="2" count="1" defaultSubtotal="1">
            <x v="5"/>
          </reference>
        </references>
      </pivotArea>
    </format>
    <format dxfId="2095">
      <pivotArea dataOnly="0" labelOnly="1" fieldPosition="0">
        <references count="2">
          <reference field="0" count="1" selected="0">
            <x v="17"/>
          </reference>
          <reference field="2" count="1" defaultSubtotal="1">
            <x v="33"/>
          </reference>
        </references>
      </pivotArea>
    </format>
    <format dxfId="2094">
      <pivotArea dataOnly="0" labelOnly="1" fieldPosition="0">
        <references count="2">
          <reference field="0" count="1" selected="0">
            <x v="18"/>
          </reference>
          <reference field="2" count="1" defaultSubtotal="1">
            <x v="0"/>
          </reference>
        </references>
      </pivotArea>
    </format>
    <format dxfId="2093">
      <pivotArea dataOnly="0" labelOnly="1" fieldPosition="0">
        <references count="2">
          <reference field="0" count="1" selected="0">
            <x v="19"/>
          </reference>
          <reference field="2" count="1" defaultSubtotal="1">
            <x v="46"/>
          </reference>
        </references>
      </pivotArea>
    </format>
    <format dxfId="2092">
      <pivotArea dataOnly="0" labelOnly="1" fieldPosition="0">
        <references count="2">
          <reference field="0" count="1" selected="0">
            <x v="20"/>
          </reference>
          <reference field="2" count="1" defaultSubtotal="1">
            <x v="31"/>
          </reference>
        </references>
      </pivotArea>
    </format>
    <format dxfId="2091">
      <pivotArea dataOnly="0" labelOnly="1" fieldPosition="0">
        <references count="2">
          <reference field="0" count="1" selected="0">
            <x v="21"/>
          </reference>
          <reference field="2" count="1" defaultSubtotal="1">
            <x v="34"/>
          </reference>
        </references>
      </pivotArea>
    </format>
    <format dxfId="2090">
      <pivotArea dataOnly="0" labelOnly="1" fieldPosition="0">
        <references count="2">
          <reference field="0" count="1" selected="0">
            <x v="22"/>
          </reference>
          <reference field="2" count="1" defaultSubtotal="1">
            <x v="52"/>
          </reference>
        </references>
      </pivotArea>
    </format>
    <format dxfId="2089">
      <pivotArea dataOnly="0" labelOnly="1" fieldPosition="0">
        <references count="2">
          <reference field="0" count="1" selected="0">
            <x v="23"/>
          </reference>
          <reference field="2" count="1" defaultSubtotal="1">
            <x v="40"/>
          </reference>
        </references>
      </pivotArea>
    </format>
    <format dxfId="2088">
      <pivotArea dataOnly="0" labelOnly="1" fieldPosition="0">
        <references count="2">
          <reference field="0" count="1" selected="0">
            <x v="24"/>
          </reference>
          <reference field="2" count="1" defaultSubtotal="1">
            <x v="50"/>
          </reference>
        </references>
      </pivotArea>
    </format>
    <format dxfId="2087">
      <pivotArea dataOnly="0" labelOnly="1" fieldPosition="0">
        <references count="2">
          <reference field="0" count="1" selected="0">
            <x v="25"/>
          </reference>
          <reference field="2" count="1" defaultSubtotal="1">
            <x v="49"/>
          </reference>
        </references>
      </pivotArea>
    </format>
    <format dxfId="2086">
      <pivotArea dataOnly="0" labelOnly="1" fieldPosition="0">
        <references count="2">
          <reference field="0" count="1" selected="0">
            <x v="26"/>
          </reference>
          <reference field="2" count="1" defaultSubtotal="1">
            <x v="39"/>
          </reference>
        </references>
      </pivotArea>
    </format>
    <format dxfId="2085">
      <pivotArea dataOnly="0" labelOnly="1" fieldPosition="0">
        <references count="2">
          <reference field="0" count="1" selected="0">
            <x v="27"/>
          </reference>
          <reference field="2" count="1" defaultSubtotal="1">
            <x v="58"/>
          </reference>
        </references>
      </pivotArea>
    </format>
    <format dxfId="2084">
      <pivotArea dataOnly="0" labelOnly="1" fieldPosition="0">
        <references count="2">
          <reference field="0" count="1" selected="0">
            <x v="28"/>
          </reference>
          <reference field="2" count="1" defaultSubtotal="1">
            <x v="65"/>
          </reference>
        </references>
      </pivotArea>
    </format>
    <format dxfId="2083">
      <pivotArea dataOnly="0" labelOnly="1" fieldPosition="0">
        <references count="2">
          <reference field="0" count="1" selected="0">
            <x v="29"/>
          </reference>
          <reference field="2" count="1" defaultSubtotal="1">
            <x v="35"/>
          </reference>
        </references>
      </pivotArea>
    </format>
    <format dxfId="2082">
      <pivotArea dataOnly="0" labelOnly="1" fieldPosition="0">
        <references count="2">
          <reference field="0" count="1" selected="0">
            <x v="30"/>
          </reference>
          <reference field="2" count="1" defaultSubtotal="1">
            <x v="10"/>
          </reference>
        </references>
      </pivotArea>
    </format>
    <format dxfId="2081">
      <pivotArea dataOnly="0" labelOnly="1" fieldPosition="0">
        <references count="2">
          <reference field="0" count="1" selected="0">
            <x v="31"/>
          </reference>
          <reference field="2" count="1" defaultSubtotal="1">
            <x v="38"/>
          </reference>
        </references>
      </pivotArea>
    </format>
    <format dxfId="2080">
      <pivotArea dataOnly="0" labelOnly="1" fieldPosition="0">
        <references count="2">
          <reference field="0" count="1" selected="0">
            <x v="32"/>
          </reference>
          <reference field="2" count="1" defaultSubtotal="1">
            <x v="18"/>
          </reference>
        </references>
      </pivotArea>
    </format>
    <format dxfId="2079">
      <pivotArea dataOnly="0" labelOnly="1" fieldPosition="0">
        <references count="2">
          <reference field="0" count="1" selected="0">
            <x v="33"/>
          </reference>
          <reference field="2" count="1" defaultSubtotal="1">
            <x v="57"/>
          </reference>
        </references>
      </pivotArea>
    </format>
    <format dxfId="2078">
      <pivotArea dataOnly="0" labelOnly="1" fieldPosition="0">
        <references count="2">
          <reference field="0" count="1" selected="0">
            <x v="34"/>
          </reference>
          <reference field="2" count="1" defaultSubtotal="1">
            <x v="55"/>
          </reference>
        </references>
      </pivotArea>
    </format>
    <format dxfId="2077">
      <pivotArea dataOnly="0" labelOnly="1" fieldPosition="0">
        <references count="2">
          <reference field="0" count="1" selected="0">
            <x v="35"/>
          </reference>
          <reference field="2" count="1" defaultSubtotal="1">
            <x v="61"/>
          </reference>
        </references>
      </pivotArea>
    </format>
    <format dxfId="2076">
      <pivotArea dataOnly="0" labelOnly="1" fieldPosition="0">
        <references count="2">
          <reference field="0" count="1" selected="0">
            <x v="36"/>
          </reference>
          <reference field="2" count="1" defaultSubtotal="1">
            <x v="19"/>
          </reference>
        </references>
      </pivotArea>
    </format>
    <format dxfId="2075">
      <pivotArea dataOnly="0" labelOnly="1" fieldPosition="0">
        <references count="2">
          <reference field="0" count="1" selected="0">
            <x v="37"/>
          </reference>
          <reference field="2" count="1" defaultSubtotal="1">
            <x v="3"/>
          </reference>
        </references>
      </pivotArea>
    </format>
    <format dxfId="2074">
      <pivotArea dataOnly="0" labelOnly="1" fieldPosition="0">
        <references count="2">
          <reference field="0" count="1" selected="0">
            <x v="38"/>
          </reference>
          <reference field="2" count="1" defaultSubtotal="1">
            <x v="62"/>
          </reference>
        </references>
      </pivotArea>
    </format>
    <format dxfId="2073">
      <pivotArea dataOnly="0" labelOnly="1" fieldPosition="0">
        <references count="2">
          <reference field="0" count="1" selected="0">
            <x v="39"/>
          </reference>
          <reference field="2" count="1" defaultSubtotal="1">
            <x v="51"/>
          </reference>
        </references>
      </pivotArea>
    </format>
    <format dxfId="2072">
      <pivotArea dataOnly="0" labelOnly="1" fieldPosition="0">
        <references count="2">
          <reference field="0" count="1" selected="0">
            <x v="40"/>
          </reference>
          <reference field="2" count="1" defaultSubtotal="1">
            <x v="28"/>
          </reference>
        </references>
      </pivotArea>
    </format>
    <format dxfId="2071">
      <pivotArea dataOnly="0" labelOnly="1" fieldPosition="0">
        <references count="2">
          <reference field="0" count="1" selected="0">
            <x v="41"/>
          </reference>
          <reference field="2" count="1" defaultSubtotal="1">
            <x v="53"/>
          </reference>
        </references>
      </pivotArea>
    </format>
    <format dxfId="2070">
      <pivotArea dataOnly="0" labelOnly="1" fieldPosition="0">
        <references count="2">
          <reference field="0" count="1" selected="0">
            <x v="42"/>
          </reference>
          <reference field="2" count="1" defaultSubtotal="1">
            <x v="7"/>
          </reference>
        </references>
      </pivotArea>
    </format>
    <format dxfId="2069">
      <pivotArea dataOnly="0" labelOnly="1" fieldPosition="0">
        <references count="2">
          <reference field="0" count="1" selected="0">
            <x v="43"/>
          </reference>
          <reference field="2" count="1" defaultSubtotal="1">
            <x v="29"/>
          </reference>
        </references>
      </pivotArea>
    </format>
    <format dxfId="2068">
      <pivotArea dataOnly="0" labelOnly="1" fieldPosition="0">
        <references count="2">
          <reference field="0" count="1" selected="0">
            <x v="44"/>
          </reference>
          <reference field="2" count="1" defaultSubtotal="1">
            <x v="25"/>
          </reference>
        </references>
      </pivotArea>
    </format>
    <format dxfId="2067">
      <pivotArea dataOnly="0" labelOnly="1" fieldPosition="0">
        <references count="2">
          <reference field="0" count="1" selected="0">
            <x v="45"/>
          </reference>
          <reference field="2" count="1" defaultSubtotal="1">
            <x v="24"/>
          </reference>
        </references>
      </pivotArea>
    </format>
    <format dxfId="2066">
      <pivotArea dataOnly="0" labelOnly="1" fieldPosition="0">
        <references count="2">
          <reference field="0" count="1" selected="0">
            <x v="46"/>
          </reference>
          <reference field="2" count="1" defaultSubtotal="1">
            <x v="12"/>
          </reference>
        </references>
      </pivotArea>
    </format>
    <format dxfId="2065">
      <pivotArea dataOnly="0" labelOnly="1" fieldPosition="0">
        <references count="2">
          <reference field="0" count="1" selected="0">
            <x v="47"/>
          </reference>
          <reference field="2" count="1" defaultSubtotal="1">
            <x v="37"/>
          </reference>
        </references>
      </pivotArea>
    </format>
    <format dxfId="2064">
      <pivotArea dataOnly="0" labelOnly="1" fieldPosition="0">
        <references count="2">
          <reference field="0" count="1" selected="0">
            <x v="48"/>
          </reference>
          <reference field="2" count="1" defaultSubtotal="1">
            <x v="32"/>
          </reference>
        </references>
      </pivotArea>
    </format>
    <format dxfId="2063">
      <pivotArea dataOnly="0" labelOnly="1" fieldPosition="0">
        <references count="2">
          <reference field="0" count="1" selected="0">
            <x v="49"/>
          </reference>
          <reference field="2" count="1" defaultSubtotal="1">
            <x v="6"/>
          </reference>
        </references>
      </pivotArea>
    </format>
    <format dxfId="2062">
      <pivotArea dataOnly="0" labelOnly="1" fieldPosition="0">
        <references count="2">
          <reference field="0" count="1" selected="0">
            <x v="50"/>
          </reference>
          <reference field="2" count="1" defaultSubtotal="1">
            <x v="44"/>
          </reference>
        </references>
      </pivotArea>
    </format>
    <format dxfId="2061">
      <pivotArea dataOnly="0" labelOnly="1" fieldPosition="0">
        <references count="2">
          <reference field="0" count="1" selected="0">
            <x v="51"/>
          </reference>
          <reference field="2" count="1" defaultSubtotal="1">
            <x v="23"/>
          </reference>
        </references>
      </pivotArea>
    </format>
    <format dxfId="2060">
      <pivotArea dataOnly="0" labelOnly="1" fieldPosition="0">
        <references count="2">
          <reference field="0" count="1" selected="0">
            <x v="52"/>
          </reference>
          <reference field="2" count="1" defaultSubtotal="1">
            <x v="14"/>
          </reference>
        </references>
      </pivotArea>
    </format>
    <format dxfId="2059">
      <pivotArea dataOnly="0" labelOnly="1" fieldPosition="0">
        <references count="2">
          <reference field="0" count="1" selected="0">
            <x v="53"/>
          </reference>
          <reference field="2" count="1" defaultSubtotal="1">
            <x v="63"/>
          </reference>
        </references>
      </pivotArea>
    </format>
    <format dxfId="2058">
      <pivotArea dataOnly="0" labelOnly="1" fieldPosition="0">
        <references count="2">
          <reference field="0" count="1" selected="0">
            <x v="54"/>
          </reference>
          <reference field="2" count="1" defaultSubtotal="1">
            <x v="64"/>
          </reference>
        </references>
      </pivotArea>
    </format>
    <format dxfId="2057">
      <pivotArea dataOnly="0" labelOnly="1" fieldPosition="0">
        <references count="2">
          <reference field="0" count="1" selected="0">
            <x v="55"/>
          </reference>
          <reference field="2" count="1" defaultSubtotal="1">
            <x v="48"/>
          </reference>
        </references>
      </pivotArea>
    </format>
    <format dxfId="2056">
      <pivotArea dataOnly="0" labelOnly="1" fieldPosition="0">
        <references count="2">
          <reference field="0" count="1" selected="0">
            <x v="56"/>
          </reference>
          <reference field="2" count="1" defaultSubtotal="1">
            <x v="15"/>
          </reference>
        </references>
      </pivotArea>
    </format>
    <format dxfId="2055">
      <pivotArea dataOnly="0" labelOnly="1" fieldPosition="0">
        <references count="2">
          <reference field="0" count="1" selected="0">
            <x v="57"/>
          </reference>
          <reference field="2" count="1" defaultSubtotal="1">
            <x v="30"/>
          </reference>
        </references>
      </pivotArea>
    </format>
    <format dxfId="2054">
      <pivotArea dataOnly="0" labelOnly="1" fieldPosition="0">
        <references count="2">
          <reference field="0" count="1" selected="0">
            <x v="58"/>
          </reference>
          <reference field="2" count="1" defaultSubtotal="1">
            <x v="27"/>
          </reference>
        </references>
      </pivotArea>
    </format>
    <format dxfId="2053">
      <pivotArea dataOnly="0" labelOnly="1" fieldPosition="0">
        <references count="2">
          <reference field="0" count="1" selected="0">
            <x v="59"/>
          </reference>
          <reference field="2" count="1" defaultSubtotal="1">
            <x v="1"/>
          </reference>
        </references>
      </pivotArea>
    </format>
    <format dxfId="2052">
      <pivotArea dataOnly="0" labelOnly="1" fieldPosition="0">
        <references count="2">
          <reference field="0" count="1" selected="0">
            <x v="60"/>
          </reference>
          <reference field="2" count="1" defaultSubtotal="1">
            <x v="59"/>
          </reference>
        </references>
      </pivotArea>
    </format>
    <format dxfId="2051">
      <pivotArea dataOnly="0" labelOnly="1" fieldPosition="0">
        <references count="2">
          <reference field="0" count="1" selected="0">
            <x v="61"/>
          </reference>
          <reference field="2" count="1" defaultSubtotal="1">
            <x v="21"/>
          </reference>
        </references>
      </pivotArea>
    </format>
    <format dxfId="2050">
      <pivotArea dataOnly="0" labelOnly="1" fieldPosition="0">
        <references count="2">
          <reference field="0" count="1" selected="0">
            <x v="62"/>
          </reference>
          <reference field="2" count="1" defaultSubtotal="1">
            <x v="45"/>
          </reference>
        </references>
      </pivotArea>
    </format>
    <format dxfId="2049">
      <pivotArea dataOnly="0" labelOnly="1" fieldPosition="0">
        <references count="2">
          <reference field="0" count="1" selected="0">
            <x v="63"/>
          </reference>
          <reference field="2" count="1" defaultSubtotal="1">
            <x v="11"/>
          </reference>
        </references>
      </pivotArea>
    </format>
    <format dxfId="2048">
      <pivotArea dataOnly="0" labelOnly="1" fieldPosition="0">
        <references count="2">
          <reference field="0" count="1" selected="0">
            <x v="64"/>
          </reference>
          <reference field="2" count="1" defaultSubtotal="1">
            <x v="60"/>
          </reference>
        </references>
      </pivotArea>
    </format>
    <format dxfId="2047">
      <pivotArea dataOnly="0" labelOnly="1" fieldPosition="0">
        <references count="2">
          <reference field="0" count="1" selected="0">
            <x v="65"/>
          </reference>
          <reference field="2" count="1" defaultSubtotal="1">
            <x v="56"/>
          </reference>
        </references>
      </pivotArea>
    </format>
    <format dxfId="2046">
      <pivotArea dataOnly="0" labelOnly="1" fieldPosition="0">
        <references count="5">
          <reference field="0" count="1" selected="0">
            <x v="0"/>
          </reference>
          <reference field="1" count="1" selected="0">
            <x v="111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43"/>
          </reference>
        </references>
      </pivotArea>
    </format>
    <format dxfId="2045">
      <pivotArea dataOnly="0" labelOnly="1" fieldPosition="0">
        <references count="5">
          <reference field="0" count="1" selected="0">
            <x v="0"/>
          </reference>
          <reference field="1" count="1" selected="0">
            <x v="199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35"/>
          </reference>
        </references>
      </pivotArea>
    </format>
    <format dxfId="2044">
      <pivotArea dataOnly="0" labelOnly="1" fieldPosition="0">
        <references count="5">
          <reference field="0" count="1" selected="0">
            <x v="1"/>
          </reference>
          <reference field="1" count="1" selected="0">
            <x v="9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043">
      <pivotArea dataOnly="0" labelOnly="1" fieldPosition="0">
        <references count="5">
          <reference field="0" count="1" selected="0">
            <x v="1"/>
          </reference>
          <reference field="1" count="1" selected="0">
            <x v="58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2042">
      <pivotArea dataOnly="0" labelOnly="1" fieldPosition="0">
        <references count="5">
          <reference field="0" count="1" selected="0">
            <x v="1"/>
          </reference>
          <reference field="1" count="1" selected="0">
            <x v="179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2041">
      <pivotArea dataOnly="0" labelOnly="1" fieldPosition="0">
        <references count="5">
          <reference field="0" count="1" selected="0">
            <x v="1"/>
          </reference>
          <reference field="1" count="1" selected="0">
            <x v="364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040">
      <pivotArea dataOnly="0" labelOnly="1" fieldPosition="0">
        <references count="5">
          <reference field="0" count="1" selected="0">
            <x v="2"/>
          </reference>
          <reference field="1" count="1" selected="0">
            <x v="8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8"/>
          </reference>
        </references>
      </pivotArea>
    </format>
    <format dxfId="2039">
      <pivotArea dataOnly="0" labelOnly="1" fieldPosition="0">
        <references count="5">
          <reference field="0" count="1" selected="0">
            <x v="2"/>
          </reference>
          <reference field="1" count="1" selected="0">
            <x v="12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8"/>
          </reference>
        </references>
      </pivotArea>
    </format>
    <format dxfId="2038">
      <pivotArea dataOnly="0" labelOnly="1" fieldPosition="0">
        <references count="5">
          <reference field="0" count="1" selected="0">
            <x v="2"/>
          </reference>
          <reference field="1" count="1" selected="0">
            <x v="65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4"/>
          </reference>
        </references>
      </pivotArea>
    </format>
    <format dxfId="2037">
      <pivotArea dataOnly="0" labelOnly="1" fieldPosition="0">
        <references count="5">
          <reference field="0" count="1" selected="0">
            <x v="2"/>
          </reference>
          <reference field="1" count="1" selected="0">
            <x v="6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4"/>
          </reference>
        </references>
      </pivotArea>
    </format>
    <format dxfId="2036">
      <pivotArea dataOnly="0" labelOnly="1" fieldPosition="0">
        <references count="5">
          <reference field="0" count="1" selected="0">
            <x v="2"/>
          </reference>
          <reference field="1" count="1" selected="0">
            <x v="91"/>
          </reference>
          <reference field="2" count="1" selected="0">
            <x v="2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2035">
      <pivotArea dataOnly="0" labelOnly="1" fieldPosition="0">
        <references count="5">
          <reference field="0" count="1" selected="0">
            <x v="2"/>
          </reference>
          <reference field="1" count="1" selected="0">
            <x v="99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2034">
      <pivotArea dataOnly="0" labelOnly="1" fieldPosition="0">
        <references count="5">
          <reference field="0" count="1" selected="0">
            <x v="2"/>
          </reference>
          <reference field="1" count="1" selected="0">
            <x v="131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2033">
      <pivotArea dataOnly="0" labelOnly="1" fieldPosition="0">
        <references count="5">
          <reference field="0" count="1" selected="0">
            <x v="2"/>
          </reference>
          <reference field="1" count="1" selected="0">
            <x v="13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02"/>
          </reference>
        </references>
      </pivotArea>
    </format>
    <format dxfId="2032">
      <pivotArea dataOnly="0" labelOnly="1" fieldPosition="0">
        <references count="5">
          <reference field="0" count="1" selected="0">
            <x v="2"/>
          </reference>
          <reference field="1" count="1" selected="0">
            <x v="14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2031">
      <pivotArea dataOnly="0" labelOnly="1" fieldPosition="0">
        <references count="5">
          <reference field="0" count="1" selected="0">
            <x v="2"/>
          </reference>
          <reference field="1" count="1" selected="0">
            <x v="155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030">
      <pivotArea dataOnly="0" labelOnly="1" fieldPosition="0">
        <references count="5">
          <reference field="0" count="1" selected="0">
            <x v="3"/>
          </reference>
          <reference field="1" count="1" selected="0">
            <x v="39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2029">
      <pivotArea dataOnly="0" labelOnly="1" fieldPosition="0">
        <references count="5">
          <reference field="0" count="1" selected="0">
            <x v="3"/>
          </reference>
          <reference field="1" count="1" selected="0">
            <x v="4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2028">
      <pivotArea dataOnly="0" labelOnly="1" fieldPosition="0">
        <references count="5">
          <reference field="0" count="1" selected="0">
            <x v="3"/>
          </reference>
          <reference field="1" count="1" selected="0">
            <x v="41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2027">
      <pivotArea dataOnly="0" labelOnly="1" fieldPosition="0">
        <references count="5">
          <reference field="0" count="1" selected="0">
            <x v="3"/>
          </reference>
          <reference field="1" count="1" selected="0">
            <x v="42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2026">
      <pivotArea dataOnly="0" labelOnly="1" fieldPosition="0">
        <references count="5">
          <reference field="0" count="1" selected="0">
            <x v="3"/>
          </reference>
          <reference field="1" count="1" selected="0">
            <x v="43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0"/>
          </reference>
        </references>
      </pivotArea>
    </format>
    <format dxfId="2025">
      <pivotArea dataOnly="0" labelOnly="1" fieldPosition="0">
        <references count="5">
          <reference field="0" count="1" selected="0">
            <x v="3"/>
          </reference>
          <reference field="1" count="1" selected="0">
            <x v="5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2024">
      <pivotArea dataOnly="0" labelOnly="1" fieldPosition="0">
        <references count="5">
          <reference field="0" count="1" selected="0">
            <x v="3"/>
          </reference>
          <reference field="1" count="1" selected="0">
            <x v="10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2023">
      <pivotArea dataOnly="0" labelOnly="1" fieldPosition="0">
        <references count="5">
          <reference field="0" count="1" selected="0">
            <x v="3"/>
          </reference>
          <reference field="1" count="1" selected="0">
            <x v="175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2022">
      <pivotArea dataOnly="0" labelOnly="1" fieldPosition="0">
        <references count="5">
          <reference field="0" count="1" selected="0">
            <x v="3"/>
          </reference>
          <reference field="1" count="1" selected="0">
            <x v="176"/>
          </reference>
          <reference field="2" count="1" selected="0">
            <x v="47"/>
          </reference>
          <reference field="3" count="1" selected="0">
            <x v="0"/>
          </reference>
          <reference field="4" count="1">
            <x v="65"/>
          </reference>
        </references>
      </pivotArea>
    </format>
    <format dxfId="2021">
      <pivotArea dataOnly="0" labelOnly="1" fieldPosition="0">
        <references count="5">
          <reference field="0" count="1" selected="0">
            <x v="3"/>
          </reference>
          <reference field="1" count="1" selected="0">
            <x v="18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6"/>
          </reference>
        </references>
      </pivotArea>
    </format>
    <format dxfId="2020">
      <pivotArea dataOnly="0" labelOnly="1" fieldPosition="0">
        <references count="5">
          <reference field="0" count="1" selected="0">
            <x v="3"/>
          </reference>
          <reference field="1" count="1" selected="0">
            <x v="197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2019">
      <pivotArea dataOnly="0" labelOnly="1" fieldPosition="0">
        <references count="5">
          <reference field="0" count="1" selected="0">
            <x v="3"/>
          </reference>
          <reference field="1" count="1" selected="0">
            <x v="257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137"/>
          </reference>
        </references>
      </pivotArea>
    </format>
    <format dxfId="2018">
      <pivotArea dataOnly="0" labelOnly="1" fieldPosition="0">
        <references count="5">
          <reference field="0" count="1" selected="0">
            <x v="4"/>
          </reference>
          <reference field="1" count="1" selected="0">
            <x v="142"/>
          </reference>
          <reference field="2" count="1" selected="0">
            <x v="2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2017">
      <pivotArea dataOnly="0" labelOnly="1" fieldPosition="0">
        <references count="5">
          <reference field="0" count="1" selected="0">
            <x v="5"/>
          </reference>
          <reference field="1" count="1" selected="0">
            <x v="157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75"/>
          </reference>
        </references>
      </pivotArea>
    </format>
    <format dxfId="2016">
      <pivotArea dataOnly="0" labelOnly="1" fieldPosition="0">
        <references count="5">
          <reference field="0" count="1" selected="0">
            <x v="5"/>
          </reference>
          <reference field="1" count="1" selected="0">
            <x v="262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13"/>
          </reference>
        </references>
      </pivotArea>
    </format>
    <format dxfId="2015">
      <pivotArea dataOnly="0" labelOnly="1" fieldPosition="0">
        <references count="5">
          <reference field="0" count="1" selected="0">
            <x v="6"/>
          </reference>
          <reference field="1" count="1" selected="0">
            <x v="10"/>
          </reference>
          <reference field="2" count="1" selected="0">
            <x v="17"/>
          </reference>
          <reference field="3" count="1" selected="0">
            <x v="4"/>
          </reference>
          <reference field="4" count="1">
            <x v="194"/>
          </reference>
        </references>
      </pivotArea>
    </format>
    <format dxfId="2014">
      <pivotArea dataOnly="0" labelOnly="1" fieldPosition="0">
        <references count="5">
          <reference field="0" count="1" selected="0">
            <x v="6"/>
          </reference>
          <reference field="1" count="1" selected="0">
            <x v="73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79"/>
          </reference>
        </references>
      </pivotArea>
    </format>
    <format dxfId="2013">
      <pivotArea dataOnly="0" labelOnly="1" fieldPosition="0">
        <references count="5">
          <reference field="0" count="1" selected="0">
            <x v="6"/>
          </reference>
          <reference field="1" count="1" selected="0">
            <x v="140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61"/>
          </reference>
        </references>
      </pivotArea>
    </format>
    <format dxfId="2012">
      <pivotArea dataOnly="0" labelOnly="1" fieldPosition="0">
        <references count="5">
          <reference field="0" count="1" selected="0">
            <x v="6"/>
          </reference>
          <reference field="1" count="1" selected="0">
            <x v="15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2011">
      <pivotArea dataOnly="0" labelOnly="1" fieldPosition="0">
        <references count="5">
          <reference field="0" count="1" selected="0">
            <x v="6"/>
          </reference>
          <reference field="1" count="1" selected="0">
            <x v="20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2010">
      <pivotArea dataOnly="0" labelOnly="1" fieldPosition="0">
        <references count="5">
          <reference field="0" count="1" selected="0">
            <x v="6"/>
          </reference>
          <reference field="1" count="1" selected="0">
            <x v="201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2009">
      <pivotArea dataOnly="0" labelOnly="1" fieldPosition="0">
        <references count="5">
          <reference field="0" count="1" selected="0">
            <x v="6"/>
          </reference>
          <reference field="1" count="1" selected="0">
            <x v="228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2008">
      <pivotArea dataOnly="0" labelOnly="1" fieldPosition="0">
        <references count="5">
          <reference field="0" count="1" selected="0">
            <x v="6"/>
          </reference>
          <reference field="1" count="1" selected="0">
            <x v="23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2007">
      <pivotArea dataOnly="0" labelOnly="1" fieldPosition="0">
        <references count="5">
          <reference field="0" count="1" selected="0">
            <x v="6"/>
          </reference>
          <reference field="1" count="1" selected="0">
            <x v="32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64"/>
          </reference>
        </references>
      </pivotArea>
    </format>
    <format dxfId="2006">
      <pivotArea dataOnly="0" labelOnly="1" fieldPosition="0">
        <references count="5">
          <reference field="0" count="1" selected="0">
            <x v="6"/>
          </reference>
          <reference field="1" count="1" selected="0">
            <x v="372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77"/>
          </reference>
        </references>
      </pivotArea>
    </format>
    <format dxfId="2005">
      <pivotArea dataOnly="0" labelOnly="1" fieldPosition="0">
        <references count="5">
          <reference field="0" count="1" selected="0">
            <x v="6"/>
          </reference>
          <reference field="1" count="1" selected="0">
            <x v="373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2004">
      <pivotArea dataOnly="0" labelOnly="1" fieldPosition="0">
        <references count="5">
          <reference field="0" count="1" selected="0">
            <x v="6"/>
          </reference>
          <reference field="1" count="1" selected="0">
            <x v="400"/>
          </reference>
          <reference field="2" count="1" selected="0">
            <x v="17"/>
          </reference>
          <reference field="3" count="1" selected="0">
            <x v="6"/>
          </reference>
          <reference field="4" count="1">
            <x v="48"/>
          </reference>
        </references>
      </pivotArea>
    </format>
    <format dxfId="2003">
      <pivotArea dataOnly="0" labelOnly="1" fieldPosition="0">
        <references count="5">
          <reference field="0" count="1" selected="0">
            <x v="7"/>
          </reference>
          <reference field="1" count="1" selected="0">
            <x v="69"/>
          </reference>
          <reference field="2" count="1" selected="0">
            <x v="26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2002">
      <pivotArea dataOnly="0" labelOnly="1" fieldPosition="0">
        <references count="5">
          <reference field="0" count="1" selected="0">
            <x v="8"/>
          </reference>
          <reference field="1" count="1" selected="0">
            <x v="77"/>
          </reference>
          <reference field="2" count="1" selected="0">
            <x v="13"/>
          </reference>
          <reference field="3" count="1" selected="0">
            <x v="3"/>
          </reference>
          <reference field="4" count="1">
            <x v="4"/>
          </reference>
        </references>
      </pivotArea>
    </format>
    <format dxfId="2001">
      <pivotArea dataOnly="0" labelOnly="1" fieldPosition="0">
        <references count="5">
          <reference field="0" count="1" selected="0">
            <x v="8"/>
          </reference>
          <reference field="1" count="1" selected="0">
            <x v="82"/>
          </reference>
          <reference field="2" count="1" selected="0">
            <x v="13"/>
          </reference>
          <reference field="3" count="1" selected="0">
            <x v="3"/>
          </reference>
          <reference field="4" count="1">
            <x v="147"/>
          </reference>
        </references>
      </pivotArea>
    </format>
    <format dxfId="2000">
      <pivotArea dataOnly="0" labelOnly="1" fieldPosition="0">
        <references count="5">
          <reference field="0" count="1" selected="0">
            <x v="8"/>
          </reference>
          <reference field="1" count="1" selected="0">
            <x v="129"/>
          </reference>
          <reference field="2" count="1" selected="0">
            <x v="13"/>
          </reference>
          <reference field="3" count="1" selected="0">
            <x v="8"/>
          </reference>
          <reference field="4" count="1">
            <x v="67"/>
          </reference>
        </references>
      </pivotArea>
    </format>
    <format dxfId="1999">
      <pivotArea dataOnly="0" labelOnly="1" fieldPosition="0">
        <references count="5">
          <reference field="0" count="1" selected="0">
            <x v="9"/>
          </reference>
          <reference field="1" count="1" selected="0">
            <x v="274"/>
          </reference>
          <reference field="2" count="1" selected="0">
            <x v="41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998">
      <pivotArea dataOnly="0" labelOnly="1" fieldPosition="0">
        <references count="5">
          <reference field="0" count="1" selected="0">
            <x v="10"/>
          </reference>
          <reference field="1" count="1" selected="0">
            <x v="2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997">
      <pivotArea dataOnly="0" labelOnly="1" fieldPosition="0">
        <references count="5">
          <reference field="0" count="1" selected="0">
            <x v="10"/>
          </reference>
          <reference field="1" count="1" selected="0">
            <x v="147"/>
          </reference>
          <reference field="2" count="1" selected="0">
            <x v="54"/>
          </reference>
          <reference field="3" count="1" selected="0">
            <x v="4"/>
          </reference>
          <reference field="4" count="1">
            <x v="199"/>
          </reference>
        </references>
      </pivotArea>
    </format>
    <format dxfId="1996">
      <pivotArea dataOnly="0" labelOnly="1" fieldPosition="0">
        <references count="5">
          <reference field="0" count="1" selected="0">
            <x v="10"/>
          </reference>
          <reference field="1" count="1" selected="0">
            <x v="215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1995">
      <pivotArea dataOnly="0" labelOnly="1" fieldPosition="0">
        <references count="5">
          <reference field="0" count="1" selected="0">
            <x v="10"/>
          </reference>
          <reference field="1" count="1" selected="0">
            <x v="331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1994">
      <pivotArea dataOnly="0" labelOnly="1" fieldPosition="0">
        <references count="5">
          <reference field="0" count="1" selected="0">
            <x v="10"/>
          </reference>
          <reference field="1" count="1" selected="0">
            <x v="334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1993">
      <pivotArea dataOnly="0" labelOnly="1" fieldPosition="0">
        <references count="5">
          <reference field="0" count="1" selected="0">
            <x v="11"/>
          </reference>
          <reference field="1" count="1" selected="0">
            <x v="119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78"/>
          </reference>
        </references>
      </pivotArea>
    </format>
    <format dxfId="1992">
      <pivotArea dataOnly="0" labelOnly="1" fieldPosition="0">
        <references count="5">
          <reference field="0" count="1" selected="0">
            <x v="11"/>
          </reference>
          <reference field="1" count="1" selected="0">
            <x v="132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991">
      <pivotArea dataOnly="0" labelOnly="1" fieldPosition="0">
        <references count="5">
          <reference field="0" count="1" selected="0">
            <x v="11"/>
          </reference>
          <reference field="1" count="1" selected="0">
            <x v="154"/>
          </reference>
          <reference field="2" count="1" selected="0">
            <x v="22"/>
          </reference>
          <reference field="3" count="1" selected="0">
            <x v="4"/>
          </reference>
          <reference field="4" count="1">
            <x v="185"/>
          </reference>
        </references>
      </pivotArea>
    </format>
    <format dxfId="1990">
      <pivotArea dataOnly="0" labelOnly="1" fieldPosition="0">
        <references count="5">
          <reference field="0" count="1" selected="0">
            <x v="11"/>
          </reference>
          <reference field="1" count="1" selected="0">
            <x v="217"/>
          </reference>
          <reference field="2" count="1" selected="0">
            <x v="22"/>
          </reference>
          <reference field="3" count="1" selected="0">
            <x v="0"/>
          </reference>
          <reference field="4" count="1">
            <x v="31"/>
          </reference>
        </references>
      </pivotArea>
    </format>
    <format dxfId="1989">
      <pivotArea dataOnly="0" labelOnly="1" fieldPosition="0">
        <references count="5">
          <reference field="0" count="1" selected="0">
            <x v="11"/>
          </reference>
          <reference field="1" count="1" selected="0">
            <x v="218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73"/>
          </reference>
        </references>
      </pivotArea>
    </format>
    <format dxfId="1988">
      <pivotArea dataOnly="0" labelOnly="1" fieldPosition="0">
        <references count="5">
          <reference field="0" count="1" selected="0">
            <x v="11"/>
          </reference>
          <reference field="1" count="1" selected="0">
            <x v="288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81"/>
          </reference>
        </references>
      </pivotArea>
    </format>
    <format dxfId="1987">
      <pivotArea dataOnly="0" labelOnly="1" fieldPosition="0">
        <references count="5">
          <reference field="0" count="1" selected="0">
            <x v="12"/>
          </reference>
          <reference field="1" count="1" selected="0">
            <x v="88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24"/>
          </reference>
        </references>
      </pivotArea>
    </format>
    <format dxfId="1986">
      <pivotArea dataOnly="0" labelOnly="1" fieldPosition="0">
        <references count="5">
          <reference field="0" count="1" selected="0">
            <x v="12"/>
          </reference>
          <reference field="1" count="1" selected="0">
            <x v="113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10"/>
          </reference>
        </references>
      </pivotArea>
    </format>
    <format dxfId="1985">
      <pivotArea dataOnly="0" labelOnly="1" fieldPosition="0">
        <references count="5">
          <reference field="0" count="1" selected="0">
            <x v="12"/>
          </reference>
          <reference field="1" count="1" selected="0">
            <x v="247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35"/>
          </reference>
        </references>
      </pivotArea>
    </format>
    <format dxfId="1984">
      <pivotArea dataOnly="0" labelOnly="1" fieldPosition="0">
        <references count="5">
          <reference field="0" count="1" selected="0">
            <x v="12"/>
          </reference>
          <reference field="1" count="1" selected="0">
            <x v="259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1983">
      <pivotArea dataOnly="0" labelOnly="1" fieldPosition="0">
        <references count="5">
          <reference field="0" count="1" selected="0">
            <x v="12"/>
          </reference>
          <reference field="1" count="1" selected="0">
            <x v="290"/>
          </reference>
          <reference field="2" count="1" selected="0">
            <x v="16"/>
          </reference>
          <reference field="3" count="1" selected="0">
            <x v="0"/>
          </reference>
          <reference field="4" count="1">
            <x v="49"/>
          </reference>
        </references>
      </pivotArea>
    </format>
    <format dxfId="1982">
      <pivotArea dataOnly="0" labelOnly="1" fieldPosition="0">
        <references count="5">
          <reference field="0" count="1" selected="0">
            <x v="12"/>
          </reference>
          <reference field="1" count="1" selected="0">
            <x v="333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981">
      <pivotArea dataOnly="0" labelOnly="1" fieldPosition="0">
        <references count="5">
          <reference field="0" count="1" selected="0">
            <x v="13"/>
          </reference>
          <reference field="1" count="1" selected="0">
            <x v="117"/>
          </reference>
          <reference field="2" count="1" selected="0">
            <x v="4"/>
          </reference>
          <reference field="3" count="1" selected="0">
            <x v="3"/>
          </reference>
          <reference field="4" count="1">
            <x v="56"/>
          </reference>
        </references>
      </pivotArea>
    </format>
    <format dxfId="1980">
      <pivotArea dataOnly="0" labelOnly="1" fieldPosition="0">
        <references count="5">
          <reference field="0" count="1" selected="0">
            <x v="13"/>
          </reference>
          <reference field="1" count="1" selected="0">
            <x v="238"/>
          </reference>
          <reference field="2" count="1" selected="0">
            <x v="4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979">
      <pivotArea dataOnly="0" labelOnly="1" fieldPosition="0">
        <references count="5">
          <reference field="0" count="1" selected="0">
            <x v="14"/>
          </reference>
          <reference field="1" count="1" selected="0">
            <x v="75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1978">
      <pivotArea dataOnly="0" labelOnly="1" fieldPosition="0">
        <references count="5">
          <reference field="0" count="1" selected="0">
            <x v="14"/>
          </reference>
          <reference field="1" count="1" selected="0">
            <x v="137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23"/>
          </reference>
        </references>
      </pivotArea>
    </format>
    <format dxfId="1977">
      <pivotArea dataOnly="0" labelOnly="1" fieldPosition="0">
        <references count="5">
          <reference field="0" count="1" selected="0">
            <x v="14"/>
          </reference>
          <reference field="1" count="1" selected="0">
            <x v="196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12"/>
          </reference>
        </references>
      </pivotArea>
    </format>
    <format dxfId="1976">
      <pivotArea dataOnly="0" labelOnly="1" fieldPosition="0">
        <references count="5">
          <reference field="0" count="1" selected="0">
            <x v="14"/>
          </reference>
          <reference field="1" count="1" selected="0">
            <x v="229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27"/>
          </reference>
        </references>
      </pivotArea>
    </format>
    <format dxfId="1975">
      <pivotArea dataOnly="0" labelOnly="1" fieldPosition="0">
        <references count="5">
          <reference field="0" count="1" selected="0">
            <x v="15"/>
          </reference>
          <reference field="1" count="1" selected="0">
            <x v="54"/>
          </reference>
          <reference field="2" count="1" selected="0">
            <x v="36"/>
          </reference>
          <reference field="3" count="1" selected="0">
            <x v="0"/>
          </reference>
          <reference field="4" count="1">
            <x v="103"/>
          </reference>
        </references>
      </pivotArea>
    </format>
    <format dxfId="1974">
      <pivotArea dataOnly="0" labelOnly="1" fieldPosition="0">
        <references count="5">
          <reference field="0" count="1" selected="0">
            <x v="15"/>
          </reference>
          <reference field="1" count="1" selected="0">
            <x v="127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973">
      <pivotArea dataOnly="0" labelOnly="1" fieldPosition="0">
        <references count="5">
          <reference field="0" count="1" selected="0">
            <x v="15"/>
          </reference>
          <reference field="1" count="1" selected="0">
            <x v="128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122"/>
          </reference>
        </references>
      </pivotArea>
    </format>
    <format dxfId="1972">
      <pivotArea dataOnly="0" labelOnly="1" fieldPosition="0">
        <references count="5">
          <reference field="0" count="1" selected="0">
            <x v="15"/>
          </reference>
          <reference field="1" count="1" selected="0">
            <x v="171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3"/>
          </reference>
        </references>
      </pivotArea>
    </format>
    <format dxfId="1971">
      <pivotArea dataOnly="0" labelOnly="1" fieldPosition="0">
        <references count="5">
          <reference field="0" count="1" selected="0">
            <x v="15"/>
          </reference>
          <reference field="1" count="1" selected="0">
            <x v="205"/>
          </reference>
          <reference field="2" count="1" selected="0">
            <x v="36"/>
          </reference>
          <reference field="3" count="1" selected="0">
            <x v="0"/>
          </reference>
          <reference field="4" count="1">
            <x v="90"/>
          </reference>
        </references>
      </pivotArea>
    </format>
    <format dxfId="1970">
      <pivotArea dataOnly="0" labelOnly="1" fieldPosition="0">
        <references count="5">
          <reference field="0" count="1" selected="0">
            <x v="15"/>
          </reference>
          <reference field="1" count="1" selected="0">
            <x v="267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969">
      <pivotArea dataOnly="0" labelOnly="1" fieldPosition="0">
        <references count="5">
          <reference field="0" count="1" selected="0">
            <x v="16"/>
          </reference>
          <reference field="1" count="1" selected="0">
            <x v="22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1968">
      <pivotArea dataOnly="0" labelOnly="1" fieldPosition="0">
        <references count="5">
          <reference field="0" count="1" selected="0">
            <x v="16"/>
          </reference>
          <reference field="1" count="1" selected="0">
            <x v="24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967">
      <pivotArea dataOnly="0" labelOnly="1" fieldPosition="0">
        <references count="5">
          <reference field="0" count="1" selected="0">
            <x v="16"/>
          </reference>
          <reference field="1" count="1" selected="0">
            <x v="27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86"/>
          </reference>
        </references>
      </pivotArea>
    </format>
    <format dxfId="1966">
      <pivotArea dataOnly="0" labelOnly="1" fieldPosition="0">
        <references count="5">
          <reference field="0" count="1" selected="0">
            <x v="16"/>
          </reference>
          <reference field="1" count="1" selected="0">
            <x v="78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19"/>
          </reference>
        </references>
      </pivotArea>
    </format>
    <format dxfId="1965">
      <pivotArea dataOnly="0" labelOnly="1" fieldPosition="0">
        <references count="5">
          <reference field="0" count="1" selected="0">
            <x v="16"/>
          </reference>
          <reference field="1" count="1" selected="0">
            <x v="115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964">
      <pivotArea dataOnly="0" labelOnly="1" fieldPosition="0">
        <references count="5">
          <reference field="0" count="1" selected="0">
            <x v="16"/>
          </reference>
          <reference field="1" count="1" selected="0">
            <x v="133"/>
          </reference>
          <reference field="2" count="1" selected="0">
            <x v="5"/>
          </reference>
          <reference field="3" count="1" selected="0">
            <x v="4"/>
          </reference>
          <reference field="4" count="1">
            <x v="178"/>
          </reference>
        </references>
      </pivotArea>
    </format>
    <format dxfId="1963">
      <pivotArea dataOnly="0" labelOnly="1" fieldPosition="0">
        <references count="5">
          <reference field="0" count="1" selected="0">
            <x v="16"/>
          </reference>
          <reference field="1" count="1" selected="0">
            <x v="141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1962">
      <pivotArea dataOnly="0" labelOnly="1" fieldPosition="0">
        <references count="5">
          <reference field="0" count="1" selected="0">
            <x v="16"/>
          </reference>
          <reference field="1" count="1" selected="0">
            <x v="174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0"/>
          </reference>
        </references>
      </pivotArea>
    </format>
    <format dxfId="1961">
      <pivotArea dataOnly="0" labelOnly="1" fieldPosition="0">
        <references count="5">
          <reference field="0" count="1" selected="0">
            <x v="16"/>
          </reference>
          <reference field="1" count="1" selected="0">
            <x v="287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960">
      <pivotArea dataOnly="0" labelOnly="1" fieldPosition="0">
        <references count="5">
          <reference field="0" count="1" selected="0">
            <x v="16"/>
          </reference>
          <reference field="1" count="1" selected="0">
            <x v="300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959">
      <pivotArea dataOnly="0" labelOnly="1" fieldPosition="0">
        <references count="5">
          <reference field="0" count="1" selected="0">
            <x v="16"/>
          </reference>
          <reference field="1" count="1" selected="0">
            <x v="327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26"/>
          </reference>
        </references>
      </pivotArea>
    </format>
    <format dxfId="1958">
      <pivotArea dataOnly="0" labelOnly="1" fieldPosition="0">
        <references count="5">
          <reference field="0" count="1" selected="0">
            <x v="16"/>
          </reference>
          <reference field="1" count="1" selected="0">
            <x v="370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1957">
      <pivotArea dataOnly="0" labelOnly="1" fieldPosition="0">
        <references count="5">
          <reference field="0" count="1" selected="0">
            <x v="16"/>
          </reference>
          <reference field="1" count="1" selected="0">
            <x v="386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956">
      <pivotArea dataOnly="0" labelOnly="1" fieldPosition="0">
        <references count="5">
          <reference field="0" count="1" selected="0">
            <x v="16"/>
          </reference>
          <reference field="1" count="1" selected="0">
            <x v="387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46"/>
          </reference>
        </references>
      </pivotArea>
    </format>
    <format dxfId="1955">
      <pivotArea dataOnly="0" labelOnly="1" fieldPosition="0">
        <references count="5">
          <reference field="0" count="1" selected="0">
            <x v="16"/>
          </reference>
          <reference field="1" count="1" selected="0">
            <x v="396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"/>
          </reference>
        </references>
      </pivotArea>
    </format>
    <format dxfId="1954">
      <pivotArea dataOnly="0" labelOnly="1" fieldPosition="0">
        <references count="5">
          <reference field="0" count="1" selected="0">
            <x v="16"/>
          </reference>
          <reference field="1" count="1" selected="0">
            <x v="423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7"/>
          </reference>
        </references>
      </pivotArea>
    </format>
    <format dxfId="1953">
      <pivotArea dataOnly="0" labelOnly="1" fieldPosition="0">
        <references count="5">
          <reference field="0" count="1" selected="0">
            <x v="17"/>
          </reference>
          <reference field="1" count="1" selected="0">
            <x v="112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29"/>
          </reference>
        </references>
      </pivotArea>
    </format>
    <format dxfId="1952">
      <pivotArea dataOnly="0" labelOnly="1" fieldPosition="0">
        <references count="5">
          <reference field="0" count="1" selected="0">
            <x v="17"/>
          </reference>
          <reference field="1" count="1" selected="0">
            <x v="125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72"/>
          </reference>
        </references>
      </pivotArea>
    </format>
    <format dxfId="1951">
      <pivotArea dataOnly="0" labelOnly="1" fieldPosition="0">
        <references count="5">
          <reference field="0" count="1" selected="0">
            <x v="17"/>
          </reference>
          <reference field="1" count="1" selected="0">
            <x v="192"/>
          </reference>
          <reference field="2" count="1" selected="0">
            <x v="33"/>
          </reference>
          <reference field="3" count="1" selected="0">
            <x v="4"/>
          </reference>
          <reference field="4" count="1">
            <x v="183"/>
          </reference>
        </references>
      </pivotArea>
    </format>
    <format dxfId="1950">
      <pivotArea dataOnly="0" labelOnly="1" fieldPosition="0">
        <references count="5">
          <reference field="0" count="1" selected="0">
            <x v="17"/>
          </reference>
          <reference field="1" count="1" selected="0">
            <x v="282"/>
          </reference>
          <reference field="2" count="1" selected="0">
            <x v="33"/>
          </reference>
          <reference field="3" count="1" selected="0">
            <x v="1"/>
          </reference>
          <reference field="4" count="1">
            <x v="13"/>
          </reference>
        </references>
      </pivotArea>
    </format>
    <format dxfId="1949">
      <pivotArea dataOnly="0" labelOnly="1" fieldPosition="0">
        <references count="5">
          <reference field="0" count="1" selected="0">
            <x v="17"/>
          </reference>
          <reference field="1" count="1" selected="0">
            <x v="283"/>
          </reference>
          <reference field="2" count="1" selected="0">
            <x v="33"/>
          </reference>
          <reference field="3" count="1" selected="0">
            <x v="1"/>
          </reference>
          <reference field="4" count="1">
            <x v="22"/>
          </reference>
        </references>
      </pivotArea>
    </format>
    <format dxfId="1948">
      <pivotArea dataOnly="0" labelOnly="1" fieldPosition="0">
        <references count="5">
          <reference field="0" count="1" selected="0">
            <x v="17"/>
          </reference>
          <reference field="1" count="1" selected="0">
            <x v="376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1947">
      <pivotArea dataOnly="0" labelOnly="1" fieldPosition="0">
        <references count="5">
          <reference field="0" count="1" selected="0">
            <x v="17"/>
          </reference>
          <reference field="1" count="1" selected="0">
            <x v="430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946">
      <pivotArea dataOnly="0" labelOnly="1" fieldPosition="0">
        <references count="5">
          <reference field="0" count="1" selected="0">
            <x v="18"/>
          </reference>
          <reference field="1" count="1" selected="0">
            <x v="98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945">
      <pivotArea dataOnly="0" labelOnly="1" fieldPosition="0">
        <references count="5">
          <reference field="0" count="1" selected="0">
            <x v="18"/>
          </reference>
          <reference field="1" count="1" selected="0">
            <x v="124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73"/>
          </reference>
        </references>
      </pivotArea>
    </format>
    <format dxfId="1944">
      <pivotArea dataOnly="0" labelOnly="1" fieldPosition="0">
        <references count="5">
          <reference field="0" count="1" selected="0">
            <x v="18"/>
          </reference>
          <reference field="1" count="1" selected="0">
            <x v="158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45"/>
          </reference>
        </references>
      </pivotArea>
    </format>
    <format dxfId="1943">
      <pivotArea dataOnly="0" labelOnly="1" fieldPosition="0">
        <references count="5">
          <reference field="0" count="1" selected="0">
            <x v="18"/>
          </reference>
          <reference field="1" count="1" selected="0">
            <x v="159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39"/>
          </reference>
        </references>
      </pivotArea>
    </format>
    <format dxfId="1942">
      <pivotArea dataOnly="0" labelOnly="1" fieldPosition="0">
        <references count="5">
          <reference field="0" count="1" selected="0">
            <x v="18"/>
          </reference>
          <reference field="1" count="1" selected="0">
            <x v="177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94"/>
          </reference>
        </references>
      </pivotArea>
    </format>
    <format dxfId="1941">
      <pivotArea dataOnly="0" labelOnly="1" fieldPosition="0">
        <references count="5">
          <reference field="0" count="1" selected="0">
            <x v="18"/>
          </reference>
          <reference field="1" count="1" selected="0">
            <x v="178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1940">
      <pivotArea dataOnly="0" labelOnly="1" fieldPosition="0">
        <references count="5">
          <reference field="0" count="1" selected="0">
            <x v="18"/>
          </reference>
          <reference field="1" count="1" selected="0">
            <x v="258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50"/>
          </reference>
        </references>
      </pivotArea>
    </format>
    <format dxfId="1939">
      <pivotArea dataOnly="0" labelOnly="1" fieldPosition="0">
        <references count="5">
          <reference field="0" count="1" selected="0">
            <x v="18"/>
          </reference>
          <reference field="1" count="1" selected="0">
            <x v="273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40"/>
          </reference>
        </references>
      </pivotArea>
    </format>
    <format dxfId="1938">
      <pivotArea dataOnly="0" labelOnly="1" fieldPosition="0">
        <references count="5">
          <reference field="0" count="1" selected="0">
            <x v="18"/>
          </reference>
          <reference field="1" count="1" selected="0">
            <x v="286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937">
      <pivotArea dataOnly="0" labelOnly="1" fieldPosition="0">
        <references count="5">
          <reference field="0" count="1" selected="0">
            <x v="18"/>
          </reference>
          <reference field="1" count="1" selected="0">
            <x v="289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32"/>
          </reference>
        </references>
      </pivotArea>
    </format>
    <format dxfId="1936">
      <pivotArea dataOnly="0" labelOnly="1" fieldPosition="0">
        <references count="5">
          <reference field="0" count="1" selected="0">
            <x v="18"/>
          </reference>
          <reference field="1" count="1" selected="0">
            <x v="297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59"/>
          </reference>
        </references>
      </pivotArea>
    </format>
    <format dxfId="1935">
      <pivotArea dataOnly="0" labelOnly="1" fieldPosition="0">
        <references count="5">
          <reference field="0" count="1" selected="0">
            <x v="18"/>
          </reference>
          <reference field="1" count="1" selected="0">
            <x v="305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48"/>
          </reference>
        </references>
      </pivotArea>
    </format>
    <format dxfId="1934">
      <pivotArea dataOnly="0" labelOnly="1" fieldPosition="0">
        <references count="5">
          <reference field="0" count="1" selected="0">
            <x v="18"/>
          </reference>
          <reference field="1" count="1" selected="0">
            <x v="306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1933">
      <pivotArea dataOnly="0" labelOnly="1" fieldPosition="0">
        <references count="5">
          <reference field="0" count="1" selected="0">
            <x v="18"/>
          </reference>
          <reference field="1" count="1" selected="0">
            <x v="392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33"/>
          </reference>
        </references>
      </pivotArea>
    </format>
    <format dxfId="1932">
      <pivotArea dataOnly="0" labelOnly="1" fieldPosition="0">
        <references count="5">
          <reference field="0" count="1" selected="0">
            <x v="18"/>
          </reference>
          <reference field="1" count="1" selected="0">
            <x v="420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07"/>
          </reference>
        </references>
      </pivotArea>
    </format>
    <format dxfId="1931">
      <pivotArea dataOnly="0" labelOnly="1" fieldPosition="0">
        <references count="5">
          <reference field="0" count="1" selected="0">
            <x v="18"/>
          </reference>
          <reference field="1" count="1" selected="0">
            <x v="421"/>
          </reference>
          <reference field="2" count="1" selected="0">
            <x v="0"/>
          </reference>
          <reference field="3" count="1" selected="0">
            <x v="5"/>
          </reference>
          <reference field="4" count="1">
            <x v="88"/>
          </reference>
        </references>
      </pivotArea>
    </format>
    <format dxfId="1930">
      <pivotArea dataOnly="0" labelOnly="1" fieldPosition="0">
        <references count="5">
          <reference field="0" count="1" selected="0">
            <x v="18"/>
          </reference>
          <reference field="1" count="1" selected="0">
            <x v="435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1929">
      <pivotArea dataOnly="0" labelOnly="1" fieldPosition="0">
        <references count="5">
          <reference field="0" count="1" selected="0">
            <x v="19"/>
          </reference>
          <reference field="1" count="1" selected="0">
            <x v="49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928">
      <pivotArea dataOnly="0" labelOnly="1" fieldPosition="0">
        <references count="5">
          <reference field="0" count="1" selected="0">
            <x v="19"/>
          </reference>
          <reference field="1" count="1" selected="0">
            <x v="64"/>
          </reference>
          <reference field="2" count="1" selected="0">
            <x v="46"/>
          </reference>
          <reference field="3" count="1" selected="0">
            <x v="0"/>
          </reference>
          <reference field="4" count="1">
            <x v="33"/>
          </reference>
        </references>
      </pivotArea>
    </format>
    <format dxfId="1927">
      <pivotArea dataOnly="0" labelOnly="1" fieldPosition="0">
        <references count="5">
          <reference field="0" count="1" selected="0">
            <x v="19"/>
          </reference>
          <reference field="1" count="1" selected="0">
            <x v="7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1926">
      <pivotArea dataOnly="0" labelOnly="1" fieldPosition="0">
        <references count="5">
          <reference field="0" count="1" selected="0">
            <x v="19"/>
          </reference>
          <reference field="1" count="1" selected="0">
            <x v="126"/>
          </reference>
          <reference field="2" count="1" selected="0">
            <x v="46"/>
          </reference>
          <reference field="3" count="1" selected="0">
            <x v="4"/>
          </reference>
          <reference field="4" count="1">
            <x v="182"/>
          </reference>
        </references>
      </pivotArea>
    </format>
    <format dxfId="1925">
      <pivotArea dataOnly="0" labelOnly="1" fieldPosition="0">
        <references count="5">
          <reference field="0" count="1" selected="0">
            <x v="19"/>
          </reference>
          <reference field="1" count="1" selected="0">
            <x v="144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125"/>
          </reference>
        </references>
      </pivotArea>
    </format>
    <format dxfId="1924">
      <pivotArea dataOnly="0" labelOnly="1" fieldPosition="0">
        <references count="5">
          <reference field="0" count="1" selected="0">
            <x v="19"/>
          </reference>
          <reference field="1" count="1" selected="0">
            <x v="191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923">
      <pivotArea dataOnly="0" labelOnly="1" fieldPosition="0">
        <references count="5">
          <reference field="0" count="1" selected="0">
            <x v="19"/>
          </reference>
          <reference field="1" count="1" selected="0">
            <x v="30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922">
      <pivotArea dataOnly="0" labelOnly="1" fieldPosition="0">
        <references count="5">
          <reference field="0" count="1" selected="0">
            <x v="19"/>
          </reference>
          <reference field="1" count="1" selected="0">
            <x v="325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921">
      <pivotArea dataOnly="0" labelOnly="1" fieldPosition="0">
        <references count="5">
          <reference field="0" count="1" selected="0">
            <x v="19"/>
          </reference>
          <reference field="1" count="1" selected="0">
            <x v="330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1920">
      <pivotArea dataOnly="0" labelOnly="1" fieldPosition="0">
        <references count="5">
          <reference field="0" count="1" selected="0">
            <x v="19"/>
          </reference>
          <reference field="1" count="1" selected="0">
            <x v="34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125"/>
          </reference>
        </references>
      </pivotArea>
    </format>
    <format dxfId="1919">
      <pivotArea dataOnly="0" labelOnly="1" fieldPosition="0">
        <references count="5">
          <reference field="0" count="1" selected="0">
            <x v="19"/>
          </reference>
          <reference field="1" count="1" selected="0">
            <x v="350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918">
      <pivotArea dataOnly="0" labelOnly="1" fieldPosition="0">
        <references count="5">
          <reference field="0" count="1" selected="0">
            <x v="19"/>
          </reference>
          <reference field="1" count="1" selected="0">
            <x v="432"/>
          </reference>
          <reference field="2" count="1" selected="0">
            <x v="46"/>
          </reference>
          <reference field="3" count="1" selected="0">
            <x v="4"/>
          </reference>
          <reference field="4" count="1">
            <x v="212"/>
          </reference>
        </references>
      </pivotArea>
    </format>
    <format dxfId="1917">
      <pivotArea dataOnly="0" labelOnly="1" fieldPosition="0">
        <references count="5">
          <reference field="0" count="1" selected="0">
            <x v="20"/>
          </reference>
          <reference field="1" count="1" selected="0">
            <x v="299"/>
          </reference>
          <reference field="2" count="1" selected="0">
            <x v="31"/>
          </reference>
          <reference field="3" count="1" selected="0">
            <x v="3"/>
          </reference>
          <reference field="4" count="1">
            <x v="8"/>
          </reference>
        </references>
      </pivotArea>
    </format>
    <format dxfId="1916">
      <pivotArea dataOnly="0" labelOnly="1" fieldPosition="0">
        <references count="5">
          <reference field="0" count="1" selected="0">
            <x v="20"/>
          </reference>
          <reference field="1" count="1" selected="0">
            <x v="440"/>
          </reference>
          <reference field="2" count="1" selected="0">
            <x v="31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915">
      <pivotArea dataOnly="0" labelOnly="1" fieldPosition="0">
        <references count="5">
          <reference field="0" count="1" selected="0">
            <x v="21"/>
          </reference>
          <reference field="1" count="1" selected="0">
            <x v="2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1914">
      <pivotArea dataOnly="0" labelOnly="1" fieldPosition="0">
        <references count="5">
          <reference field="0" count="1" selected="0">
            <x v="21"/>
          </reference>
          <reference field="1" count="1" selected="0">
            <x v="4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81"/>
          </reference>
        </references>
      </pivotArea>
    </format>
    <format dxfId="1913">
      <pivotArea dataOnly="0" labelOnly="1" fieldPosition="0">
        <references count="5">
          <reference field="0" count="1" selected="0">
            <x v="21"/>
          </reference>
          <reference field="1" count="1" selected="0">
            <x v="110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912">
      <pivotArea dataOnly="0" labelOnly="1" fieldPosition="0">
        <references count="5">
          <reference field="0" count="1" selected="0">
            <x v="21"/>
          </reference>
          <reference field="1" count="1" selected="0">
            <x v="13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911">
      <pivotArea dataOnly="0" labelOnly="1" fieldPosition="0">
        <references count="5">
          <reference field="0" count="1" selected="0">
            <x v="21"/>
          </reference>
          <reference field="1" count="1" selected="0">
            <x v="18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910">
      <pivotArea dataOnly="0" labelOnly="1" fieldPosition="0">
        <references count="5">
          <reference field="0" count="1" selected="0">
            <x v="21"/>
          </reference>
          <reference field="1" count="1" selected="0">
            <x v="19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79"/>
          </reference>
        </references>
      </pivotArea>
    </format>
    <format dxfId="1909">
      <pivotArea dataOnly="0" labelOnly="1" fieldPosition="0">
        <references count="5">
          <reference field="0" count="1" selected="0">
            <x v="21"/>
          </reference>
          <reference field="1" count="1" selected="0">
            <x v="20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908">
      <pivotArea dataOnly="0" labelOnly="1" fieldPosition="0">
        <references count="5">
          <reference field="0" count="1" selected="0">
            <x v="21"/>
          </reference>
          <reference field="1" count="1" selected="0">
            <x v="21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60"/>
          </reference>
        </references>
      </pivotArea>
    </format>
    <format dxfId="1907">
      <pivotArea dataOnly="0" labelOnly="1" fieldPosition="0">
        <references count="5">
          <reference field="0" count="1" selected="0">
            <x v="21"/>
          </reference>
          <reference field="1" count="1" selected="0">
            <x v="23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906">
      <pivotArea dataOnly="0" labelOnly="1" fieldPosition="0">
        <references count="5">
          <reference field="0" count="1" selected="0">
            <x v="21"/>
          </reference>
          <reference field="1" count="1" selected="0">
            <x v="243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169"/>
          </reference>
        </references>
      </pivotArea>
    </format>
    <format dxfId="1905">
      <pivotArea dataOnly="0" labelOnly="1" fieldPosition="0">
        <references count="5">
          <reference field="0" count="1" selected="0">
            <x v="21"/>
          </reference>
          <reference field="1" count="1" selected="0">
            <x v="24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42"/>
          </reference>
        </references>
      </pivotArea>
    </format>
    <format dxfId="1904">
      <pivotArea dataOnly="0" labelOnly="1" fieldPosition="0">
        <references count="5">
          <reference field="0" count="1" selected="0">
            <x v="21"/>
          </reference>
          <reference field="1" count="1" selected="0">
            <x v="245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166"/>
          </reference>
        </references>
      </pivotArea>
    </format>
    <format dxfId="1903">
      <pivotArea dataOnly="0" labelOnly="1" fieldPosition="0">
        <references count="5">
          <reference field="0" count="1" selected="0">
            <x v="21"/>
          </reference>
          <reference field="1" count="1" selected="0">
            <x v="24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1902">
      <pivotArea dataOnly="0" labelOnly="1" fieldPosition="0">
        <references count="5">
          <reference field="0" count="1" selected="0">
            <x v="21"/>
          </reference>
          <reference field="1" count="1" selected="0">
            <x v="25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1901">
      <pivotArea dataOnly="0" labelOnly="1" fieldPosition="0">
        <references count="5">
          <reference field="0" count="1" selected="0">
            <x v="21"/>
          </reference>
          <reference field="1" count="1" selected="0">
            <x v="256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95"/>
          </reference>
        </references>
      </pivotArea>
    </format>
    <format dxfId="1900">
      <pivotArea dataOnly="0" labelOnly="1" fieldPosition="0">
        <references count="5">
          <reference field="0" count="1" selected="0">
            <x v="21"/>
          </reference>
          <reference field="1" count="1" selected="0">
            <x v="269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899">
      <pivotArea dataOnly="0" labelOnly="1" fieldPosition="0">
        <references count="5">
          <reference field="0" count="1" selected="0">
            <x v="21"/>
          </reference>
          <reference field="1" count="1" selected="0">
            <x v="27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32"/>
          </reference>
        </references>
      </pivotArea>
    </format>
    <format dxfId="1898">
      <pivotArea dataOnly="0" labelOnly="1" fieldPosition="0">
        <references count="5">
          <reference field="0" count="1" selected="0">
            <x v="21"/>
          </reference>
          <reference field="1" count="1" selected="0">
            <x v="28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897">
      <pivotArea dataOnly="0" labelOnly="1" fieldPosition="0">
        <references count="5">
          <reference field="0" count="1" selected="0">
            <x v="21"/>
          </reference>
          <reference field="1" count="1" selected="0">
            <x v="293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896">
      <pivotArea dataOnly="0" labelOnly="1" fieldPosition="0">
        <references count="5">
          <reference field="0" count="1" selected="0">
            <x v="21"/>
          </reference>
          <reference field="1" count="1" selected="0">
            <x v="34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895">
      <pivotArea dataOnly="0" labelOnly="1" fieldPosition="0">
        <references count="5">
          <reference field="0" count="1" selected="0">
            <x v="21"/>
          </reference>
          <reference field="1" count="1" selected="0">
            <x v="369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37"/>
          </reference>
        </references>
      </pivotArea>
    </format>
    <format dxfId="1894">
      <pivotArea dataOnly="0" labelOnly="1" fieldPosition="0">
        <references count="5">
          <reference field="0" count="1" selected="0">
            <x v="21"/>
          </reference>
          <reference field="1" count="1" selected="0">
            <x v="37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1893">
      <pivotArea dataOnly="0" labelOnly="1" fieldPosition="0">
        <references count="5">
          <reference field="0" count="1" selected="0">
            <x v="21"/>
          </reference>
          <reference field="1" count="1" selected="0">
            <x v="37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1892">
      <pivotArea dataOnly="0" labelOnly="1" fieldPosition="0">
        <references count="5">
          <reference field="0" count="1" selected="0">
            <x v="21"/>
          </reference>
          <reference field="1" count="1" selected="0">
            <x v="38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891">
      <pivotArea dataOnly="0" labelOnly="1" fieldPosition="0">
        <references count="5">
          <reference field="0" count="1" selected="0">
            <x v="21"/>
          </reference>
          <reference field="1" count="1" selected="0">
            <x v="383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01"/>
          </reference>
        </references>
      </pivotArea>
    </format>
    <format dxfId="1890">
      <pivotArea dataOnly="0" labelOnly="1" fieldPosition="0">
        <references count="5">
          <reference field="0" count="1" selected="0">
            <x v="21"/>
          </reference>
          <reference field="1" count="1" selected="0">
            <x v="39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29"/>
          </reference>
        </references>
      </pivotArea>
    </format>
    <format dxfId="1889">
      <pivotArea dataOnly="0" labelOnly="1" fieldPosition="0">
        <references count="5">
          <reference field="0" count="1" selected="0">
            <x v="21"/>
          </reference>
          <reference field="1" count="1" selected="0">
            <x v="410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98"/>
          </reference>
        </references>
      </pivotArea>
    </format>
    <format dxfId="1888">
      <pivotArea dataOnly="0" labelOnly="1" fieldPosition="0">
        <references count="5">
          <reference field="0" count="1" selected="0">
            <x v="21"/>
          </reference>
          <reference field="1" count="1" selected="0">
            <x v="42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887">
      <pivotArea dataOnly="0" labelOnly="1" fieldPosition="0">
        <references count="5">
          <reference field="0" count="1" selected="0">
            <x v="21"/>
          </reference>
          <reference field="1" count="1" selected="0">
            <x v="45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51"/>
          </reference>
        </references>
      </pivotArea>
    </format>
    <format dxfId="1886">
      <pivotArea dataOnly="0" labelOnly="1" fieldPosition="0">
        <references count="5">
          <reference field="0" count="1" selected="0">
            <x v="22"/>
          </reference>
          <reference field="1" count="1" selected="0">
            <x v="90"/>
          </reference>
          <reference field="2" count="1" selected="0">
            <x v="52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1885">
      <pivotArea dataOnly="0" labelOnly="1" fieldPosition="0">
        <references count="5">
          <reference field="0" count="1" selected="0">
            <x v="22"/>
          </reference>
          <reference field="1" count="1" selected="0">
            <x v="134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28"/>
          </reference>
        </references>
      </pivotArea>
    </format>
    <format dxfId="1884">
      <pivotArea dataOnly="0" labelOnly="1" fieldPosition="0">
        <references count="5">
          <reference field="0" count="1" selected="0">
            <x v="22"/>
          </reference>
          <reference field="1" count="1" selected="0">
            <x v="164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163"/>
          </reference>
        </references>
      </pivotArea>
    </format>
    <format dxfId="1883">
      <pivotArea dataOnly="0" labelOnly="1" fieldPosition="0">
        <references count="5">
          <reference field="0" count="1" selected="0">
            <x v="22"/>
          </reference>
          <reference field="1" count="1" selected="0">
            <x v="193"/>
          </reference>
          <reference field="2" count="1" selected="0">
            <x v="52"/>
          </reference>
          <reference field="3" count="1" selected="0">
            <x v="4"/>
          </reference>
          <reference field="4" count="1">
            <x v="204"/>
          </reference>
        </references>
      </pivotArea>
    </format>
    <format dxfId="1882">
      <pivotArea dataOnly="0" labelOnly="1" fieldPosition="0">
        <references count="5">
          <reference field="0" count="1" selected="0">
            <x v="22"/>
          </reference>
          <reference field="1" count="1" selected="0">
            <x v="222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52"/>
          </reference>
        </references>
      </pivotArea>
    </format>
    <format dxfId="1881">
      <pivotArea dataOnly="0" labelOnly="1" fieldPosition="0">
        <references count="5">
          <reference field="0" count="1" selected="0">
            <x v="22"/>
          </reference>
          <reference field="1" count="1" selected="0">
            <x v="237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1880">
      <pivotArea dataOnly="0" labelOnly="1" fieldPosition="0">
        <references count="5">
          <reference field="0" count="1" selected="0">
            <x v="22"/>
          </reference>
          <reference field="1" count="1" selected="0">
            <x v="246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9"/>
          </reference>
        </references>
      </pivotArea>
    </format>
    <format dxfId="1879">
      <pivotArea dataOnly="0" labelOnly="1" fieldPosition="0">
        <references count="5">
          <reference field="0" count="1" selected="0">
            <x v="22"/>
          </reference>
          <reference field="1" count="1" selected="0">
            <x v="292"/>
          </reference>
          <reference field="2" count="1" selected="0">
            <x v="52"/>
          </reference>
          <reference field="3" count="1" selected="0">
            <x v="4"/>
          </reference>
          <reference field="4" count="1">
            <x v="192"/>
          </reference>
        </references>
      </pivotArea>
    </format>
    <format dxfId="1878">
      <pivotArea dataOnly="0" labelOnly="1" fieldPosition="0">
        <references count="5">
          <reference field="0" count="1" selected="0">
            <x v="22"/>
          </reference>
          <reference field="1" count="1" selected="0">
            <x v="344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53"/>
          </reference>
        </references>
      </pivotArea>
    </format>
    <format dxfId="1877">
      <pivotArea dataOnly="0" labelOnly="1" fieldPosition="0">
        <references count="5">
          <reference field="0" count="1" selected="0">
            <x v="22"/>
          </reference>
          <reference field="1" count="1" selected="0">
            <x v="352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876">
      <pivotArea dataOnly="0" labelOnly="1" fieldPosition="0">
        <references count="5">
          <reference field="0" count="1" selected="0">
            <x v="22"/>
          </reference>
          <reference field="1" count="1" selected="0">
            <x v="355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875">
      <pivotArea dataOnly="0" labelOnly="1" fieldPosition="0">
        <references count="5">
          <reference field="0" count="1" selected="0">
            <x v="22"/>
          </reference>
          <reference field="1" count="1" selected="0">
            <x v="406"/>
          </reference>
          <reference field="2" count="1" selected="0">
            <x v="52"/>
          </reference>
          <reference field="3" count="1" selected="0">
            <x v="4"/>
          </reference>
          <reference field="4" count="1">
            <x v="205"/>
          </reference>
        </references>
      </pivotArea>
    </format>
    <format dxfId="1874">
      <pivotArea dataOnly="0" labelOnly="1" fieldPosition="0">
        <references count="5">
          <reference field="0" count="1" selected="0">
            <x v="22"/>
          </reference>
          <reference field="1" count="1" selected="0">
            <x v="419"/>
          </reference>
          <reference field="2" count="1" selected="0">
            <x v="52"/>
          </reference>
          <reference field="3" count="1" selected="0">
            <x v="0"/>
          </reference>
          <reference field="4" count="1">
            <x v="48"/>
          </reference>
        </references>
      </pivotArea>
    </format>
    <format dxfId="1873">
      <pivotArea dataOnly="0" labelOnly="1" fieldPosition="0">
        <references count="5">
          <reference field="0" count="1" selected="0">
            <x v="23"/>
          </reference>
          <reference field="1" count="1" selected="0">
            <x v="214"/>
          </reference>
          <reference field="2" count="1" selected="0">
            <x v="40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872">
      <pivotArea dataOnly="0" labelOnly="1" fieldPosition="0">
        <references count="5">
          <reference field="0" count="1" selected="0">
            <x v="24"/>
          </reference>
          <reference field="1" count="1" selected="0">
            <x v="102"/>
          </reference>
          <reference field="2" count="1" selected="0">
            <x v="50"/>
          </reference>
          <reference field="3" count="1" selected="0">
            <x v="3"/>
          </reference>
          <reference field="4" count="1">
            <x v="17"/>
          </reference>
        </references>
      </pivotArea>
    </format>
    <format dxfId="1871">
      <pivotArea dataOnly="0" labelOnly="1" fieldPosition="0">
        <references count="5">
          <reference field="0" count="1" selected="0">
            <x v="25"/>
          </reference>
          <reference field="1" count="1" selected="0">
            <x v="45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46"/>
          </reference>
        </references>
      </pivotArea>
    </format>
    <format dxfId="1870">
      <pivotArea dataOnly="0" labelOnly="1" fieldPosition="0">
        <references count="5">
          <reference field="0" count="1" selected="0">
            <x v="25"/>
          </reference>
          <reference field="1" count="1" selected="0">
            <x v="61"/>
          </reference>
          <reference field="2" count="1" selected="0">
            <x v="49"/>
          </reference>
          <reference field="3" count="1" selected="0">
            <x v="0"/>
          </reference>
          <reference field="4" count="1">
            <x v="57"/>
          </reference>
        </references>
      </pivotArea>
    </format>
    <format dxfId="1869">
      <pivotArea dataOnly="0" labelOnly="1" fieldPosition="0">
        <references count="5">
          <reference field="0" count="1" selected="0">
            <x v="25"/>
          </reference>
          <reference field="1" count="1" selected="0">
            <x v="216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44"/>
          </reference>
        </references>
      </pivotArea>
    </format>
    <format dxfId="1868">
      <pivotArea dataOnly="0" labelOnly="1" fieldPosition="0">
        <references count="5">
          <reference field="0" count="1" selected="0">
            <x v="25"/>
          </reference>
          <reference field="1" count="1" selected="0">
            <x v="349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867">
      <pivotArea dataOnly="0" labelOnly="1" fieldPosition="0">
        <references count="5">
          <reference field="0" count="1" selected="0">
            <x v="25"/>
          </reference>
          <reference field="1" count="1" selected="0">
            <x v="397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09"/>
          </reference>
        </references>
      </pivotArea>
    </format>
    <format dxfId="1866">
      <pivotArea dataOnly="0" labelOnly="1" fieldPosition="0">
        <references count="5">
          <reference field="0" count="1" selected="0">
            <x v="26"/>
          </reference>
          <reference field="1" count="1" selected="0">
            <x v="83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1"/>
          </reference>
        </references>
      </pivotArea>
    </format>
    <format dxfId="1865">
      <pivotArea dataOnly="0" labelOnly="1" fieldPosition="0">
        <references count="5">
          <reference field="0" count="1" selected="0">
            <x v="26"/>
          </reference>
          <reference field="1" count="1" selected="0">
            <x v="104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1864">
      <pivotArea dataOnly="0" labelOnly="1" fieldPosition="0">
        <references count="5">
          <reference field="0" count="1" selected="0">
            <x v="26"/>
          </reference>
          <reference field="1" count="1" selected="0">
            <x v="105"/>
          </reference>
          <reference field="2" count="1" selected="0">
            <x v="39"/>
          </reference>
          <reference field="3" count="1" selected="0">
            <x v="4"/>
          </reference>
          <reference field="4" count="1">
            <x v="186"/>
          </reference>
        </references>
      </pivotArea>
    </format>
    <format dxfId="1863">
      <pivotArea dataOnly="0" labelOnly="1" fieldPosition="0">
        <references count="5">
          <reference field="0" count="1" selected="0">
            <x v="26"/>
          </reference>
          <reference field="1" count="1" selected="0">
            <x v="106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61"/>
          </reference>
        </references>
      </pivotArea>
    </format>
    <format dxfId="1862">
      <pivotArea dataOnly="0" labelOnly="1" fieldPosition="0">
        <references count="5">
          <reference field="0" count="1" selected="0">
            <x v="26"/>
          </reference>
          <reference field="1" count="1" selected="0">
            <x v="311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1861">
      <pivotArea dataOnly="0" labelOnly="1" fieldPosition="0">
        <references count="5">
          <reference field="0" count="1" selected="0">
            <x v="26"/>
          </reference>
          <reference field="1" count="1" selected="0">
            <x v="336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0"/>
          </reference>
        </references>
      </pivotArea>
    </format>
    <format dxfId="1860">
      <pivotArea dataOnly="0" labelOnly="1" fieldPosition="0">
        <references count="5">
          <reference field="0" count="1" selected="0">
            <x v="26"/>
          </reference>
          <reference field="1" count="1" selected="0">
            <x v="365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1859">
      <pivotArea dataOnly="0" labelOnly="1" fieldPosition="0">
        <references count="5">
          <reference field="0" count="1" selected="0">
            <x v="26"/>
          </reference>
          <reference field="1" count="1" selected="0">
            <x v="416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858">
      <pivotArea dataOnly="0" labelOnly="1" fieldPosition="0">
        <references count="5">
          <reference field="0" count="1" selected="0">
            <x v="26"/>
          </reference>
          <reference field="1" count="1" selected="0">
            <x v="422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42"/>
          </reference>
        </references>
      </pivotArea>
    </format>
    <format dxfId="1857">
      <pivotArea dataOnly="0" labelOnly="1" fieldPosition="0">
        <references count="5">
          <reference field="0" count="1" selected="0">
            <x v="26"/>
          </reference>
          <reference field="1" count="1" selected="0">
            <x v="448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43"/>
          </reference>
        </references>
      </pivotArea>
    </format>
    <format dxfId="1856">
      <pivotArea dataOnly="0" labelOnly="1" fieldPosition="0">
        <references count="5">
          <reference field="0" count="1" selected="0">
            <x v="27"/>
          </reference>
          <reference field="1" count="1" selected="0">
            <x v="5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36"/>
          </reference>
        </references>
      </pivotArea>
    </format>
    <format dxfId="1855">
      <pivotArea dataOnly="0" labelOnly="1" fieldPosition="0">
        <references count="5">
          <reference field="0" count="1" selected="0">
            <x v="27"/>
          </reference>
          <reference field="1" count="1" selected="0">
            <x v="6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1854">
      <pivotArea dataOnly="0" labelOnly="1" fieldPosition="0">
        <references count="5">
          <reference field="0" count="1" selected="0">
            <x v="27"/>
          </reference>
          <reference field="1" count="1" selected="0">
            <x v="26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1853">
      <pivotArea dataOnly="0" labelOnly="1" fieldPosition="0">
        <references count="5">
          <reference field="0" count="1" selected="0">
            <x v="27"/>
          </reference>
          <reference field="1" count="1" selected="0">
            <x v="7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1852">
      <pivotArea dataOnly="0" labelOnly="1" fieldPosition="0">
        <references count="5">
          <reference field="0" count="1" selected="0">
            <x v="27"/>
          </reference>
          <reference field="1" count="1" selected="0">
            <x v="116"/>
          </reference>
          <reference field="2" count="1" selected="0">
            <x v="58"/>
          </reference>
          <reference field="3" count="1" selected="0">
            <x v="0"/>
          </reference>
          <reference field="4" count="1">
            <x v="158"/>
          </reference>
        </references>
      </pivotArea>
    </format>
    <format dxfId="1851">
      <pivotArea dataOnly="0" labelOnly="1" fieldPosition="0">
        <references count="5">
          <reference field="0" count="1" selected="0">
            <x v="27"/>
          </reference>
          <reference field="1" count="1" selected="0">
            <x v="123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128"/>
          </reference>
        </references>
      </pivotArea>
    </format>
    <format dxfId="1850">
      <pivotArea dataOnly="0" labelOnly="1" fieldPosition="0">
        <references count="5">
          <reference field="0" count="1" selected="0">
            <x v="27"/>
          </reference>
          <reference field="1" count="1" selected="0">
            <x v="160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207"/>
          </reference>
        </references>
      </pivotArea>
    </format>
    <format dxfId="1849">
      <pivotArea dataOnly="0" labelOnly="1" fieldPosition="0">
        <references count="5">
          <reference field="0" count="1" selected="0">
            <x v="27"/>
          </reference>
          <reference field="1" count="1" selected="0">
            <x v="161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177"/>
          </reference>
        </references>
      </pivotArea>
    </format>
    <format dxfId="1848">
      <pivotArea dataOnly="0" labelOnly="1" fieldPosition="0">
        <references count="5">
          <reference field="0" count="1" selected="0">
            <x v="27"/>
          </reference>
          <reference field="1" count="1" selected="0">
            <x v="198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847">
      <pivotArea dataOnly="0" labelOnly="1" fieldPosition="0">
        <references count="5">
          <reference field="0" count="1" selected="0">
            <x v="27"/>
          </reference>
          <reference field="1" count="1" selected="0">
            <x v="28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1846">
      <pivotArea dataOnly="0" labelOnly="1" fieldPosition="0">
        <references count="5">
          <reference field="0" count="1" selected="0">
            <x v="27"/>
          </reference>
          <reference field="1" count="1" selected="0">
            <x v="284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845">
      <pivotArea dataOnly="0" labelOnly="1" fieldPosition="0">
        <references count="5">
          <reference field="0" count="1" selected="0">
            <x v="27"/>
          </reference>
          <reference field="1" count="1" selected="0">
            <x v="318"/>
          </reference>
          <reference field="2" count="1" selected="0">
            <x v="58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1844">
      <pivotArea dataOnly="0" labelOnly="1" fieldPosition="0">
        <references count="5">
          <reference field="0" count="1" selected="0">
            <x v="27"/>
          </reference>
          <reference field="1" count="1" selected="0">
            <x v="34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78"/>
          </reference>
        </references>
      </pivotArea>
    </format>
    <format dxfId="1843">
      <pivotArea dataOnly="0" labelOnly="1" fieldPosition="0">
        <references count="5">
          <reference field="0" count="1" selected="0">
            <x v="27"/>
          </reference>
          <reference field="1" count="1" selected="0">
            <x v="347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842">
      <pivotArea dataOnly="0" labelOnly="1" fieldPosition="0">
        <references count="5">
          <reference field="0" count="1" selected="0">
            <x v="27"/>
          </reference>
          <reference field="1" count="1" selected="0">
            <x v="36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841">
      <pivotArea dataOnly="0" labelOnly="1" fieldPosition="0">
        <references count="5">
          <reference field="0" count="1" selected="0">
            <x v="27"/>
          </reference>
          <reference field="1" count="1" selected="0">
            <x v="399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840">
      <pivotArea dataOnly="0" labelOnly="1" fieldPosition="0">
        <references count="5">
          <reference field="0" count="1" selected="0">
            <x v="27"/>
          </reference>
          <reference field="1" count="1" selected="0">
            <x v="417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206"/>
          </reference>
        </references>
      </pivotArea>
    </format>
    <format dxfId="1839">
      <pivotArea dataOnly="0" labelOnly="1" fieldPosition="0">
        <references count="5">
          <reference field="0" count="1" selected="0">
            <x v="27"/>
          </reference>
          <reference field="1" count="1" selected="0">
            <x v="437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838">
      <pivotArea dataOnly="0" labelOnly="1" fieldPosition="0">
        <references count="5">
          <reference field="0" count="1" selected="0">
            <x v="28"/>
          </reference>
          <reference field="1" count="1" selected="0">
            <x v="382"/>
          </reference>
          <reference field="2" count="1" selected="0">
            <x v="6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837">
      <pivotArea dataOnly="0" labelOnly="1" fieldPosition="0">
        <references count="5">
          <reference field="0" count="1" selected="0">
            <x v="29"/>
          </reference>
          <reference field="1" count="1" selected="0">
            <x v="165"/>
          </reference>
          <reference field="2" count="1" selected="0">
            <x v="35"/>
          </reference>
          <reference field="3" count="1" selected="0">
            <x v="4"/>
          </reference>
          <reference field="4" count="1">
            <x v="210"/>
          </reference>
        </references>
      </pivotArea>
    </format>
    <format dxfId="1836">
      <pivotArea dataOnly="0" labelOnly="1" fieldPosition="0">
        <references count="5">
          <reference field="0" count="1" selected="0">
            <x v="29"/>
          </reference>
          <reference field="1" count="1" selected="0">
            <x v="338"/>
          </reference>
          <reference field="2" count="1" selected="0">
            <x v="35"/>
          </reference>
          <reference field="3" count="1" selected="0">
            <x v="4"/>
          </reference>
          <reference field="4" count="1">
            <x v="206"/>
          </reference>
        </references>
      </pivotArea>
    </format>
    <format dxfId="1835">
      <pivotArea dataOnly="0" labelOnly="1" fieldPosition="0">
        <references count="5">
          <reference field="0" count="1" selected="0">
            <x v="29"/>
          </reference>
          <reference field="1" count="1" selected="0">
            <x v="418"/>
          </reference>
          <reference field="2" count="1" selected="0">
            <x v="35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834">
      <pivotArea dataOnly="0" labelOnly="1" fieldPosition="0">
        <references count="5">
          <reference field="0" count="1" selected="0">
            <x v="30"/>
          </reference>
          <reference field="1" count="1" selected="0">
            <x v="57"/>
          </reference>
          <reference field="2" count="1" selected="0">
            <x v="10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833">
      <pivotArea dataOnly="0" labelOnly="1" fieldPosition="0">
        <references count="5">
          <reference field="0" count="1" selected="0">
            <x v="30"/>
          </reference>
          <reference field="1" count="1" selected="0">
            <x v="260"/>
          </reference>
          <reference field="2" count="1" selected="0">
            <x v="10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1832">
      <pivotArea dataOnly="0" labelOnly="1" fieldPosition="0">
        <references count="5">
          <reference field="0" count="1" selected="0">
            <x v="31"/>
          </reference>
          <reference field="1" count="1" selected="0">
            <x v="11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1831">
      <pivotArea dataOnly="0" labelOnly="1" fieldPosition="0">
        <references count="5">
          <reference field="0" count="1" selected="0">
            <x v="31"/>
          </reference>
          <reference field="1" count="1" selected="0">
            <x v="67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165"/>
          </reference>
        </references>
      </pivotArea>
    </format>
    <format dxfId="1830">
      <pivotArea dataOnly="0" labelOnly="1" fieldPosition="0">
        <references count="5">
          <reference field="0" count="1" selected="0">
            <x v="31"/>
          </reference>
          <reference field="1" count="1" selected="0">
            <x v="427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829">
      <pivotArea dataOnly="0" labelOnly="1" fieldPosition="0">
        <references count="5">
          <reference field="0" count="1" selected="0">
            <x v="31"/>
          </reference>
          <reference field="1" count="1" selected="0">
            <x v="447"/>
          </reference>
          <reference field="2" count="1" selected="0">
            <x v="38"/>
          </reference>
          <reference field="3" count="1" selected="0">
            <x v="4"/>
          </reference>
          <reference field="4" count="1">
            <x v="188"/>
          </reference>
        </references>
      </pivotArea>
    </format>
    <format dxfId="1828">
      <pivotArea dataOnly="0" labelOnly="1" fieldPosition="0">
        <references count="5">
          <reference field="0" count="1" selected="0">
            <x v="32"/>
          </reference>
          <reference field="1" count="1" selected="0">
            <x v="431"/>
          </reference>
          <reference field="2" count="1" selected="0">
            <x v="1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827">
      <pivotArea dataOnly="0" labelOnly="1" fieldPosition="0">
        <references count="5">
          <reference field="0" count="1" selected="0">
            <x v="33"/>
          </reference>
          <reference field="1" count="1" selected="0">
            <x v="47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826">
      <pivotArea dataOnly="0" labelOnly="1" fieldPosition="0">
        <references count="5">
          <reference field="0" count="1" selected="0">
            <x v="33"/>
          </reference>
          <reference field="1" count="1" selected="0">
            <x v="74"/>
          </reference>
          <reference field="2" count="1" selected="0">
            <x v="57"/>
          </reference>
          <reference field="3" count="1" selected="0">
            <x v="0"/>
          </reference>
          <reference field="4" count="1">
            <x v="49"/>
          </reference>
        </references>
      </pivotArea>
    </format>
    <format dxfId="1825">
      <pivotArea dataOnly="0" labelOnly="1" fieldPosition="0">
        <references count="5">
          <reference field="0" count="1" selected="0">
            <x v="33"/>
          </reference>
          <reference field="1" count="1" selected="0">
            <x v="168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824">
      <pivotArea dataOnly="0" labelOnly="1" fieldPosition="0">
        <references count="5">
          <reference field="0" count="1" selected="0">
            <x v="33"/>
          </reference>
          <reference field="1" count="1" selected="0">
            <x v="209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823">
      <pivotArea dataOnly="0" labelOnly="1" fieldPosition="0">
        <references count="5">
          <reference field="0" count="1" selected="0">
            <x v="34"/>
          </reference>
          <reference field="1" count="1" selected="0">
            <x v="44"/>
          </reference>
          <reference field="2" count="1" selected="0">
            <x v="55"/>
          </reference>
          <reference field="3" count="1" selected="0">
            <x v="0"/>
          </reference>
          <reference field="4" count="1">
            <x v="29"/>
          </reference>
        </references>
      </pivotArea>
    </format>
    <format dxfId="1822">
      <pivotArea dataOnly="0" labelOnly="1" fieldPosition="0">
        <references count="5">
          <reference field="0" count="1" selected="0">
            <x v="34"/>
          </reference>
          <reference field="1" count="1" selected="0">
            <x v="109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106"/>
          </reference>
        </references>
      </pivotArea>
    </format>
    <format dxfId="1821">
      <pivotArea dataOnly="0" labelOnly="1" fieldPosition="0">
        <references count="5">
          <reference field="0" count="1" selected="0">
            <x v="34"/>
          </reference>
          <reference field="1" count="1" selected="0">
            <x v="296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820">
      <pivotArea dataOnly="0" labelOnly="1" fieldPosition="0">
        <references count="5">
          <reference field="0" count="1" selected="0">
            <x v="34"/>
          </reference>
          <reference field="1" count="1" selected="0">
            <x v="301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8"/>
          </reference>
        </references>
      </pivotArea>
    </format>
    <format dxfId="1819">
      <pivotArea dataOnly="0" labelOnly="1" fieldPosition="0">
        <references count="5">
          <reference field="0" count="1" selected="0">
            <x v="35"/>
          </reference>
          <reference field="1" count="1" selected="0">
            <x v="320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92"/>
          </reference>
        </references>
      </pivotArea>
    </format>
    <format dxfId="1818">
      <pivotArea dataOnly="0" labelOnly="1" fieldPosition="0">
        <references count="5">
          <reference field="0" count="1" selected="0">
            <x v="35"/>
          </reference>
          <reference field="1" count="1" selected="0">
            <x v="343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53"/>
          </reference>
        </references>
      </pivotArea>
    </format>
    <format dxfId="1817">
      <pivotArea dataOnly="0" labelOnly="1" fieldPosition="0">
        <references count="5">
          <reference field="0" count="1" selected="0">
            <x v="35"/>
          </reference>
          <reference field="1" count="1" selected="0">
            <x v="395"/>
          </reference>
          <reference field="2" count="1" selected="0">
            <x v="61"/>
          </reference>
          <reference field="3" count="1" selected="0">
            <x v="0"/>
          </reference>
          <reference field="4" count="1">
            <x v="74"/>
          </reference>
        </references>
      </pivotArea>
    </format>
    <format dxfId="1816">
      <pivotArea dataOnly="0" labelOnly="1" fieldPosition="0">
        <references count="5">
          <reference field="0" count="1" selected="0">
            <x v="35"/>
          </reference>
          <reference field="1" count="1" selected="0">
            <x v="438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118"/>
          </reference>
        </references>
      </pivotArea>
    </format>
    <format dxfId="1815">
      <pivotArea dataOnly="0" labelOnly="1" fieldPosition="0">
        <references count="5">
          <reference field="0" count="1" selected="0">
            <x v="36"/>
          </reference>
          <reference field="1" count="1" selected="0">
            <x v="195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68"/>
          </reference>
        </references>
      </pivotArea>
    </format>
    <format dxfId="1814">
      <pivotArea dataOnly="0" labelOnly="1" fieldPosition="0">
        <references count="5">
          <reference field="0" count="1" selected="0">
            <x v="36"/>
          </reference>
          <reference field="1" count="1" selected="0">
            <x v="226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63"/>
          </reference>
        </references>
      </pivotArea>
    </format>
    <format dxfId="1813">
      <pivotArea dataOnly="0" labelOnly="1" fieldPosition="0">
        <references count="5">
          <reference field="0" count="1" selected="0">
            <x v="36"/>
          </reference>
          <reference field="1" count="1" selected="0">
            <x v="337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1812">
      <pivotArea dataOnly="0" labelOnly="1" fieldPosition="0">
        <references count="5">
          <reference field="0" count="1" selected="0">
            <x v="37"/>
          </reference>
          <reference field="1" count="1" selected="0">
            <x v="63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811">
      <pivotArea dataOnly="0" labelOnly="1" fieldPosition="0">
        <references count="5">
          <reference field="0" count="1" selected="0">
            <x v="37"/>
          </reference>
          <reference field="1" count="1" selected="0">
            <x v="151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36"/>
          </reference>
        </references>
      </pivotArea>
    </format>
    <format dxfId="1810">
      <pivotArea dataOnly="0" labelOnly="1" fieldPosition="0">
        <references count="5">
          <reference field="0" count="1" selected="0">
            <x v="37"/>
          </reference>
          <reference field="1" count="1" selected="0">
            <x v="152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59"/>
          </reference>
        </references>
      </pivotArea>
    </format>
    <format dxfId="1809">
      <pivotArea dataOnly="0" labelOnly="1" fieldPosition="0">
        <references count="5">
          <reference field="0" count="1" selected="0">
            <x v="37"/>
          </reference>
          <reference field="1" count="1" selected="0">
            <x v="153"/>
          </reference>
          <reference field="2" count="1" selected="0">
            <x v="3"/>
          </reference>
          <reference field="3" count="1" selected="0">
            <x v="7"/>
          </reference>
          <reference field="4" count="1">
            <x v="9"/>
          </reference>
        </references>
      </pivotArea>
    </format>
    <format dxfId="1808">
      <pivotArea dataOnly="0" labelOnly="1" fieldPosition="0">
        <references count="5">
          <reference field="0" count="1" selected="0">
            <x v="37"/>
          </reference>
          <reference field="1" count="1" selected="0">
            <x v="234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27"/>
          </reference>
        </references>
      </pivotArea>
    </format>
    <format dxfId="1807">
      <pivotArea dataOnly="0" labelOnly="1" fieldPosition="0">
        <references count="5">
          <reference field="0" count="1" selected="0">
            <x v="37"/>
          </reference>
          <reference field="1" count="1" selected="0">
            <x v="310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806">
      <pivotArea dataOnly="0" labelOnly="1" fieldPosition="0">
        <references count="5">
          <reference field="0" count="1" selected="0">
            <x v="37"/>
          </reference>
          <reference field="1" count="1" selected="0">
            <x v="323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26"/>
          </reference>
        </references>
      </pivotArea>
    </format>
    <format dxfId="1805">
      <pivotArea dataOnly="0" labelOnly="1" fieldPosition="0">
        <references count="5">
          <reference field="0" count="1" selected="0">
            <x v="37"/>
          </reference>
          <reference field="1" count="1" selected="0">
            <x v="379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804">
      <pivotArea dataOnly="0" labelOnly="1" fieldPosition="0">
        <references count="5">
          <reference field="0" count="1" selected="0">
            <x v="37"/>
          </reference>
          <reference field="1" count="1" selected="0">
            <x v="424"/>
          </reference>
          <reference field="2" count="1" selected="0">
            <x v="3"/>
          </reference>
          <reference field="3" count="1" selected="0">
            <x v="0"/>
          </reference>
          <reference field="4" count="1">
            <x v="121"/>
          </reference>
        </references>
      </pivotArea>
    </format>
    <format dxfId="1803">
      <pivotArea dataOnly="0" labelOnly="1" fieldPosition="0">
        <references count="5">
          <reference field="0" count="1" selected="0">
            <x v="37"/>
          </reference>
          <reference field="1" count="1" selected="0">
            <x v="425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62"/>
          </reference>
        </references>
      </pivotArea>
    </format>
    <format dxfId="1802">
      <pivotArea dataOnly="0" labelOnly="1" fieldPosition="0">
        <references count="5">
          <reference field="0" count="1" selected="0">
            <x v="37"/>
          </reference>
          <reference field="1" count="1" selected="0">
            <x v="428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801">
      <pivotArea dataOnly="0" labelOnly="1" fieldPosition="0">
        <references count="5">
          <reference field="0" count="1" selected="0">
            <x v="38"/>
          </reference>
          <reference field="1" count="1" selected="0">
            <x v="0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800">
      <pivotArea dataOnly="0" labelOnly="1" fieldPosition="0">
        <references count="5">
          <reference field="0" count="1" selected="0">
            <x v="38"/>
          </reference>
          <reference field="1" count="1" selected="0">
            <x v="1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799">
      <pivotArea dataOnly="0" labelOnly="1" fieldPosition="0">
        <references count="5">
          <reference field="0" count="1" selected="0">
            <x v="38"/>
          </reference>
          <reference field="1" count="1" selected="0">
            <x v="30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208"/>
          </reference>
        </references>
      </pivotArea>
    </format>
    <format dxfId="1798">
      <pivotArea dataOnly="0" labelOnly="1" fieldPosition="0">
        <references count="5">
          <reference field="0" count="1" selected="0">
            <x v="38"/>
          </reference>
          <reference field="1" count="1" selected="0">
            <x v="31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43"/>
          </reference>
        </references>
      </pivotArea>
    </format>
    <format dxfId="1797">
      <pivotArea dataOnly="0" labelOnly="1" fieldPosition="0">
        <references count="5">
          <reference field="0" count="1" selected="0">
            <x v="38"/>
          </reference>
          <reference field="1" count="1" selected="0">
            <x v="3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2"/>
          </reference>
        </references>
      </pivotArea>
    </format>
    <format dxfId="1796">
      <pivotArea dataOnly="0" labelOnly="1" fieldPosition="0">
        <references count="5">
          <reference field="0" count="1" selected="0">
            <x v="38"/>
          </reference>
          <reference field="1" count="1" selected="0">
            <x v="34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176"/>
          </reference>
        </references>
      </pivotArea>
    </format>
    <format dxfId="1795">
      <pivotArea dataOnly="0" labelOnly="1" fieldPosition="0">
        <references count="5">
          <reference field="0" count="1" selected="0">
            <x v="38"/>
          </reference>
          <reference field="1" count="1" selected="0">
            <x v="5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69"/>
          </reference>
        </references>
      </pivotArea>
    </format>
    <format dxfId="1794">
      <pivotArea dataOnly="0" labelOnly="1" fieldPosition="0">
        <references count="5">
          <reference field="0" count="1" selected="0">
            <x v="38"/>
          </reference>
          <reference field="1" count="1" selected="0">
            <x v="5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9"/>
          </reference>
        </references>
      </pivotArea>
    </format>
    <format dxfId="1793">
      <pivotArea dataOnly="0" labelOnly="1" fieldPosition="0">
        <references count="5">
          <reference field="0" count="1" selected="0">
            <x v="38"/>
          </reference>
          <reference field="1" count="1" selected="0">
            <x v="8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792">
      <pivotArea dataOnly="0" labelOnly="1" fieldPosition="0">
        <references count="5">
          <reference field="0" count="1" selected="0">
            <x v="38"/>
          </reference>
          <reference field="1" count="1" selected="0">
            <x v="9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00"/>
          </reference>
        </references>
      </pivotArea>
    </format>
    <format dxfId="1791">
      <pivotArea dataOnly="0" labelOnly="1" fieldPosition="0">
        <references count="5">
          <reference field="0" count="1" selected="0">
            <x v="38"/>
          </reference>
          <reference field="1" count="1" selected="0">
            <x v="9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1"/>
          </reference>
        </references>
      </pivotArea>
    </format>
    <format dxfId="1790">
      <pivotArea dataOnly="0" labelOnly="1" fieldPosition="0">
        <references count="5">
          <reference field="0" count="1" selected="0">
            <x v="38"/>
          </reference>
          <reference field="1" count="1" selected="0">
            <x v="10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75"/>
          </reference>
        </references>
      </pivotArea>
    </format>
    <format dxfId="1789">
      <pivotArea dataOnly="0" labelOnly="1" fieldPosition="0">
        <references count="5">
          <reference field="0" count="1" selected="0">
            <x v="38"/>
          </reference>
          <reference field="1" count="1" selected="0">
            <x v="10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70"/>
          </reference>
        </references>
      </pivotArea>
    </format>
    <format dxfId="1788">
      <pivotArea dataOnly="0" labelOnly="1" fieldPosition="0">
        <references count="5">
          <reference field="0" count="1" selected="0">
            <x v="38"/>
          </reference>
          <reference field="1" count="1" selected="0">
            <x v="10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71"/>
          </reference>
        </references>
      </pivotArea>
    </format>
    <format dxfId="1787">
      <pivotArea dataOnly="0" labelOnly="1" fieldPosition="0">
        <references count="5">
          <reference field="0" count="1" selected="0">
            <x v="38"/>
          </reference>
          <reference field="1" count="1" selected="0">
            <x v="20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786">
      <pivotArea dataOnly="0" labelOnly="1" fieldPosition="0">
        <references count="5">
          <reference field="0" count="1" selected="0">
            <x v="38"/>
          </reference>
          <reference field="1" count="1" selected="0">
            <x v="20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6"/>
          </reference>
        </references>
      </pivotArea>
    </format>
    <format dxfId="1785">
      <pivotArea dataOnly="0" labelOnly="1" fieldPosition="0">
        <references count="5">
          <reference field="0" count="1" selected="0">
            <x v="38"/>
          </reference>
          <reference field="1" count="1" selected="0">
            <x v="22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93"/>
          </reference>
        </references>
      </pivotArea>
    </format>
    <format dxfId="1784">
      <pivotArea dataOnly="0" labelOnly="1" fieldPosition="0">
        <references count="5">
          <reference field="0" count="1" selected="0">
            <x v="38"/>
          </reference>
          <reference field="1" count="1" selected="0">
            <x v="266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1"/>
          </reference>
        </references>
      </pivotArea>
    </format>
    <format dxfId="1783">
      <pivotArea dataOnly="0" labelOnly="1" fieldPosition="0">
        <references count="5">
          <reference field="0" count="1" selected="0">
            <x v="38"/>
          </reference>
          <reference field="1" count="1" selected="0">
            <x v="30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782">
      <pivotArea dataOnly="0" labelOnly="1" fieldPosition="0">
        <references count="5">
          <reference field="0" count="1" selected="0">
            <x v="38"/>
          </reference>
          <reference field="1" count="1" selected="0">
            <x v="32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71"/>
          </reference>
        </references>
      </pivotArea>
    </format>
    <format dxfId="1781">
      <pivotArea dataOnly="0" labelOnly="1" fieldPosition="0">
        <references count="5">
          <reference field="0" count="1" selected="0">
            <x v="38"/>
          </reference>
          <reference field="1" count="1" selected="0">
            <x v="35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780">
      <pivotArea dataOnly="0" labelOnly="1" fieldPosition="0">
        <references count="5">
          <reference field="0" count="1" selected="0">
            <x v="38"/>
          </reference>
          <reference field="1" count="1" selected="0">
            <x v="35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779">
      <pivotArea dataOnly="0" labelOnly="1" fieldPosition="0">
        <references count="5">
          <reference field="0" count="1" selected="0">
            <x v="38"/>
          </reference>
          <reference field="1" count="1" selected="0">
            <x v="371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2"/>
          </reference>
        </references>
      </pivotArea>
    </format>
    <format dxfId="1778">
      <pivotArea dataOnly="0" labelOnly="1" fieldPosition="0">
        <references count="5">
          <reference field="0" count="1" selected="0">
            <x v="38"/>
          </reference>
          <reference field="1" count="1" selected="0">
            <x v="390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6"/>
          </reference>
        </references>
      </pivotArea>
    </format>
    <format dxfId="1777">
      <pivotArea dataOnly="0" labelOnly="1" fieldPosition="0">
        <references count="5">
          <reference field="0" count="1" selected="0">
            <x v="38"/>
          </reference>
          <reference field="1" count="1" selected="0">
            <x v="407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196"/>
          </reference>
        </references>
      </pivotArea>
    </format>
    <format dxfId="1776">
      <pivotArea dataOnly="0" labelOnly="1" fieldPosition="0">
        <references count="5">
          <reference field="0" count="1" selected="0">
            <x v="38"/>
          </reference>
          <reference field="1" count="1" selected="0">
            <x v="40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1"/>
          </reference>
        </references>
      </pivotArea>
    </format>
    <format dxfId="1775">
      <pivotArea dataOnly="0" labelOnly="1" fieldPosition="0">
        <references count="5">
          <reference field="0" count="1" selected="0">
            <x v="38"/>
          </reference>
          <reference field="1" count="1" selected="0">
            <x v="409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23"/>
          </reference>
        </references>
      </pivotArea>
    </format>
    <format dxfId="1774">
      <pivotArea dataOnly="0" labelOnly="1" fieldPosition="0">
        <references count="5">
          <reference field="0" count="1" selected="0">
            <x v="38"/>
          </reference>
          <reference field="1" count="1" selected="0">
            <x v="41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"/>
          </reference>
        </references>
      </pivotArea>
    </format>
    <format dxfId="1773">
      <pivotArea dataOnly="0" labelOnly="1" fieldPosition="0">
        <references count="5">
          <reference field="0" count="1" selected="0">
            <x v="38"/>
          </reference>
          <reference field="1" count="1" selected="0">
            <x v="41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4"/>
          </reference>
        </references>
      </pivotArea>
    </format>
    <format dxfId="1772">
      <pivotArea dataOnly="0" labelOnly="1" fieldPosition="0">
        <references count="5">
          <reference field="0" count="1" selected="0">
            <x v="38"/>
          </reference>
          <reference field="1" count="1" selected="0">
            <x v="41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5"/>
          </reference>
        </references>
      </pivotArea>
    </format>
    <format dxfId="1771">
      <pivotArea dataOnly="0" labelOnly="1" fieldPosition="0">
        <references count="5">
          <reference field="0" count="1" selected="0">
            <x v="38"/>
          </reference>
          <reference field="1" count="1" selected="0">
            <x v="44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770">
      <pivotArea dataOnly="0" labelOnly="1" fieldPosition="0">
        <references count="5">
          <reference field="0" count="1" selected="0">
            <x v="38"/>
          </reference>
          <reference field="1" count="1" selected="0">
            <x v="44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769">
      <pivotArea dataOnly="0" labelOnly="1" fieldPosition="0">
        <references count="5">
          <reference field="0" count="1" selected="0">
            <x v="39"/>
          </reference>
          <reference field="1" count="1" selected="0">
            <x v="4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70"/>
          </reference>
        </references>
      </pivotArea>
    </format>
    <format dxfId="1768">
      <pivotArea dataOnly="0" labelOnly="1" fieldPosition="0">
        <references count="5">
          <reference field="0" count="1" selected="0">
            <x v="39"/>
          </reference>
          <reference field="1" count="1" selected="0">
            <x v="76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767">
      <pivotArea dataOnly="0" labelOnly="1" fieldPosition="0">
        <references count="5">
          <reference field="0" count="1" selected="0">
            <x v="39"/>
          </reference>
          <reference field="1" count="1" selected="0">
            <x v="130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766">
      <pivotArea dataOnly="0" labelOnly="1" fieldPosition="0">
        <references count="5">
          <reference field="0" count="1" selected="0">
            <x v="39"/>
          </reference>
          <reference field="1" count="1" selected="0">
            <x v="188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197"/>
          </reference>
        </references>
      </pivotArea>
    </format>
    <format dxfId="1765">
      <pivotArea dataOnly="0" labelOnly="1" fieldPosition="0">
        <references count="5">
          <reference field="0" count="1" selected="0">
            <x v="39"/>
          </reference>
          <reference field="1" count="1" selected="0">
            <x v="224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41"/>
          </reference>
        </references>
      </pivotArea>
    </format>
    <format dxfId="1764">
      <pivotArea dataOnly="0" labelOnly="1" fieldPosition="0">
        <references count="5">
          <reference field="0" count="1" selected="0">
            <x v="39"/>
          </reference>
          <reference field="1" count="1" selected="0">
            <x v="314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208"/>
          </reference>
        </references>
      </pivotArea>
    </format>
    <format dxfId="1763">
      <pivotArea dataOnly="0" labelOnly="1" fieldPosition="0">
        <references count="5">
          <reference field="0" count="1" selected="0">
            <x v="39"/>
          </reference>
          <reference field="1" count="1" selected="0">
            <x v="321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72"/>
          </reference>
        </references>
      </pivotArea>
    </format>
    <format dxfId="1762">
      <pivotArea dataOnly="0" labelOnly="1" fieldPosition="0">
        <references count="5">
          <reference field="0" count="1" selected="0">
            <x v="39"/>
          </reference>
          <reference field="1" count="1" selected="0">
            <x v="339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201"/>
          </reference>
        </references>
      </pivotArea>
    </format>
    <format dxfId="1761">
      <pivotArea dataOnly="0" labelOnly="1" fieldPosition="0">
        <references count="5">
          <reference field="0" count="1" selected="0">
            <x v="39"/>
          </reference>
          <reference field="1" count="1" selected="0">
            <x v="402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54"/>
          </reference>
        </references>
      </pivotArea>
    </format>
    <format dxfId="1760">
      <pivotArea dataOnly="0" labelOnly="1" fieldPosition="0">
        <references count="5">
          <reference field="0" count="1" selected="0">
            <x v="40"/>
          </reference>
          <reference field="1" count="1" selected="0">
            <x v="15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8"/>
          </reference>
        </references>
      </pivotArea>
    </format>
    <format dxfId="1759">
      <pivotArea dataOnly="0" labelOnly="1" fieldPosition="0">
        <references count="5">
          <reference field="0" count="1" selected="0">
            <x v="40"/>
          </reference>
          <reference field="1" count="1" selected="0">
            <x v="17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87"/>
          </reference>
        </references>
      </pivotArea>
    </format>
    <format dxfId="1758">
      <pivotArea dataOnly="0" labelOnly="1" fieldPosition="0">
        <references count="5">
          <reference field="0" count="1" selected="0">
            <x v="40"/>
          </reference>
          <reference field="1" count="1" selected="0">
            <x v="1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757">
      <pivotArea dataOnly="0" labelOnly="1" fieldPosition="0">
        <references count="5">
          <reference field="0" count="1" selected="0">
            <x v="40"/>
          </reference>
          <reference field="1" count="1" selected="0">
            <x v="2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96"/>
          </reference>
        </references>
      </pivotArea>
    </format>
    <format dxfId="1756">
      <pivotArea dataOnly="0" labelOnly="1" fieldPosition="0">
        <references count="5">
          <reference field="0" count="1" selected="0">
            <x v="40"/>
          </reference>
          <reference field="1" count="1" selected="0">
            <x v="38"/>
          </reference>
          <reference field="2" count="1" selected="0">
            <x v="28"/>
          </reference>
          <reference field="3" count="1" selected="0">
            <x v="0"/>
          </reference>
          <reference field="4" count="1">
            <x v="167"/>
          </reference>
        </references>
      </pivotArea>
    </format>
    <format dxfId="1755">
      <pivotArea dataOnly="0" labelOnly="1" fieldPosition="0">
        <references count="5">
          <reference field="0" count="1" selected="0">
            <x v="40"/>
          </reference>
          <reference field="1" count="1" selected="0">
            <x v="81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30"/>
          </reference>
        </references>
      </pivotArea>
    </format>
    <format dxfId="1754">
      <pivotArea dataOnly="0" labelOnly="1" fieldPosition="0">
        <references count="5">
          <reference field="0" count="1" selected="0">
            <x v="40"/>
          </reference>
          <reference field="1" count="1" selected="0">
            <x v="12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753">
      <pivotArea dataOnly="0" labelOnly="1" fieldPosition="0">
        <references count="5">
          <reference field="0" count="1" selected="0">
            <x v="40"/>
          </reference>
          <reference field="1" count="1" selected="0">
            <x v="122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60"/>
          </reference>
        </references>
      </pivotArea>
    </format>
    <format dxfId="1752">
      <pivotArea dataOnly="0" labelOnly="1" fieldPosition="0">
        <references count="5">
          <reference field="0" count="1" selected="0">
            <x v="40"/>
          </reference>
          <reference field="1" count="1" selected="0">
            <x v="138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55"/>
          </reference>
        </references>
      </pivotArea>
    </format>
    <format dxfId="1751">
      <pivotArea dataOnly="0" labelOnly="1" fieldPosition="0">
        <references count="5">
          <reference field="0" count="1" selected="0">
            <x v="40"/>
          </reference>
          <reference field="1" count="1" selected="0">
            <x v="14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750">
      <pivotArea dataOnly="0" labelOnly="1" fieldPosition="0">
        <references count="5">
          <reference field="0" count="1" selected="0">
            <x v="40"/>
          </reference>
          <reference field="1" count="1" selected="0">
            <x v="185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45"/>
          </reference>
        </references>
      </pivotArea>
    </format>
    <format dxfId="1749">
      <pivotArea dataOnly="0" labelOnly="1" fieldPosition="0">
        <references count="5">
          <reference field="0" count="1" selected="0">
            <x v="40"/>
          </reference>
          <reference field="1" count="1" selected="0">
            <x v="232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748">
      <pivotArea dataOnly="0" labelOnly="1" fieldPosition="0">
        <references count="5">
          <reference field="0" count="1" selected="0">
            <x v="40"/>
          </reference>
          <reference field="1" count="1" selected="0">
            <x v="23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747">
      <pivotArea dataOnly="0" labelOnly="1" fieldPosition="0">
        <references count="5">
          <reference field="0" count="1" selected="0">
            <x v="40"/>
          </reference>
          <reference field="1" count="1" selected="0">
            <x v="24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746">
      <pivotArea dataOnly="0" labelOnly="1" fieldPosition="0">
        <references count="5">
          <reference field="0" count="1" selected="0">
            <x v="40"/>
          </reference>
          <reference field="1" count="1" selected="0">
            <x v="261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97"/>
          </reference>
        </references>
      </pivotArea>
    </format>
    <format dxfId="1745">
      <pivotArea dataOnly="0" labelOnly="1" fieldPosition="0">
        <references count="5">
          <reference field="0" count="1" selected="0">
            <x v="40"/>
          </reference>
          <reference field="1" count="1" selected="0">
            <x v="27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744">
      <pivotArea dataOnly="0" labelOnly="1" fieldPosition="0">
        <references count="5">
          <reference field="0" count="1" selected="0">
            <x v="40"/>
          </reference>
          <reference field="1" count="1" selected="0">
            <x v="277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34"/>
          </reference>
        </references>
      </pivotArea>
    </format>
    <format dxfId="1743">
      <pivotArea dataOnly="0" labelOnly="1" fieldPosition="0">
        <references count="5">
          <reference field="0" count="1" selected="0">
            <x v="40"/>
          </reference>
          <reference field="1" count="1" selected="0">
            <x v="27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3"/>
          </reference>
        </references>
      </pivotArea>
    </format>
    <format dxfId="1742">
      <pivotArea dataOnly="0" labelOnly="1" fieldPosition="0">
        <references count="5">
          <reference field="0" count="1" selected="0">
            <x v="40"/>
          </reference>
          <reference field="1" count="1" selected="0">
            <x v="31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741">
      <pivotArea dataOnly="0" labelOnly="1" fieldPosition="0">
        <references count="5">
          <reference field="0" count="1" selected="0">
            <x v="40"/>
          </reference>
          <reference field="1" count="1" selected="0">
            <x v="328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740">
      <pivotArea dataOnly="0" labelOnly="1" fieldPosition="0">
        <references count="5">
          <reference field="0" count="1" selected="0">
            <x v="40"/>
          </reference>
          <reference field="1" count="1" selected="0">
            <x v="36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14"/>
          </reference>
        </references>
      </pivotArea>
    </format>
    <format dxfId="1739">
      <pivotArea dataOnly="0" labelOnly="1" fieldPosition="0">
        <references count="5">
          <reference field="0" count="1" selected="0">
            <x v="40"/>
          </reference>
          <reference field="1" count="1" selected="0">
            <x v="375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738">
      <pivotArea dataOnly="0" labelOnly="1" fieldPosition="0">
        <references count="5">
          <reference field="0" count="1" selected="0">
            <x v="40"/>
          </reference>
          <reference field="1" count="1" selected="0">
            <x v="384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737">
      <pivotArea dataOnly="0" labelOnly="1" fieldPosition="0">
        <references count="5">
          <reference field="0" count="1" selected="0">
            <x v="40"/>
          </reference>
          <reference field="1" count="1" selected="0">
            <x v="38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1"/>
          </reference>
        </references>
      </pivotArea>
    </format>
    <format dxfId="1736">
      <pivotArea dataOnly="0" labelOnly="1" fieldPosition="0">
        <references count="5">
          <reference field="0" count="1" selected="0">
            <x v="40"/>
          </reference>
          <reference field="1" count="1" selected="0">
            <x v="394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20"/>
          </reference>
        </references>
      </pivotArea>
    </format>
    <format dxfId="1735">
      <pivotArea dataOnly="0" labelOnly="1" fieldPosition="0">
        <references count="5">
          <reference field="0" count="1" selected="0">
            <x v="40"/>
          </reference>
          <reference field="1" count="1" selected="0">
            <x v="44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48"/>
          </reference>
        </references>
      </pivotArea>
    </format>
    <format dxfId="1734">
      <pivotArea dataOnly="0" labelOnly="1" fieldPosition="0">
        <references count="5">
          <reference field="0" count="1" selected="0">
            <x v="40"/>
          </reference>
          <reference field="1" count="1" selected="0">
            <x v="44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203"/>
          </reference>
        </references>
      </pivotArea>
    </format>
    <format dxfId="1733">
      <pivotArea dataOnly="0" labelOnly="1" fieldPosition="0">
        <references count="5">
          <reference field="0" count="1" selected="0">
            <x v="41"/>
          </reference>
          <reference field="1" count="1" selected="0">
            <x v="1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53"/>
          </reference>
        </references>
      </pivotArea>
    </format>
    <format dxfId="1732">
      <pivotArea dataOnly="0" labelOnly="1" fieldPosition="0">
        <references count="5">
          <reference field="0" count="1" selected="0">
            <x v="41"/>
          </reference>
          <reference field="1" count="1" selected="0">
            <x v="48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17"/>
          </reference>
        </references>
      </pivotArea>
    </format>
    <format dxfId="1731">
      <pivotArea dataOnly="0" labelOnly="1" fieldPosition="0">
        <references count="5">
          <reference field="0" count="1" selected="0">
            <x v="41"/>
          </reference>
          <reference field="1" count="1" selected="0">
            <x v="89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730">
      <pivotArea dataOnly="0" labelOnly="1" fieldPosition="0">
        <references count="5">
          <reference field="0" count="1" selected="0">
            <x v="41"/>
          </reference>
          <reference field="1" count="1" selected="0">
            <x v="208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02"/>
          </reference>
        </references>
      </pivotArea>
    </format>
    <format dxfId="1729">
      <pivotArea dataOnly="0" labelOnly="1" fieldPosition="0">
        <references count="5">
          <reference field="0" count="1" selected="0">
            <x v="41"/>
          </reference>
          <reference field="1" count="1" selected="0">
            <x v="213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11"/>
          </reference>
        </references>
      </pivotArea>
    </format>
    <format dxfId="1728">
      <pivotArea dataOnly="0" labelOnly="1" fieldPosition="0">
        <references count="5">
          <reference field="0" count="1" selected="0">
            <x v="41"/>
          </reference>
          <reference field="1" count="1" selected="0">
            <x v="225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1727">
      <pivotArea dataOnly="0" labelOnly="1" fieldPosition="0">
        <references count="5">
          <reference field="0" count="1" selected="0">
            <x v="41"/>
          </reference>
          <reference field="1" count="1" selected="0">
            <x v="227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66"/>
          </reference>
        </references>
      </pivotArea>
    </format>
    <format dxfId="1726">
      <pivotArea dataOnly="0" labelOnly="1" fieldPosition="0">
        <references count="5">
          <reference field="0" count="1" selected="0">
            <x v="41"/>
          </reference>
          <reference field="1" count="1" selected="0">
            <x v="236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725">
      <pivotArea dataOnly="0" labelOnly="1" fieldPosition="0">
        <references count="5">
          <reference field="0" count="1" selected="0">
            <x v="41"/>
          </reference>
          <reference field="1" count="1" selected="0">
            <x v="348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195"/>
          </reference>
        </references>
      </pivotArea>
    </format>
    <format dxfId="1724">
      <pivotArea dataOnly="0" labelOnly="1" fieldPosition="0">
        <references count="5">
          <reference field="0" count="1" selected="0">
            <x v="41"/>
          </reference>
          <reference field="1" count="1" selected="0">
            <x v="357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723">
      <pivotArea dataOnly="0" labelOnly="1" fieldPosition="0">
        <references count="5">
          <reference field="0" count="1" selected="0">
            <x v="41"/>
          </reference>
          <reference field="1" count="1" selected="0">
            <x v="404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722">
      <pivotArea dataOnly="0" labelOnly="1" fieldPosition="0">
        <references count="5">
          <reference field="0" count="1" selected="0">
            <x v="41"/>
          </reference>
          <reference field="1" count="1" selected="0">
            <x v="405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67"/>
          </reference>
        </references>
      </pivotArea>
    </format>
    <format dxfId="1721">
      <pivotArea dataOnly="0" labelOnly="1" fieldPosition="0">
        <references count="5">
          <reference field="0" count="1" selected="0">
            <x v="41"/>
          </reference>
          <reference field="1" count="1" selected="0">
            <x v="439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13"/>
          </reference>
        </references>
      </pivotArea>
    </format>
    <format dxfId="1720">
      <pivotArea dataOnly="0" labelOnly="1" fieldPosition="0">
        <references count="5">
          <reference field="0" count="1" selected="0">
            <x v="41"/>
          </reference>
          <reference field="1" count="1" selected="0">
            <x v="443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719">
      <pivotArea dataOnly="0" labelOnly="1" fieldPosition="0">
        <references count="5">
          <reference field="0" count="1" selected="0">
            <x v="42"/>
          </reference>
          <reference field="1" count="1" selected="0">
            <x v="3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718">
      <pivotArea dataOnly="0" labelOnly="1" fieldPosition="0">
        <references count="5">
          <reference field="0" count="1" selected="0">
            <x v="42"/>
          </reference>
          <reference field="1" count="1" selected="0">
            <x v="3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105"/>
          </reference>
        </references>
      </pivotArea>
    </format>
    <format dxfId="1717">
      <pivotArea dataOnly="0" labelOnly="1" fieldPosition="0">
        <references count="5">
          <reference field="0" count="1" selected="0">
            <x v="42"/>
          </reference>
          <reference field="1" count="1" selected="0">
            <x v="8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716">
      <pivotArea dataOnly="0" labelOnly="1" fieldPosition="0">
        <references count="5">
          <reference field="0" count="1" selected="0">
            <x v="42"/>
          </reference>
          <reference field="1" count="1" selected="0">
            <x v="9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715">
      <pivotArea dataOnly="0" labelOnly="1" fieldPosition="0">
        <references count="5">
          <reference field="0" count="1" selected="0">
            <x v="42"/>
          </reference>
          <reference field="1" count="1" selected="0">
            <x v="121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714">
      <pivotArea dataOnly="0" labelOnly="1" fieldPosition="0">
        <references count="5">
          <reference field="0" count="1" selected="0">
            <x v="42"/>
          </reference>
          <reference field="1" count="1" selected="0">
            <x v="145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713">
      <pivotArea dataOnly="0" labelOnly="1" fieldPosition="0">
        <references count="5">
          <reference field="0" count="1" selected="0">
            <x v="42"/>
          </reference>
          <reference field="1" count="1" selected="0">
            <x v="16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712">
      <pivotArea dataOnly="0" labelOnly="1" fieldPosition="0">
        <references count="5">
          <reference field="0" count="1" selected="0">
            <x v="42"/>
          </reference>
          <reference field="1" count="1" selected="0">
            <x v="167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711">
      <pivotArea dataOnly="0" labelOnly="1" fieldPosition="0">
        <references count="5">
          <reference field="0" count="1" selected="0">
            <x v="42"/>
          </reference>
          <reference field="1" count="1" selected="0">
            <x v="17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26"/>
          </reference>
        </references>
      </pivotArea>
    </format>
    <format dxfId="1710">
      <pivotArea dataOnly="0" labelOnly="1" fieldPosition="0">
        <references count="5">
          <reference field="0" count="1" selected="0">
            <x v="42"/>
          </reference>
          <reference field="1" count="1" selected="0">
            <x v="231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709">
      <pivotArea dataOnly="0" labelOnly="1" fieldPosition="0">
        <references count="5">
          <reference field="0" count="1" selected="0">
            <x v="42"/>
          </reference>
          <reference field="1" count="1" selected="0">
            <x v="317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708">
      <pivotArea dataOnly="0" labelOnly="1" fieldPosition="0">
        <references count="5">
          <reference field="0" count="1" selected="0">
            <x v="42"/>
          </reference>
          <reference field="1" count="1" selected="0">
            <x v="33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83"/>
          </reference>
        </references>
      </pivotArea>
    </format>
    <format dxfId="1707">
      <pivotArea dataOnly="0" labelOnly="1" fieldPosition="0">
        <references count="5">
          <reference field="0" count="1" selected="0">
            <x v="42"/>
          </reference>
          <reference field="1" count="1" selected="0">
            <x v="429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706">
      <pivotArea dataOnly="0" labelOnly="1" fieldPosition="0">
        <references count="5">
          <reference field="0" count="1" selected="0">
            <x v="43"/>
          </reference>
          <reference field="1" count="1" selected="0">
            <x v="13"/>
          </reference>
          <reference field="2" count="1" selected="0">
            <x v="29"/>
          </reference>
          <reference field="3" count="1" selected="0">
            <x v="0"/>
          </reference>
          <reference field="4" count="1">
            <x v="45"/>
          </reference>
        </references>
      </pivotArea>
    </format>
    <format dxfId="1705">
      <pivotArea dataOnly="0" labelOnly="1" fieldPosition="0">
        <references count="5">
          <reference field="0" count="1" selected="0">
            <x v="43"/>
          </reference>
          <reference field="1" count="1" selected="0">
            <x v="14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90"/>
          </reference>
        </references>
      </pivotArea>
    </format>
    <format dxfId="1704">
      <pivotArea dataOnly="0" labelOnly="1" fieldPosition="0">
        <references count="5">
          <reference field="0" count="1" selected="0">
            <x v="43"/>
          </reference>
          <reference field="1" count="1" selected="0">
            <x v="16"/>
          </reference>
          <reference field="2" count="1" selected="0">
            <x v="29"/>
          </reference>
          <reference field="3" count="1" selected="0">
            <x v="0"/>
          </reference>
          <reference field="4" count="1">
            <x v="91"/>
          </reference>
        </references>
      </pivotArea>
    </format>
    <format dxfId="1703">
      <pivotArea dataOnly="0" labelOnly="1" fieldPosition="0">
        <references count="5">
          <reference field="0" count="1" selected="0">
            <x v="43"/>
          </reference>
          <reference field="1" count="1" selected="0">
            <x v="84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90"/>
          </reference>
        </references>
      </pivotArea>
    </format>
    <format dxfId="1702">
      <pivotArea dataOnly="0" labelOnly="1" fieldPosition="0">
        <references count="5">
          <reference field="0" count="1" selected="0">
            <x v="43"/>
          </reference>
          <reference field="1" count="1" selected="0">
            <x v="133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49"/>
          </reference>
        </references>
      </pivotArea>
    </format>
    <format dxfId="1701">
      <pivotArea dataOnly="0" labelOnly="1" fieldPosition="0">
        <references count="5">
          <reference field="0" count="1" selected="0">
            <x v="43"/>
          </reference>
          <reference field="1" count="1" selected="0">
            <x v="181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13"/>
          </reference>
        </references>
      </pivotArea>
    </format>
    <format dxfId="1700">
      <pivotArea dataOnly="0" labelOnly="1" fieldPosition="0">
        <references count="5">
          <reference field="0" count="1" selected="0">
            <x v="43"/>
          </reference>
          <reference field="1" count="1" selected="0">
            <x v="210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62"/>
          </reference>
        </references>
      </pivotArea>
    </format>
    <format dxfId="1699">
      <pivotArea dataOnly="0" labelOnly="1" fieldPosition="0">
        <references count="5">
          <reference field="0" count="1" selected="0">
            <x v="43"/>
          </reference>
          <reference field="1" count="1" selected="0">
            <x v="291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54"/>
          </reference>
        </references>
      </pivotArea>
    </format>
    <format dxfId="1698">
      <pivotArea dataOnly="0" labelOnly="1" fieldPosition="0">
        <references count="5">
          <reference field="0" count="1" selected="0">
            <x v="43"/>
          </reference>
          <reference field="1" count="1" selected="0">
            <x v="312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38"/>
          </reference>
        </references>
      </pivotArea>
    </format>
    <format dxfId="1697">
      <pivotArea dataOnly="0" labelOnly="1" fieldPosition="0">
        <references count="5">
          <reference field="0" count="1" selected="0">
            <x v="44"/>
          </reference>
          <reference field="1" count="1" selected="0">
            <x v="2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1696">
      <pivotArea dataOnly="0" labelOnly="1" fieldPosition="0">
        <references count="5">
          <reference field="0" count="1" selected="0">
            <x v="44"/>
          </reference>
          <reference field="1" count="1" selected="0">
            <x v="2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695">
      <pivotArea dataOnly="0" labelOnly="1" fieldPosition="0">
        <references count="5">
          <reference field="0" count="1" selected="0">
            <x v="44"/>
          </reference>
          <reference field="1" count="1" selected="0">
            <x v="35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189"/>
          </reference>
        </references>
      </pivotArea>
    </format>
    <format dxfId="1694">
      <pivotArea dataOnly="0" labelOnly="1" fieldPosition="0">
        <references count="5">
          <reference field="0" count="1" selected="0">
            <x v="44"/>
          </reference>
          <reference field="1" count="1" selected="0">
            <x v="150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108"/>
          </reference>
        </references>
      </pivotArea>
    </format>
    <format dxfId="1693">
      <pivotArea dataOnly="0" labelOnly="1" fieldPosition="0">
        <references count="5">
          <reference field="0" count="1" selected="0">
            <x v="44"/>
          </reference>
          <reference field="1" count="1" selected="0">
            <x v="17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692">
      <pivotArea dataOnly="0" labelOnly="1" fieldPosition="0">
        <references count="5">
          <reference field="0" count="1" selected="0">
            <x v="44"/>
          </reference>
          <reference field="1" count="1" selected="0">
            <x v="186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148"/>
          </reference>
        </references>
      </pivotArea>
    </format>
    <format dxfId="1691">
      <pivotArea dataOnly="0" labelOnly="1" fieldPosition="0">
        <references count="5">
          <reference field="0" count="1" selected="0">
            <x v="44"/>
          </reference>
          <reference field="1" count="1" selected="0">
            <x v="203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78"/>
          </reference>
        </references>
      </pivotArea>
    </format>
    <format dxfId="1690">
      <pivotArea dataOnly="0" labelOnly="1" fieldPosition="0">
        <references count="5">
          <reference field="0" count="1" selected="0">
            <x v="44"/>
          </reference>
          <reference field="1" count="1" selected="0">
            <x v="219"/>
          </reference>
          <reference field="2" count="1" selected="0">
            <x v="25"/>
          </reference>
          <reference field="3" count="1" selected="0">
            <x v="4"/>
          </reference>
          <reference field="4" count="1">
            <x v="184"/>
          </reference>
        </references>
      </pivotArea>
    </format>
    <format dxfId="1689">
      <pivotArea dataOnly="0" labelOnly="1" fieldPosition="0">
        <references count="5">
          <reference field="0" count="1" selected="0">
            <x v="44"/>
          </reference>
          <reference field="1" count="1" selected="0">
            <x v="24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688">
      <pivotArea dataOnly="0" labelOnly="1" fieldPosition="0">
        <references count="5">
          <reference field="0" count="1" selected="0">
            <x v="44"/>
          </reference>
          <reference field="1" count="1" selected="0">
            <x v="249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687">
      <pivotArea dataOnly="0" labelOnly="1" fieldPosition="0">
        <references count="5">
          <reference field="0" count="1" selected="0">
            <x v="44"/>
          </reference>
          <reference field="1" count="1" selected="0">
            <x v="250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686">
      <pivotArea dataOnly="0" labelOnly="1" fieldPosition="0">
        <references count="5">
          <reference field="0" count="1" selected="0">
            <x v="44"/>
          </reference>
          <reference field="1" count="1" selected="0">
            <x v="25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685">
      <pivotArea dataOnly="0" labelOnly="1" fieldPosition="0">
        <references count="5">
          <reference field="0" count="1" selected="0">
            <x v="44"/>
          </reference>
          <reference field="1" count="1" selected="0">
            <x v="252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684">
      <pivotArea dataOnly="0" labelOnly="1" fieldPosition="0">
        <references count="5">
          <reference field="0" count="1" selected="0">
            <x v="44"/>
          </reference>
          <reference field="1" count="1" selected="0">
            <x v="298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36"/>
          </reference>
        </references>
      </pivotArea>
    </format>
    <format dxfId="1683">
      <pivotArea dataOnly="0" labelOnly="1" fieldPosition="0">
        <references count="5">
          <reference field="0" count="1" selected="0">
            <x v="44"/>
          </reference>
          <reference field="1" count="1" selected="0">
            <x v="329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682">
      <pivotArea dataOnly="0" labelOnly="1" fieldPosition="0">
        <references count="5">
          <reference field="0" count="1" selected="0">
            <x v="44"/>
          </reference>
          <reference field="1" count="1" selected="0">
            <x v="362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82"/>
          </reference>
        </references>
      </pivotArea>
    </format>
    <format dxfId="1681">
      <pivotArea dataOnly="0" labelOnly="1" fieldPosition="0">
        <references count="5">
          <reference field="0" count="1" selected="0">
            <x v="44"/>
          </reference>
          <reference field="1" count="1" selected="0">
            <x v="393"/>
          </reference>
          <reference field="2" count="1" selected="0">
            <x v="25"/>
          </reference>
          <reference field="3" count="1" selected="0">
            <x v="4"/>
          </reference>
          <reference field="4" count="1">
            <x v="187"/>
          </reference>
        </references>
      </pivotArea>
    </format>
    <format dxfId="1680">
      <pivotArea dataOnly="0" labelOnly="1" fieldPosition="0">
        <references count="5">
          <reference field="0" count="1" selected="0">
            <x v="44"/>
          </reference>
          <reference field="1" count="1" selected="0">
            <x v="398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80"/>
          </reference>
        </references>
      </pivotArea>
    </format>
    <format dxfId="1679">
      <pivotArea dataOnly="0" labelOnly="1" fieldPosition="0">
        <references count="5">
          <reference field="0" count="1" selected="0">
            <x v="44"/>
          </reference>
          <reference field="1" count="1" selected="0">
            <x v="43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678">
      <pivotArea dataOnly="0" labelOnly="1" fieldPosition="0">
        <references count="5">
          <reference field="0" count="1" selected="0">
            <x v="44"/>
          </reference>
          <reference field="1" count="1" selected="0">
            <x v="434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677">
      <pivotArea dataOnly="0" labelOnly="1" fieldPosition="0">
        <references count="5">
          <reference field="0" count="1" selected="0">
            <x v="45"/>
          </reference>
          <reference field="1" count="1" selected="0">
            <x v="52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676">
      <pivotArea dataOnly="0" labelOnly="1" fieldPosition="0">
        <references count="5">
          <reference field="0" count="1" selected="0">
            <x v="45"/>
          </reference>
          <reference field="1" count="1" selected="0">
            <x v="97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58"/>
          </reference>
        </references>
      </pivotArea>
    </format>
    <format dxfId="1675">
      <pivotArea dataOnly="0" labelOnly="1" fieldPosition="0">
        <references count="5">
          <reference field="0" count="1" selected="0">
            <x v="45"/>
          </reference>
          <reference field="1" count="1" selected="0">
            <x v="101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674">
      <pivotArea dataOnly="0" labelOnly="1" fieldPosition="0">
        <references count="5">
          <reference field="0" count="1" selected="0">
            <x v="45"/>
          </reference>
          <reference field="1" count="1" selected="0">
            <x v="189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1673">
      <pivotArea dataOnly="0" labelOnly="1" fieldPosition="0">
        <references count="5">
          <reference field="0" count="1" selected="0">
            <x v="45"/>
          </reference>
          <reference field="1" count="1" selected="0">
            <x v="190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1672">
      <pivotArea dataOnly="0" labelOnly="1" fieldPosition="0">
        <references count="5">
          <reference field="0" count="1" selected="0">
            <x v="45"/>
          </reference>
          <reference field="1" count="1" selected="0">
            <x v="253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671">
      <pivotArea dataOnly="0" labelOnly="1" fieldPosition="0">
        <references count="5">
          <reference field="0" count="1" selected="0">
            <x v="45"/>
          </reference>
          <reference field="1" count="1" selected="0">
            <x v="263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670">
      <pivotArea dataOnly="0" labelOnly="1" fieldPosition="0">
        <references count="5">
          <reference field="0" count="1" selected="0">
            <x v="45"/>
          </reference>
          <reference field="1" count="1" selected="0">
            <x v="307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1669">
      <pivotArea dataOnly="0" labelOnly="1" fieldPosition="0">
        <references count="5">
          <reference field="0" count="1" selected="0">
            <x v="45"/>
          </reference>
          <reference field="1" count="1" selected="0">
            <x v="368"/>
          </reference>
          <reference field="2" count="1" selected="0">
            <x v="24"/>
          </reference>
          <reference field="3" count="1" selected="0">
            <x v="4"/>
          </reference>
          <reference field="4" count="1">
            <x v="185"/>
          </reference>
        </references>
      </pivotArea>
    </format>
    <format dxfId="1668">
      <pivotArea dataOnly="0" labelOnly="1" fieldPosition="0">
        <references count="5">
          <reference field="0" count="1" selected="0">
            <x v="45"/>
          </reference>
          <reference field="1" count="1" selected="0">
            <x v="385"/>
          </reference>
          <reference field="2" count="1" selected="0">
            <x v="24"/>
          </reference>
          <reference field="3" count="1" selected="0">
            <x v="0"/>
          </reference>
          <reference field="4" count="1">
            <x v="30"/>
          </reference>
        </references>
      </pivotArea>
    </format>
    <format dxfId="1667">
      <pivotArea dataOnly="0" labelOnly="1" fieldPosition="0">
        <references count="5">
          <reference field="0" count="1" selected="0">
            <x v="45"/>
          </reference>
          <reference field="1" count="1" selected="0">
            <x v="411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666">
      <pivotArea dataOnly="0" labelOnly="1" fieldPosition="0">
        <references count="5">
          <reference field="0" count="1" selected="0">
            <x v="45"/>
          </reference>
          <reference field="1" count="1" selected="0">
            <x v="445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1665">
      <pivotArea dataOnly="0" labelOnly="1" fieldPosition="0">
        <references count="5">
          <reference field="0" count="1" selected="0">
            <x v="46"/>
          </reference>
          <reference field="1" count="1" selected="0">
            <x v="59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1664">
      <pivotArea dataOnly="0" labelOnly="1" fieldPosition="0">
        <references count="5">
          <reference field="0" count="1" selected="0">
            <x v="46"/>
          </reference>
          <reference field="1" count="1" selected="0">
            <x v="60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663">
      <pivotArea dataOnly="0" labelOnly="1" fieldPosition="0">
        <references count="5">
          <reference field="0" count="1" selected="0">
            <x v="46"/>
          </reference>
          <reference field="1" count="1" selected="0">
            <x v="441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109"/>
          </reference>
        </references>
      </pivotArea>
    </format>
    <format dxfId="1662">
      <pivotArea dataOnly="0" labelOnly="1" fieldPosition="0">
        <references count="5">
          <reference field="0" count="1" selected="0">
            <x v="47"/>
          </reference>
          <reference field="1" count="1" selected="0">
            <x v="37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18"/>
          </reference>
        </references>
      </pivotArea>
    </format>
    <format dxfId="1661">
      <pivotArea dataOnly="0" labelOnly="1" fieldPosition="0">
        <references count="5">
          <reference field="0" count="1" selected="0">
            <x v="47"/>
          </reference>
          <reference field="1" count="1" selected="0">
            <x v="85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99"/>
          </reference>
        </references>
      </pivotArea>
    </format>
    <format dxfId="1660">
      <pivotArea dataOnly="0" labelOnly="1" fieldPosition="0">
        <references count="5">
          <reference field="0" count="1" selected="0">
            <x v="47"/>
          </reference>
          <reference field="1" count="1" selected="0">
            <x v="118"/>
          </reference>
          <reference field="2" count="1" selected="0">
            <x v="37"/>
          </reference>
          <reference field="3" count="1" selected="0">
            <x v="1"/>
          </reference>
          <reference field="4" count="1">
            <x v="24"/>
          </reference>
        </references>
      </pivotArea>
    </format>
    <format dxfId="1659">
      <pivotArea dataOnly="0" labelOnly="1" fieldPosition="0">
        <references count="5">
          <reference field="0" count="1" selected="0">
            <x v="47"/>
          </reference>
          <reference field="1" count="1" selected="0">
            <x v="184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1658">
      <pivotArea dataOnly="0" labelOnly="1" fieldPosition="0">
        <references count="5">
          <reference field="0" count="1" selected="0">
            <x v="47"/>
          </reference>
          <reference field="1" count="1" selected="0">
            <x v="234"/>
          </reference>
          <reference field="2" count="1" selected="0">
            <x v="37"/>
          </reference>
          <reference field="3" count="1" selected="0">
            <x v="4"/>
          </reference>
          <reference field="4" count="1">
            <x v="181"/>
          </reference>
        </references>
      </pivotArea>
    </format>
    <format dxfId="1657">
      <pivotArea dataOnly="0" labelOnly="1" fieldPosition="0">
        <references count="5">
          <reference field="0" count="1" selected="0">
            <x v="47"/>
          </reference>
          <reference field="1" count="1" selected="0">
            <x v="319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656">
      <pivotArea dataOnly="0" labelOnly="1" fieldPosition="0">
        <references count="5">
          <reference field="0" count="1" selected="0">
            <x v="47"/>
          </reference>
          <reference field="1" count="1" selected="0">
            <x v="356"/>
          </reference>
          <reference field="2" count="1" selected="0">
            <x v="37"/>
          </reference>
          <reference field="3" count="1" selected="0">
            <x v="0"/>
          </reference>
          <reference field="4" count="1">
            <x v="48"/>
          </reference>
        </references>
      </pivotArea>
    </format>
    <format dxfId="1655">
      <pivotArea dataOnly="0" labelOnly="1" fieldPosition="0">
        <references count="5">
          <reference field="0" count="1" selected="0">
            <x v="47"/>
          </reference>
          <reference field="1" count="1" selected="0">
            <x v="358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157"/>
          </reference>
        </references>
      </pivotArea>
    </format>
    <format dxfId="1654">
      <pivotArea dataOnly="0" labelOnly="1" fieldPosition="0">
        <references count="5">
          <reference field="0" count="1" selected="0">
            <x v="47"/>
          </reference>
          <reference field="1" count="1" selected="0">
            <x v="359"/>
          </reference>
          <reference field="2" count="1" selected="0">
            <x v="37"/>
          </reference>
          <reference field="3" count="1" selected="0">
            <x v="4"/>
          </reference>
          <reference field="4" count="1">
            <x v="200"/>
          </reference>
        </references>
      </pivotArea>
    </format>
    <format dxfId="1653">
      <pivotArea dataOnly="0" labelOnly="1" fieldPosition="0">
        <references count="5">
          <reference field="0" count="1" selected="0">
            <x v="48"/>
          </reference>
          <reference field="1" count="1" selected="0">
            <x v="276"/>
          </reference>
          <reference field="2" count="1" selected="0">
            <x v="32"/>
          </reference>
          <reference field="3" count="1" selected="0">
            <x v="7"/>
          </reference>
          <reference field="4" count="1">
            <x v="18"/>
          </reference>
        </references>
      </pivotArea>
    </format>
    <format dxfId="1652">
      <pivotArea dataOnly="0" labelOnly="1" fieldPosition="0">
        <references count="5">
          <reference field="0" count="1" selected="0">
            <x v="49"/>
          </reference>
          <reference field="1" count="1" selected="0">
            <x v="309"/>
          </reference>
          <reference field="2" count="1" selected="0">
            <x v="6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651">
      <pivotArea dataOnly="0" labelOnly="1" fieldPosition="0">
        <references count="5">
          <reference field="0" count="1" selected="0">
            <x v="49"/>
          </reference>
          <reference field="1" count="1" selected="0">
            <x v="367"/>
          </reference>
          <reference field="2" count="1" selected="0">
            <x v="6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650">
      <pivotArea dataOnly="0" labelOnly="1" fieldPosition="0">
        <references count="5">
          <reference field="0" count="1" selected="0">
            <x v="50"/>
          </reference>
          <reference field="1" count="1" selected="0">
            <x v="20"/>
          </reference>
          <reference field="2" count="1" selected="0">
            <x v="44"/>
          </reference>
          <reference field="3" count="1" selected="0">
            <x v="4"/>
          </reference>
          <reference field="4" count="1">
            <x v="180"/>
          </reference>
        </references>
      </pivotArea>
    </format>
    <format dxfId="1649">
      <pivotArea dataOnly="0" labelOnly="1" fieldPosition="0">
        <references count="5">
          <reference field="0" count="1" selected="0">
            <x v="50"/>
          </reference>
          <reference field="1" count="1" selected="0">
            <x v="139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1648">
      <pivotArea dataOnly="0" labelOnly="1" fieldPosition="0">
        <references count="5">
          <reference field="0" count="1" selected="0">
            <x v="50"/>
          </reference>
          <reference field="1" count="1" selected="0">
            <x v="169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23"/>
          </reference>
        </references>
      </pivotArea>
    </format>
    <format dxfId="1647">
      <pivotArea dataOnly="0" labelOnly="1" fieldPosition="0">
        <references count="5">
          <reference field="0" count="1" selected="0">
            <x v="50"/>
          </reference>
          <reference field="1" count="1" selected="0">
            <x v="202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646">
      <pivotArea dataOnly="0" labelOnly="1" fieldPosition="0">
        <references count="5">
          <reference field="0" count="1" selected="0">
            <x v="50"/>
          </reference>
          <reference field="1" count="1" selected="0">
            <x v="211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1645">
      <pivotArea dataOnly="0" labelOnly="1" fieldPosition="0">
        <references count="5">
          <reference field="0" count="1" selected="0">
            <x v="50"/>
          </reference>
          <reference field="1" count="1" selected="0">
            <x v="265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644">
      <pivotArea dataOnly="0" labelOnly="1" fieldPosition="0">
        <references count="5">
          <reference field="0" count="1" selected="0">
            <x v="50"/>
          </reference>
          <reference field="1" count="1" selected="0">
            <x v="268"/>
          </reference>
          <reference field="2" count="1" selected="0">
            <x v="44"/>
          </reference>
          <reference field="3" count="1" selected="0">
            <x v="7"/>
          </reference>
          <reference field="4" count="1">
            <x v="16"/>
          </reference>
        </references>
      </pivotArea>
    </format>
    <format dxfId="1643">
      <pivotArea dataOnly="0" labelOnly="1" fieldPosition="0">
        <references count="5">
          <reference field="0" count="1" selected="0">
            <x v="50"/>
          </reference>
          <reference field="1" count="1" selected="0">
            <x v="346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76"/>
          </reference>
        </references>
      </pivotArea>
    </format>
    <format dxfId="1642">
      <pivotArea dataOnly="0" labelOnly="1" fieldPosition="0">
        <references count="5">
          <reference field="0" count="1" selected="0">
            <x v="50"/>
          </reference>
          <reference field="1" count="1" selected="0">
            <x v="388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1641">
      <pivotArea dataOnly="0" labelOnly="1" fieldPosition="0">
        <references count="5">
          <reference field="0" count="1" selected="0">
            <x v="51"/>
          </reference>
          <reference field="1" count="1" selected="0">
            <x v="220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11"/>
          </reference>
        </references>
      </pivotArea>
    </format>
    <format dxfId="1640">
      <pivotArea dataOnly="0" labelOnly="1" fieldPosition="0">
        <references count="5">
          <reference field="0" count="1" selected="0">
            <x v="51"/>
          </reference>
          <reference field="1" count="1" selected="0">
            <x v="221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19"/>
          </reference>
        </references>
      </pivotArea>
    </format>
    <format dxfId="1639">
      <pivotArea dataOnly="0" labelOnly="1" fieldPosition="0">
        <references count="5">
          <reference field="0" count="1" selected="0">
            <x v="51"/>
          </reference>
          <reference field="1" count="1" selected="0">
            <x v="264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1638">
      <pivotArea dataOnly="0" labelOnly="1" fieldPosition="0">
        <references count="5">
          <reference field="0" count="1" selected="0">
            <x v="51"/>
          </reference>
          <reference field="1" count="1" selected="0">
            <x v="361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45"/>
          </reference>
        </references>
      </pivotArea>
    </format>
    <format dxfId="1637">
      <pivotArea dataOnly="0" labelOnly="1" fieldPosition="0">
        <references count="5">
          <reference field="0" count="1" selected="0">
            <x v="52"/>
          </reference>
          <reference field="1" count="1" selected="0">
            <x v="345"/>
          </reference>
          <reference field="2" count="1" selected="0">
            <x v="14"/>
          </reference>
          <reference field="3" count="1" selected="0">
            <x v="3"/>
          </reference>
          <reference field="4" count="1">
            <x v="155"/>
          </reference>
        </references>
      </pivotArea>
    </format>
    <format dxfId="1636">
      <pivotArea dataOnly="0" labelOnly="1" fieldPosition="0">
        <references count="5">
          <reference field="0" count="1" selected="0">
            <x v="52"/>
          </reference>
          <reference field="1" count="1" selected="0">
            <x v="436"/>
          </reference>
          <reference field="2" count="1" selected="0">
            <x v="14"/>
          </reference>
          <reference field="3" count="1" selected="0">
            <x v="0"/>
          </reference>
          <reference field="4" count="1">
            <x v="91"/>
          </reference>
        </references>
      </pivotArea>
    </format>
    <format dxfId="1635">
      <pivotArea dataOnly="0" labelOnly="1" fieldPosition="0">
        <references count="5">
          <reference field="0" count="1" selected="0">
            <x v="53"/>
          </reference>
          <reference field="1" count="1" selected="0">
            <x v="114"/>
          </reference>
          <reference field="2" count="1" selected="0">
            <x v="63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1634">
      <pivotArea dataOnly="0" labelOnly="1" fieldPosition="0">
        <references count="5">
          <reference field="0" count="1" selected="0">
            <x v="53"/>
          </reference>
          <reference field="1" count="1" selected="0">
            <x v="143"/>
          </reference>
          <reference field="2" count="1" selected="0">
            <x v="6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633">
      <pivotArea dataOnly="0" labelOnly="1" fieldPosition="0">
        <references count="5">
          <reference field="0" count="1" selected="0">
            <x v="53"/>
          </reference>
          <reference field="1" count="1" selected="0">
            <x v="308"/>
          </reference>
          <reference field="2" count="1" selected="0">
            <x v="63"/>
          </reference>
          <reference field="3" count="1" selected="0">
            <x v="3"/>
          </reference>
          <reference field="4" count="1">
            <x v="40"/>
          </reference>
        </references>
      </pivotArea>
    </format>
    <format dxfId="1632">
      <pivotArea dataOnly="0" labelOnly="1" fieldPosition="0">
        <references count="5">
          <reference field="0" count="1" selected="0">
            <x v="53"/>
          </reference>
          <reference field="1" count="1" selected="0">
            <x v="380"/>
          </reference>
          <reference field="2" count="1" selected="0">
            <x v="63"/>
          </reference>
          <reference field="3" count="1" selected="0">
            <x v="0"/>
          </reference>
          <reference field="4" count="1">
            <x v="50"/>
          </reference>
        </references>
      </pivotArea>
    </format>
    <format dxfId="1631">
      <pivotArea dataOnly="0" labelOnly="1" fieldPosition="0">
        <references count="5">
          <reference field="0" count="1" selected="0">
            <x v="53"/>
          </reference>
          <reference field="1" count="1" selected="0">
            <x v="403"/>
          </reference>
          <reference field="2" count="1" selected="0">
            <x v="63"/>
          </reference>
          <reference field="3" count="1" selected="0">
            <x v="0"/>
          </reference>
          <reference field="4" count="1">
            <x v="46"/>
          </reference>
        </references>
      </pivotArea>
    </format>
    <format dxfId="1630">
      <pivotArea dataOnly="0" labelOnly="1" fieldPosition="0">
        <references count="5">
          <reference field="0" count="1" selected="0">
            <x v="54"/>
          </reference>
          <reference field="1" count="1" selected="0">
            <x v="162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20"/>
          </reference>
        </references>
      </pivotArea>
    </format>
    <format dxfId="1629">
      <pivotArea dataOnly="0" labelOnly="1" fieldPosition="0">
        <references count="5">
          <reference field="0" count="1" selected="0">
            <x v="54"/>
          </reference>
          <reference field="1" count="1" selected="0">
            <x v="163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20"/>
          </reference>
        </references>
      </pivotArea>
    </format>
    <format dxfId="1628">
      <pivotArea dataOnly="0" labelOnly="1" fieldPosition="0">
        <references count="5">
          <reference field="0" count="1" selected="0">
            <x v="54"/>
          </reference>
          <reference field="1" count="1" selected="0">
            <x v="278"/>
          </reference>
          <reference field="2" count="1" selected="0">
            <x v="64"/>
          </reference>
          <reference field="3" count="1" selected="0">
            <x v="0"/>
          </reference>
          <reference field="4" count="1">
            <x v="32"/>
          </reference>
        </references>
      </pivotArea>
    </format>
    <format dxfId="1627">
      <pivotArea dataOnly="0" labelOnly="1" fieldPosition="0">
        <references count="5">
          <reference field="0" count="1" selected="0">
            <x v="54"/>
          </reference>
          <reference field="1" count="1" selected="0">
            <x v="313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626">
      <pivotArea dataOnly="0" labelOnly="1" fieldPosition="0">
        <references count="5">
          <reference field="0" count="1" selected="0">
            <x v="54"/>
          </reference>
          <reference field="1" count="1" selected="0">
            <x v="351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625">
      <pivotArea dataOnly="0" labelOnly="1" fieldPosition="0">
        <references count="5">
          <reference field="0" count="1" selected="0">
            <x v="54"/>
          </reference>
          <reference field="1" count="1" selected="0">
            <x v="450"/>
          </reference>
          <reference field="2" count="1" selected="0">
            <x v="64"/>
          </reference>
          <reference field="3" count="1" selected="0">
            <x v="0"/>
          </reference>
          <reference field="4" count="1">
            <x v="29"/>
          </reference>
        </references>
      </pivotArea>
    </format>
    <format dxfId="1624">
      <pivotArea dataOnly="0" labelOnly="1" fieldPosition="0">
        <references count="5">
          <reference field="0" count="1" selected="0">
            <x v="55"/>
          </reference>
          <reference field="1" count="1" selected="0">
            <x v="242"/>
          </reference>
          <reference field="2" count="1" selected="0">
            <x v="48"/>
          </reference>
          <reference field="3" count="1" selected="0">
            <x v="4"/>
          </reference>
          <reference field="4" count="1">
            <x v="182"/>
          </reference>
        </references>
      </pivotArea>
    </format>
    <format dxfId="1623">
      <pivotArea dataOnly="0" labelOnly="1" fieldPosition="0">
        <references count="5">
          <reference field="0" count="1" selected="0">
            <x v="55"/>
          </reference>
          <reference field="1" count="1" selected="0">
            <x v="303"/>
          </reference>
          <reference field="2" count="1" selected="0">
            <x v="48"/>
          </reference>
          <reference field="3" count="1" selected="0">
            <x v="3"/>
          </reference>
          <reference field="4" count="1">
            <x v="18"/>
          </reference>
        </references>
      </pivotArea>
    </format>
    <format dxfId="1622">
      <pivotArea dataOnly="0" labelOnly="1" fieldPosition="0">
        <references count="5">
          <reference field="0" count="1" selected="0">
            <x v="55"/>
          </reference>
          <reference field="1" count="1" selected="0">
            <x v="412"/>
          </reference>
          <reference field="2" count="1" selected="0">
            <x v="48"/>
          </reference>
          <reference field="3" count="1" selected="0">
            <x v="3"/>
          </reference>
          <reference field="4" count="1">
            <x v="20"/>
          </reference>
        </references>
      </pivotArea>
    </format>
    <format dxfId="1621">
      <pivotArea dataOnly="0" labelOnly="1" fieldPosition="0">
        <references count="5">
          <reference field="0" count="1" selected="0">
            <x v="56"/>
          </reference>
          <reference field="1" count="1" selected="0">
            <x v="3"/>
          </reference>
          <reference field="2" count="1" selected="0">
            <x v="15"/>
          </reference>
          <reference field="3" count="1" selected="0">
            <x v="3"/>
          </reference>
          <reference field="4" count="1">
            <x v="19"/>
          </reference>
        </references>
      </pivotArea>
    </format>
    <format dxfId="1620">
      <pivotArea dataOnly="0" labelOnly="1" fieldPosition="0">
        <references count="5">
          <reference field="0" count="1" selected="0">
            <x v="56"/>
          </reference>
          <reference field="1" count="1" selected="0">
            <x v="7"/>
          </reference>
          <reference field="2" count="1" selected="0">
            <x v="15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1619">
      <pivotArea dataOnly="0" labelOnly="1" fieldPosition="0">
        <references count="5">
          <reference field="0" count="1" selected="0">
            <x v="57"/>
          </reference>
          <reference field="1" count="1" selected="0">
            <x v="51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618">
      <pivotArea dataOnly="0" labelOnly="1" fieldPosition="0">
        <references count="5">
          <reference field="0" count="1" selected="0">
            <x v="57"/>
          </reference>
          <reference field="1" count="1" selected="0">
            <x v="271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104"/>
          </reference>
        </references>
      </pivotArea>
    </format>
    <format dxfId="1617">
      <pivotArea dataOnly="0" labelOnly="1" fieldPosition="0">
        <references count="5">
          <reference field="0" count="1" selected="0">
            <x v="57"/>
          </reference>
          <reference field="1" count="1" selected="0">
            <x v="324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21"/>
          </reference>
        </references>
      </pivotArea>
    </format>
    <format dxfId="1616">
      <pivotArea dataOnly="0" labelOnly="1" fieldPosition="0">
        <references count="5">
          <reference field="0" count="1" selected="0">
            <x v="58"/>
          </reference>
          <reference field="1" count="1" selected="0">
            <x v="62"/>
          </reference>
          <reference field="2" count="1" selected="0">
            <x v="27"/>
          </reference>
          <reference field="3" count="1" selected="0">
            <x v="3"/>
          </reference>
          <reference field="4" count="1">
            <x v="95"/>
          </reference>
        </references>
      </pivotArea>
    </format>
    <format dxfId="1615">
      <pivotArea dataOnly="0" labelOnly="1" fieldPosition="0">
        <references count="5">
          <reference field="0" count="1" selected="0">
            <x v="58"/>
          </reference>
          <reference field="1" count="1" selected="0">
            <x v="255"/>
          </reference>
          <reference field="2" count="1" selected="0">
            <x v="27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614">
      <pivotArea dataOnly="0" labelOnly="1" fieldPosition="0">
        <references count="5">
          <reference field="0" count="1" selected="0">
            <x v="59"/>
          </reference>
          <reference field="1" count="1" selected="0">
            <x v="68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10"/>
          </reference>
        </references>
      </pivotArea>
    </format>
    <format dxfId="1613">
      <pivotArea dataOnly="0" labelOnly="1" fieldPosition="0">
        <references count="5">
          <reference field="0" count="1" selected="0">
            <x v="59"/>
          </reference>
          <reference field="1" count="1" selected="0">
            <x v="79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612">
      <pivotArea dataOnly="0" labelOnly="1" fieldPosition="0">
        <references count="5">
          <reference field="0" count="1" selected="0">
            <x v="59"/>
          </reference>
          <reference field="1" count="1" selected="0">
            <x v="80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1611">
      <pivotArea dataOnly="0" labelOnly="1" fieldPosition="0">
        <references count="5">
          <reference field="0" count="1" selected="0">
            <x v="59"/>
          </reference>
          <reference field="1" count="1" selected="0">
            <x v="148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85"/>
          </reference>
        </references>
      </pivotArea>
    </format>
    <format dxfId="1610">
      <pivotArea dataOnly="0" labelOnly="1" fieldPosition="0">
        <references count="5">
          <reference field="0" count="1" selected="0">
            <x v="59"/>
          </reference>
          <reference field="1" count="1" selected="0">
            <x v="170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609">
      <pivotArea dataOnly="0" labelOnly="1" fieldPosition="0">
        <references count="5">
          <reference field="0" count="1" selected="0">
            <x v="59"/>
          </reference>
          <reference field="1" count="1" selected="0">
            <x v="187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608">
      <pivotArea dataOnly="0" labelOnly="1" fieldPosition="0">
        <references count="5">
          <reference field="0" count="1" selected="0">
            <x v="59"/>
          </reference>
          <reference field="1" count="1" selected="0">
            <x v="233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607">
      <pivotArea dataOnly="0" labelOnly="1" fieldPosition="0">
        <references count="5">
          <reference field="0" count="1" selected="0">
            <x v="59"/>
          </reference>
          <reference field="1" count="1" selected="0">
            <x v="281"/>
          </reference>
          <reference field="2" count="1" selected="0">
            <x v="1"/>
          </reference>
          <reference field="3" count="1" selected="0">
            <x v="2"/>
          </reference>
          <reference field="4" count="1">
            <x v="48"/>
          </reference>
        </references>
      </pivotArea>
    </format>
    <format dxfId="1606">
      <pivotArea dataOnly="0" labelOnly="1" fieldPosition="0">
        <references count="5">
          <reference field="0" count="1" selected="0">
            <x v="59"/>
          </reference>
          <reference field="1" count="1" selected="0">
            <x v="315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605">
      <pivotArea dataOnly="0" labelOnly="1" fieldPosition="0">
        <references count="5">
          <reference field="0" count="1" selected="0">
            <x v="59"/>
          </reference>
          <reference field="1" count="1" selected="0">
            <x v="335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604">
      <pivotArea dataOnly="0" labelOnly="1" fieldPosition="0">
        <references count="5">
          <reference field="0" count="1" selected="0">
            <x v="59"/>
          </reference>
          <reference field="1" count="1" selected="0">
            <x v="363"/>
          </reference>
          <reference field="2" count="1" selected="0">
            <x v="1"/>
          </reference>
          <reference field="3" count="1" selected="0">
            <x v="0"/>
          </reference>
          <reference field="4" count="1">
            <x v="50"/>
          </reference>
        </references>
      </pivotArea>
    </format>
    <format dxfId="1603">
      <pivotArea dataOnly="0" labelOnly="1" fieldPosition="0">
        <references count="5">
          <reference field="0" count="1" selected="0">
            <x v="59"/>
          </reference>
          <reference field="1" count="1" selected="0">
            <x v="377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112"/>
          </reference>
        </references>
      </pivotArea>
    </format>
    <format dxfId="1602">
      <pivotArea dataOnly="0" labelOnly="1" fieldPosition="0">
        <references count="5">
          <reference field="0" count="1" selected="0">
            <x v="60"/>
          </reference>
          <reference field="1" count="1" selected="0">
            <x v="71"/>
          </reference>
          <reference field="2" count="1" selected="0">
            <x v="59"/>
          </reference>
          <reference field="3" count="1" selected="0">
            <x v="0"/>
          </reference>
          <reference field="4" count="1">
            <x v="37"/>
          </reference>
        </references>
      </pivotArea>
    </format>
    <format dxfId="1601">
      <pivotArea dataOnly="0" labelOnly="1" fieldPosition="0">
        <references count="5">
          <reference field="0" count="1" selected="0">
            <x v="61"/>
          </reference>
          <reference field="1" count="1" selected="0">
            <x v="94"/>
          </reference>
          <reference field="2" count="1" selected="0">
            <x v="21"/>
          </reference>
          <reference field="3" count="1" selected="0">
            <x v="4"/>
          </reference>
          <reference field="4" count="1">
            <x v="209"/>
          </reference>
        </references>
      </pivotArea>
    </format>
    <format dxfId="1600">
      <pivotArea dataOnly="0" labelOnly="1" fieldPosition="0">
        <references count="5">
          <reference field="0" count="1" selected="0">
            <x v="61"/>
          </reference>
          <reference field="1" count="1" selected="0">
            <x v="294"/>
          </reference>
          <reference field="2" count="1" selected="0">
            <x v="21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599">
      <pivotArea dataOnly="0" labelOnly="1" fieldPosition="0">
        <references count="5">
          <reference field="0" count="1" selected="0">
            <x v="61"/>
          </reference>
          <reference field="1" count="1" selected="0">
            <x v="295"/>
          </reference>
          <reference field="2" count="1" selected="0">
            <x v="21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598">
      <pivotArea dataOnly="0" labelOnly="1" fieldPosition="0">
        <references count="5">
          <reference field="0" count="1" selected="0">
            <x v="62"/>
          </reference>
          <reference field="1" count="1" selected="0">
            <x v="93"/>
          </reference>
          <reference field="2" count="1" selected="0">
            <x v="45"/>
          </reference>
          <reference field="3" count="1" selected="0">
            <x v="7"/>
          </reference>
          <reference field="4" count="1">
            <x v="20"/>
          </reference>
        </references>
      </pivotArea>
    </format>
    <format dxfId="1597">
      <pivotArea dataOnly="0" labelOnly="1" fieldPosition="0">
        <references count="5">
          <reference field="0" count="1" selected="0">
            <x v="63"/>
          </reference>
          <reference field="1" count="1" selected="0">
            <x v="183"/>
          </reference>
          <reference field="2" count="1" selected="0">
            <x v="11"/>
          </reference>
          <reference field="3" count="1" selected="0">
            <x v="0"/>
          </reference>
          <reference field="4" count="1">
            <x v="49"/>
          </reference>
        </references>
      </pivotArea>
    </format>
    <format dxfId="1596">
      <pivotArea dataOnly="0" labelOnly="1" fieldPosition="0">
        <references count="5">
          <reference field="0" count="1" selected="0">
            <x v="64"/>
          </reference>
          <reference field="1" count="1" selected="0">
            <x v="401"/>
          </reference>
          <reference field="2" count="1" selected="0">
            <x v="60"/>
          </reference>
          <reference field="3" count="1" selected="0">
            <x v="7"/>
          </reference>
          <reference field="4" count="1">
            <x v="25"/>
          </reference>
        </references>
      </pivotArea>
    </format>
    <format dxfId="1595">
      <pivotArea dataOnly="0" labelOnly="1" fieldPosition="0">
        <references count="5">
          <reference field="0" count="1" selected="0">
            <x v="65"/>
          </reference>
          <reference field="1" count="1" selected="0">
            <x v="25"/>
          </reference>
          <reference field="2" count="1" selected="0">
            <x v="56"/>
          </reference>
          <reference field="3" count="1" selected="0">
            <x v="0"/>
          </reference>
          <reference field="4" count="1">
            <x v="64"/>
          </reference>
        </references>
      </pivotArea>
    </format>
    <format dxfId="1594">
      <pivotArea dataOnly="0" labelOnly="1" fieldPosition="0">
        <references count="5">
          <reference field="0" count="1" selected="0">
            <x v="65"/>
          </reference>
          <reference field="1" count="1" selected="0">
            <x v="56"/>
          </reference>
          <reference field="2" count="1" selected="0">
            <x v="56"/>
          </reference>
          <reference field="3" count="1" selected="0">
            <x v="4"/>
          </reference>
          <reference field="4" count="1">
            <x v="55"/>
          </reference>
        </references>
      </pivotArea>
    </format>
    <format dxfId="1593">
      <pivotArea dataOnly="0" labelOnly="1" fieldPosition="0">
        <references count="5">
          <reference field="0" count="1" selected="0">
            <x v="65"/>
          </reference>
          <reference field="1" count="1" selected="0">
            <x v="275"/>
          </reference>
          <reference field="2" count="1" selected="0">
            <x v="56"/>
          </reference>
          <reference field="3" count="1" selected="0">
            <x v="3"/>
          </reference>
          <reference field="4" count="1">
            <x v="174"/>
          </reference>
        </references>
      </pivotArea>
    </format>
    <format dxfId="1592">
      <pivotArea dataOnly="0" labelOnly="1" fieldPosition="0">
        <references count="2">
          <reference field="0" count="1" selected="0">
            <x v="0"/>
          </reference>
          <reference field="2" count="1">
            <x v="9"/>
          </reference>
        </references>
      </pivotArea>
    </format>
    <format dxfId="1591">
      <pivotArea dataOnly="0" labelOnly="1" fieldPosition="0">
        <references count="4">
          <reference field="0" count="1" selected="0">
            <x v="0"/>
          </reference>
          <reference field="1" count="1" selected="0">
            <x v="111"/>
          </reference>
          <reference field="2" count="1" selected="0">
            <x v="9"/>
          </reference>
          <reference field="3" count="1">
            <x v="0"/>
          </reference>
        </references>
      </pivotArea>
    </format>
    <format dxfId="1590">
      <pivotArea dataOnly="0" labelOnly="1" fieldPosition="0">
        <references count="5">
          <reference field="0" count="1" selected="0">
            <x v="0"/>
          </reference>
          <reference field="1" count="1" selected="0">
            <x v="111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43"/>
          </reference>
        </references>
      </pivotArea>
    </format>
    <format dxfId="1589">
      <pivotArea dataOnly="0" labelOnly="1" fieldPosition="0">
        <references count="5">
          <reference field="0" count="1" selected="0">
            <x v="0"/>
          </reference>
          <reference field="1" count="1" selected="0">
            <x v="199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35"/>
          </reference>
        </references>
      </pivotArea>
    </format>
    <format dxfId="1588">
      <pivotArea dataOnly="0" labelOnly="1" fieldPosition="0">
        <references count="4">
          <reference field="0" count="1" selected="0">
            <x v="1"/>
          </reference>
          <reference field="1" count="1" selected="0">
            <x v="9"/>
          </reference>
          <reference field="2" count="1" selected="0">
            <x v="8"/>
          </reference>
          <reference field="3" count="1">
            <x v="3"/>
          </reference>
        </references>
      </pivotArea>
    </format>
    <format dxfId="1587">
      <pivotArea dataOnly="0" labelOnly="1" fieldPosition="0">
        <references count="5">
          <reference field="0" count="1" selected="0">
            <x v="1"/>
          </reference>
          <reference field="1" count="1" selected="0">
            <x v="9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586">
      <pivotArea dataOnly="0" labelOnly="1" fieldPosition="0">
        <references count="5">
          <reference field="0" count="1" selected="0">
            <x v="1"/>
          </reference>
          <reference field="1" count="1" selected="0">
            <x v="58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1585">
      <pivotArea dataOnly="0" labelOnly="1" fieldPosition="0">
        <references count="5">
          <reference field="0" count="1" selected="0">
            <x v="1"/>
          </reference>
          <reference field="1" count="1" selected="0">
            <x v="179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1584">
      <pivotArea dataOnly="0" labelOnly="1" fieldPosition="0">
        <references count="5">
          <reference field="0" count="1" selected="0">
            <x v="1"/>
          </reference>
          <reference field="1" count="1" selected="0">
            <x v="364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583">
      <pivotArea dataOnly="0" labelOnly="1" fieldPosition="0">
        <references count="4">
          <reference field="0" count="1" selected="0">
            <x v="2"/>
          </reference>
          <reference field="1" count="1" selected="0">
            <x v="8"/>
          </reference>
          <reference field="2" count="1" selected="0">
            <x v="20"/>
          </reference>
          <reference field="3" count="1">
            <x v="3"/>
          </reference>
        </references>
      </pivotArea>
    </format>
    <format dxfId="1582">
      <pivotArea dataOnly="0" labelOnly="1" fieldPosition="0">
        <references count="4">
          <reference field="0" count="1" selected="0">
            <x v="2"/>
          </reference>
          <reference field="1" count="1" selected="0">
            <x v="91"/>
          </reference>
          <reference field="2" count="1" selected="0">
            <x v="20"/>
          </reference>
          <reference field="3" count="1">
            <x v="0"/>
          </reference>
        </references>
      </pivotArea>
    </format>
    <format dxfId="1581">
      <pivotArea dataOnly="0" labelOnly="1" fieldPosition="0">
        <references count="4">
          <reference field="0" count="1" selected="0">
            <x v="2"/>
          </reference>
          <reference field="1" count="1" selected="0">
            <x v="99"/>
          </reference>
          <reference field="2" count="1" selected="0">
            <x v="20"/>
          </reference>
          <reference field="3" count="1">
            <x v="3"/>
          </reference>
        </references>
      </pivotArea>
    </format>
    <format dxfId="1580">
      <pivotArea dataOnly="0" labelOnly="1" fieldPosition="0">
        <references count="5">
          <reference field="0" count="1" selected="0">
            <x v="2"/>
          </reference>
          <reference field="1" count="1" selected="0">
            <x v="8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8"/>
          </reference>
        </references>
      </pivotArea>
    </format>
    <format dxfId="1579">
      <pivotArea dataOnly="0" labelOnly="1" fieldPosition="0">
        <references count="5">
          <reference field="0" count="1" selected="0">
            <x v="2"/>
          </reference>
          <reference field="1" count="1" selected="0">
            <x v="12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8"/>
          </reference>
        </references>
      </pivotArea>
    </format>
    <format dxfId="1578">
      <pivotArea dataOnly="0" labelOnly="1" fieldPosition="0">
        <references count="5">
          <reference field="0" count="1" selected="0">
            <x v="2"/>
          </reference>
          <reference field="1" count="1" selected="0">
            <x v="65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4"/>
          </reference>
        </references>
      </pivotArea>
    </format>
    <format dxfId="1577">
      <pivotArea dataOnly="0" labelOnly="1" fieldPosition="0">
        <references count="5">
          <reference field="0" count="1" selected="0">
            <x v="2"/>
          </reference>
          <reference field="1" count="1" selected="0">
            <x v="6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4"/>
          </reference>
        </references>
      </pivotArea>
    </format>
    <format dxfId="1576">
      <pivotArea dataOnly="0" labelOnly="1" fieldPosition="0">
        <references count="5">
          <reference field="0" count="1" selected="0">
            <x v="2"/>
          </reference>
          <reference field="1" count="1" selected="0">
            <x v="91"/>
          </reference>
          <reference field="2" count="1" selected="0">
            <x v="2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1575">
      <pivotArea dataOnly="0" labelOnly="1" fieldPosition="0">
        <references count="5">
          <reference field="0" count="1" selected="0">
            <x v="2"/>
          </reference>
          <reference field="1" count="1" selected="0">
            <x v="99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1574">
      <pivotArea dataOnly="0" labelOnly="1" fieldPosition="0">
        <references count="5">
          <reference field="0" count="1" selected="0">
            <x v="2"/>
          </reference>
          <reference field="1" count="1" selected="0">
            <x v="131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573">
      <pivotArea dataOnly="0" labelOnly="1" fieldPosition="0">
        <references count="5">
          <reference field="0" count="1" selected="0">
            <x v="2"/>
          </reference>
          <reference field="1" count="1" selected="0">
            <x v="13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02"/>
          </reference>
        </references>
      </pivotArea>
    </format>
    <format dxfId="1572">
      <pivotArea dataOnly="0" labelOnly="1" fieldPosition="0">
        <references count="5">
          <reference field="0" count="1" selected="0">
            <x v="2"/>
          </reference>
          <reference field="1" count="1" selected="0">
            <x v="14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571">
      <pivotArea dataOnly="0" labelOnly="1" fieldPosition="0">
        <references count="5">
          <reference field="0" count="1" selected="0">
            <x v="2"/>
          </reference>
          <reference field="1" count="1" selected="0">
            <x v="155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570">
      <pivotArea collapsedLevelsAreSubtotals="1" fieldPosition="0">
        <references count="5">
          <reference field="0" count="1" selected="0">
            <x v="1"/>
          </reference>
          <reference field="1" count="1" selected="0">
            <x v="9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569">
      <pivotArea collapsedLevelsAreSubtotals="1" fieldPosition="0">
        <references count="5">
          <reference field="0" count="1" selected="0">
            <x v="1"/>
          </reference>
          <reference field="1" count="1" selected="0">
            <x v="58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1568">
      <pivotArea collapsedLevelsAreSubtotals="1" fieldPosition="0">
        <references count="5">
          <reference field="0" count="1" selected="0">
            <x v="1"/>
          </reference>
          <reference field="1" count="1" selected="0">
            <x v="179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1567">
      <pivotArea collapsedLevelsAreSubtotals="1" fieldPosition="0">
        <references count="5">
          <reference field="0" count="1" selected="0">
            <x v="1"/>
          </reference>
          <reference field="1" count="1" selected="0">
            <x v="364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566">
      <pivotArea collapsedLevelsAreSubtotals="1" fieldPosition="0">
        <references count="2">
          <reference field="0" count="1" selected="0">
            <x v="1"/>
          </reference>
          <reference field="2" count="1" defaultSubtotal="1">
            <x v="8"/>
          </reference>
        </references>
      </pivotArea>
    </format>
    <format dxfId="1565">
      <pivotArea dataOnly="0" labelOnly="1" fieldPosition="0">
        <references count="1">
          <reference field="0" count="1">
            <x v="1"/>
          </reference>
        </references>
      </pivotArea>
    </format>
    <format dxfId="1564">
      <pivotArea dataOnly="0" labelOnly="1" fieldPosition="0">
        <references count="2">
          <reference field="0" count="1" selected="0">
            <x v="1"/>
          </reference>
          <reference field="2" count="1">
            <x v="8"/>
          </reference>
        </references>
      </pivotArea>
    </format>
    <format dxfId="1563">
      <pivotArea dataOnly="0" labelOnly="1" fieldPosition="0">
        <references count="2">
          <reference field="0" count="1" selected="0">
            <x v="1"/>
          </reference>
          <reference field="2" count="1" defaultSubtotal="1">
            <x v="8"/>
          </reference>
        </references>
      </pivotArea>
    </format>
    <format dxfId="1562">
      <pivotArea collapsedLevelsAreSubtotals="1" fieldPosition="0">
        <references count="5">
          <reference field="0" count="1" selected="0">
            <x v="2"/>
          </reference>
          <reference field="1" count="1" selected="0">
            <x v="8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8"/>
          </reference>
        </references>
      </pivotArea>
    </format>
    <format dxfId="1561">
      <pivotArea collapsedLevelsAreSubtotals="1" fieldPosition="0">
        <references count="5">
          <reference field="0" count="1" selected="0">
            <x v="2"/>
          </reference>
          <reference field="1" count="1" selected="0">
            <x v="12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8"/>
          </reference>
        </references>
      </pivotArea>
    </format>
    <format dxfId="1560">
      <pivotArea collapsedLevelsAreSubtotals="1" fieldPosition="0">
        <references count="5">
          <reference field="0" count="1" selected="0">
            <x v="2"/>
          </reference>
          <reference field="1" count="1" selected="0">
            <x v="65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4"/>
          </reference>
        </references>
      </pivotArea>
    </format>
    <format dxfId="1559">
      <pivotArea collapsedLevelsAreSubtotals="1" fieldPosition="0">
        <references count="5">
          <reference field="0" count="1" selected="0">
            <x v="2"/>
          </reference>
          <reference field="1" count="1" selected="0">
            <x v="6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4"/>
          </reference>
        </references>
      </pivotArea>
    </format>
    <format dxfId="1558">
      <pivotArea collapsedLevelsAreSubtotals="1" fieldPosition="0">
        <references count="5">
          <reference field="0" count="1" selected="0">
            <x v="2"/>
          </reference>
          <reference field="1" count="1" selected="0">
            <x v="91"/>
          </reference>
          <reference field="2" count="1" selected="0">
            <x v="2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1557">
      <pivotArea collapsedLevelsAreSubtotals="1" fieldPosition="0">
        <references count="5">
          <reference field="0" count="1" selected="0">
            <x v="2"/>
          </reference>
          <reference field="1" count="1" selected="0">
            <x v="99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1556">
      <pivotArea collapsedLevelsAreSubtotals="1" fieldPosition="0">
        <references count="5">
          <reference field="0" count="1" selected="0">
            <x v="2"/>
          </reference>
          <reference field="1" count="1" selected="0">
            <x v="131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555">
      <pivotArea collapsedLevelsAreSubtotals="1" fieldPosition="0">
        <references count="5">
          <reference field="0" count="1" selected="0">
            <x v="2"/>
          </reference>
          <reference field="1" count="1" selected="0">
            <x v="13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02"/>
          </reference>
        </references>
      </pivotArea>
    </format>
    <format dxfId="1554">
      <pivotArea collapsedLevelsAreSubtotals="1" fieldPosition="0">
        <references count="5">
          <reference field="0" count="1" selected="0">
            <x v="2"/>
          </reference>
          <reference field="1" count="1" selected="0">
            <x v="14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553">
      <pivotArea collapsedLevelsAreSubtotals="1" fieldPosition="0">
        <references count="5">
          <reference field="0" count="1" selected="0">
            <x v="2"/>
          </reference>
          <reference field="1" count="1" selected="0">
            <x v="155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552">
      <pivotArea collapsedLevelsAreSubtotals="1" fieldPosition="0">
        <references count="2">
          <reference field="0" count="1" selected="0">
            <x v="2"/>
          </reference>
          <reference field="2" count="1" defaultSubtotal="1">
            <x v="20"/>
          </reference>
        </references>
      </pivotArea>
    </format>
    <format dxfId="1551">
      <pivotArea dataOnly="0" labelOnly="1" fieldPosition="0">
        <references count="2">
          <reference field="0" count="1" selected="0">
            <x v="2"/>
          </reference>
          <reference field="2" count="1">
            <x v="20"/>
          </reference>
        </references>
      </pivotArea>
    </format>
    <format dxfId="1550">
      <pivotArea dataOnly="0" labelOnly="1" fieldPosition="0">
        <references count="2">
          <reference field="0" count="1" selected="0">
            <x v="2"/>
          </reference>
          <reference field="2" count="1" defaultSubtotal="1">
            <x v="20"/>
          </reference>
        </references>
      </pivotArea>
    </format>
    <format dxfId="1549">
      <pivotArea collapsedLevelsAreSubtotals="1" fieldPosition="0">
        <references count="5">
          <reference field="0" count="1" selected="0">
            <x v="3"/>
          </reference>
          <reference field="1" count="1" selected="0">
            <x v="39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1548">
      <pivotArea collapsedLevelsAreSubtotals="1" fieldPosition="0">
        <references count="5">
          <reference field="0" count="1" selected="0">
            <x v="3"/>
          </reference>
          <reference field="1" count="1" selected="0">
            <x v="4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1547">
      <pivotArea collapsedLevelsAreSubtotals="1" fieldPosition="0">
        <references count="5">
          <reference field="0" count="1" selected="0">
            <x v="3"/>
          </reference>
          <reference field="1" count="1" selected="0">
            <x v="41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1546">
      <pivotArea collapsedLevelsAreSubtotals="1" fieldPosition="0">
        <references count="5">
          <reference field="0" count="1" selected="0">
            <x v="3"/>
          </reference>
          <reference field="1" count="1" selected="0">
            <x v="42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1545">
      <pivotArea collapsedLevelsAreSubtotals="1" fieldPosition="0">
        <references count="5">
          <reference field="0" count="1" selected="0">
            <x v="3"/>
          </reference>
          <reference field="1" count="1" selected="0">
            <x v="43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0"/>
          </reference>
        </references>
      </pivotArea>
    </format>
    <format dxfId="1544">
      <pivotArea collapsedLevelsAreSubtotals="1" fieldPosition="0">
        <references count="5">
          <reference field="0" count="1" selected="0">
            <x v="3"/>
          </reference>
          <reference field="1" count="1" selected="0">
            <x v="5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1543">
      <pivotArea collapsedLevelsAreSubtotals="1" fieldPosition="0">
        <references count="5">
          <reference field="0" count="1" selected="0">
            <x v="3"/>
          </reference>
          <reference field="1" count="1" selected="0">
            <x v="10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542">
      <pivotArea collapsedLevelsAreSubtotals="1" fieldPosition="0">
        <references count="5">
          <reference field="0" count="1" selected="0">
            <x v="3"/>
          </reference>
          <reference field="1" count="1" selected="0">
            <x v="175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1541">
      <pivotArea collapsedLevelsAreSubtotals="1" fieldPosition="0">
        <references count="5">
          <reference field="0" count="1" selected="0">
            <x v="3"/>
          </reference>
          <reference field="1" count="1" selected="0">
            <x v="176"/>
          </reference>
          <reference field="2" count="1" selected="0">
            <x v="47"/>
          </reference>
          <reference field="3" count="1" selected="0">
            <x v="0"/>
          </reference>
          <reference field="4" count="1">
            <x v="65"/>
          </reference>
        </references>
      </pivotArea>
    </format>
    <format dxfId="1540">
      <pivotArea collapsedLevelsAreSubtotals="1" fieldPosition="0">
        <references count="5">
          <reference field="0" count="1" selected="0">
            <x v="3"/>
          </reference>
          <reference field="1" count="1" selected="0">
            <x v="18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6"/>
          </reference>
        </references>
      </pivotArea>
    </format>
    <format dxfId="1539">
      <pivotArea collapsedLevelsAreSubtotals="1" fieldPosition="0">
        <references count="5">
          <reference field="0" count="1" selected="0">
            <x v="3"/>
          </reference>
          <reference field="1" count="1" selected="0">
            <x v="197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1538">
      <pivotArea collapsedLevelsAreSubtotals="1" fieldPosition="0">
        <references count="5">
          <reference field="0" count="1" selected="0">
            <x v="3"/>
          </reference>
          <reference field="1" count="1" selected="0">
            <x v="257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137"/>
          </reference>
        </references>
      </pivotArea>
    </format>
    <format dxfId="1537">
      <pivotArea collapsedLevelsAreSubtotals="1" fieldPosition="0">
        <references count="2">
          <reference field="0" count="1" selected="0">
            <x v="3"/>
          </reference>
          <reference field="2" count="1" defaultSubtotal="1">
            <x v="47"/>
          </reference>
        </references>
      </pivotArea>
    </format>
    <format dxfId="1536">
      <pivotArea dataOnly="0" labelOnly="1" fieldPosition="0">
        <references count="2">
          <reference field="0" count="1" selected="0">
            <x v="3"/>
          </reference>
          <reference field="2" count="1">
            <x v="47"/>
          </reference>
        </references>
      </pivotArea>
    </format>
    <format dxfId="1535">
      <pivotArea dataOnly="0" labelOnly="1" fieldPosition="0">
        <references count="2">
          <reference field="0" count="1" selected="0">
            <x v="3"/>
          </reference>
          <reference field="2" count="1" defaultSubtotal="1">
            <x v="47"/>
          </reference>
        </references>
      </pivotArea>
    </format>
    <format dxfId="1534">
      <pivotArea dataOnly="0" labelOnly="1" fieldPosition="0">
        <references count="4">
          <reference field="0" count="1" selected="0">
            <x v="3"/>
          </reference>
          <reference field="1" count="1" selected="0">
            <x v="39"/>
          </reference>
          <reference field="2" count="1" selected="0">
            <x v="47"/>
          </reference>
          <reference field="3" count="1">
            <x v="3"/>
          </reference>
        </references>
      </pivotArea>
    </format>
    <format dxfId="1533">
      <pivotArea dataOnly="0" labelOnly="1" fieldPosition="0">
        <references count="4">
          <reference field="0" count="1" selected="0">
            <x v="3"/>
          </reference>
          <reference field="1" count="1" selected="0">
            <x v="176"/>
          </reference>
          <reference field="2" count="1" selected="0">
            <x v="47"/>
          </reference>
          <reference field="3" count="1">
            <x v="0"/>
          </reference>
        </references>
      </pivotArea>
    </format>
    <format dxfId="1532">
      <pivotArea dataOnly="0" labelOnly="1" fieldPosition="0">
        <references count="4">
          <reference field="0" count="1" selected="0">
            <x v="3"/>
          </reference>
          <reference field="1" count="1" selected="0">
            <x v="180"/>
          </reference>
          <reference field="2" count="1" selected="0">
            <x v="47"/>
          </reference>
          <reference field="3" count="1">
            <x v="3"/>
          </reference>
        </references>
      </pivotArea>
    </format>
    <format dxfId="1531">
      <pivotArea dataOnly="0" labelOnly="1" fieldPosition="0">
        <references count="5">
          <reference field="0" count="1" selected="0">
            <x v="3"/>
          </reference>
          <reference field="1" count="1" selected="0">
            <x v="39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1530">
      <pivotArea dataOnly="0" labelOnly="1" fieldPosition="0">
        <references count="5">
          <reference field="0" count="1" selected="0">
            <x v="3"/>
          </reference>
          <reference field="1" count="1" selected="0">
            <x v="4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1529">
      <pivotArea dataOnly="0" labelOnly="1" fieldPosition="0">
        <references count="5">
          <reference field="0" count="1" selected="0">
            <x v="3"/>
          </reference>
          <reference field="1" count="1" selected="0">
            <x v="41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1528">
      <pivotArea dataOnly="0" labelOnly="1" fieldPosition="0">
        <references count="5">
          <reference field="0" count="1" selected="0">
            <x v="3"/>
          </reference>
          <reference field="1" count="1" selected="0">
            <x v="42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1527">
      <pivotArea dataOnly="0" labelOnly="1" fieldPosition="0">
        <references count="5">
          <reference field="0" count="1" selected="0">
            <x v="3"/>
          </reference>
          <reference field="1" count="1" selected="0">
            <x v="43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0"/>
          </reference>
        </references>
      </pivotArea>
    </format>
    <format dxfId="1526">
      <pivotArea dataOnly="0" labelOnly="1" fieldPosition="0">
        <references count="5">
          <reference field="0" count="1" selected="0">
            <x v="3"/>
          </reference>
          <reference field="1" count="1" selected="0">
            <x v="5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1525">
      <pivotArea dataOnly="0" labelOnly="1" fieldPosition="0">
        <references count="5">
          <reference field="0" count="1" selected="0">
            <x v="3"/>
          </reference>
          <reference field="1" count="1" selected="0">
            <x v="10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524">
      <pivotArea dataOnly="0" labelOnly="1" fieldPosition="0">
        <references count="5">
          <reference field="0" count="1" selected="0">
            <x v="3"/>
          </reference>
          <reference field="1" count="1" selected="0">
            <x v="175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1523">
      <pivotArea dataOnly="0" labelOnly="1" fieldPosition="0">
        <references count="5">
          <reference field="0" count="1" selected="0">
            <x v="3"/>
          </reference>
          <reference field="1" count="1" selected="0">
            <x v="176"/>
          </reference>
          <reference field="2" count="1" selected="0">
            <x v="47"/>
          </reference>
          <reference field="3" count="1" selected="0">
            <x v="0"/>
          </reference>
          <reference field="4" count="1">
            <x v="65"/>
          </reference>
        </references>
      </pivotArea>
    </format>
    <format dxfId="1522">
      <pivotArea dataOnly="0" labelOnly="1" fieldPosition="0">
        <references count="5">
          <reference field="0" count="1" selected="0">
            <x v="3"/>
          </reference>
          <reference field="1" count="1" selected="0">
            <x v="180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36"/>
          </reference>
        </references>
      </pivotArea>
    </format>
    <format dxfId="1521">
      <pivotArea dataOnly="0" labelOnly="1" fieldPosition="0">
        <references count="5">
          <reference field="0" count="1" selected="0">
            <x v="3"/>
          </reference>
          <reference field="1" count="1" selected="0">
            <x v="197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1520">
      <pivotArea dataOnly="0" labelOnly="1" fieldPosition="0">
        <references count="5">
          <reference field="0" count="1" selected="0">
            <x v="3"/>
          </reference>
          <reference field="1" count="1" selected="0">
            <x v="257"/>
          </reference>
          <reference field="2" count="1" selected="0">
            <x v="47"/>
          </reference>
          <reference field="3" count="1" selected="0">
            <x v="3"/>
          </reference>
          <reference field="4" count="1">
            <x v="137"/>
          </reference>
        </references>
      </pivotArea>
    </format>
    <format dxfId="1519">
      <pivotArea dataOnly="0" labelOnly="1" offset="B256:IV256" fieldPosition="0">
        <references count="2">
          <reference field="0" count="1" selected="0">
            <x v="2"/>
          </reference>
          <reference field="2" count="1" defaultSubtotal="1">
            <x v="20"/>
          </reference>
        </references>
      </pivotArea>
    </format>
    <format dxfId="1518">
      <pivotArea dataOnly="0" labelOnly="1" fieldPosition="0">
        <references count="4">
          <reference field="0" count="1" selected="0">
            <x v="4"/>
          </reference>
          <reference field="1" count="1" selected="0">
            <x v="142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1517">
      <pivotArea dataOnly="0" labelOnly="1" fieldPosition="0">
        <references count="5">
          <reference field="0" count="1" selected="0">
            <x v="4"/>
          </reference>
          <reference field="1" count="1" selected="0">
            <x v="142"/>
          </reference>
          <reference field="2" count="1" selected="0">
            <x v="2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1516">
      <pivotArea dataOnly="0" labelOnly="1" offset="B256:IV256" fieldPosition="0">
        <references count="2">
          <reference field="0" count="1" selected="0">
            <x v="3"/>
          </reference>
          <reference field="2" count="1" defaultSubtotal="1">
            <x v="47"/>
          </reference>
        </references>
      </pivotArea>
    </format>
    <format dxfId="1515">
      <pivotArea collapsedLevelsAreSubtotals="1" fieldPosition="0">
        <references count="5">
          <reference field="0" count="1" selected="0">
            <x v="5"/>
          </reference>
          <reference field="1" count="1" selected="0">
            <x v="157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75"/>
          </reference>
        </references>
      </pivotArea>
    </format>
    <format dxfId="1514">
      <pivotArea collapsedLevelsAreSubtotals="1" fieldPosition="0">
        <references count="5">
          <reference field="0" count="1" selected="0">
            <x v="5"/>
          </reference>
          <reference field="1" count="1" selected="0">
            <x v="262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13"/>
          </reference>
        </references>
      </pivotArea>
    </format>
    <format dxfId="1513">
      <pivotArea dataOnly="0" labelOnly="1" fieldPosition="0">
        <references count="4">
          <reference field="0" count="1" selected="0">
            <x v="5"/>
          </reference>
          <reference field="1" count="1" selected="0">
            <x v="157"/>
          </reference>
          <reference field="2" count="1" selected="0">
            <x v="43"/>
          </reference>
          <reference field="3" count="1">
            <x v="3"/>
          </reference>
        </references>
      </pivotArea>
    </format>
    <format dxfId="1512">
      <pivotArea dataOnly="0" labelOnly="1" fieldPosition="0">
        <references count="5">
          <reference field="0" count="1" selected="0">
            <x v="5"/>
          </reference>
          <reference field="1" count="1" selected="0">
            <x v="157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75"/>
          </reference>
        </references>
      </pivotArea>
    </format>
    <format dxfId="1511">
      <pivotArea dataOnly="0" labelOnly="1" fieldPosition="0">
        <references count="5">
          <reference field="0" count="1" selected="0">
            <x v="5"/>
          </reference>
          <reference field="1" count="1" selected="0">
            <x v="262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13"/>
          </reference>
        </references>
      </pivotArea>
    </format>
    <format dxfId="1510">
      <pivotArea collapsedLevelsAreSubtotals="1" fieldPosition="0">
        <references count="5">
          <reference field="0" count="1" selected="0">
            <x v="5"/>
          </reference>
          <reference field="1" count="1" selected="0">
            <x v="157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75"/>
          </reference>
        </references>
      </pivotArea>
    </format>
    <format dxfId="1509">
      <pivotArea collapsedLevelsAreSubtotals="1" fieldPosition="0">
        <references count="5">
          <reference field="0" count="1" selected="0">
            <x v="5"/>
          </reference>
          <reference field="1" count="1" selected="0">
            <x v="262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13"/>
          </reference>
        </references>
      </pivotArea>
    </format>
    <format dxfId="1508">
      <pivotArea collapsedLevelsAreSubtotals="1" fieldPosition="0">
        <references count="2">
          <reference field="0" count="1" selected="0">
            <x v="5"/>
          </reference>
          <reference field="2" count="1" defaultSubtotal="1">
            <x v="43"/>
          </reference>
        </references>
      </pivotArea>
    </format>
    <format dxfId="1507">
      <pivotArea dataOnly="0" labelOnly="1" fieldPosition="0">
        <references count="1">
          <reference field="0" count="1">
            <x v="5"/>
          </reference>
        </references>
      </pivotArea>
    </format>
    <format dxfId="1506">
      <pivotArea dataOnly="0" labelOnly="1" fieldPosition="0">
        <references count="2">
          <reference field="0" count="1" selected="0">
            <x v="5"/>
          </reference>
          <reference field="2" count="1">
            <x v="43"/>
          </reference>
        </references>
      </pivotArea>
    </format>
    <format dxfId="1505">
      <pivotArea dataOnly="0" labelOnly="1" fieldPosition="0">
        <references count="2">
          <reference field="0" count="1" selected="0">
            <x v="5"/>
          </reference>
          <reference field="2" count="1" defaultSubtotal="1">
            <x v="43"/>
          </reference>
        </references>
      </pivotArea>
    </format>
    <format dxfId="1504">
      <pivotArea dataOnly="0" labelOnly="1" fieldPosition="0">
        <references count="4">
          <reference field="0" count="1" selected="0">
            <x v="6"/>
          </reference>
          <reference field="1" count="1" selected="0">
            <x v="10"/>
          </reference>
          <reference field="2" count="1" selected="0">
            <x v="17"/>
          </reference>
          <reference field="3" count="1">
            <x v="4"/>
          </reference>
        </references>
      </pivotArea>
    </format>
    <format dxfId="1503">
      <pivotArea dataOnly="0" labelOnly="1" fieldPosition="0">
        <references count="4">
          <reference field="0" count="1" selected="0">
            <x v="6"/>
          </reference>
          <reference field="1" count="1" selected="0">
            <x v="73"/>
          </reference>
          <reference field="2" count="1" selected="0">
            <x v="17"/>
          </reference>
          <reference field="3" count="1">
            <x v="0"/>
          </reference>
        </references>
      </pivotArea>
    </format>
    <format dxfId="1502">
      <pivotArea dataOnly="0" labelOnly="1" fieldPosition="0">
        <references count="4">
          <reference field="0" count="1" selected="0">
            <x v="6"/>
          </reference>
          <reference field="1" count="1" selected="0">
            <x v="156"/>
          </reference>
          <reference field="2" count="1" selected="0">
            <x v="17"/>
          </reference>
          <reference field="3" count="1">
            <x v="3"/>
          </reference>
        </references>
      </pivotArea>
    </format>
    <format dxfId="1501">
      <pivotArea dataOnly="0" labelOnly="1" fieldPosition="0">
        <references count="4">
          <reference field="0" count="1" selected="0">
            <x v="6"/>
          </reference>
          <reference field="1" count="1" selected="0">
            <x v="400"/>
          </reference>
          <reference field="2" count="1" selected="0">
            <x v="17"/>
          </reference>
          <reference field="3" count="1">
            <x v="6"/>
          </reference>
        </references>
      </pivotArea>
    </format>
    <format dxfId="1500">
      <pivotArea dataOnly="0" labelOnly="1" fieldPosition="0">
        <references count="5">
          <reference field="0" count="1" selected="0">
            <x v="6"/>
          </reference>
          <reference field="1" count="1" selected="0">
            <x v="10"/>
          </reference>
          <reference field="2" count="1" selected="0">
            <x v="17"/>
          </reference>
          <reference field="3" count="1" selected="0">
            <x v="4"/>
          </reference>
          <reference field="4" count="1">
            <x v="194"/>
          </reference>
        </references>
      </pivotArea>
    </format>
    <format dxfId="1499">
      <pivotArea dataOnly="0" labelOnly="1" fieldPosition="0">
        <references count="5">
          <reference field="0" count="1" selected="0">
            <x v="6"/>
          </reference>
          <reference field="1" count="1" selected="0">
            <x v="73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79"/>
          </reference>
        </references>
      </pivotArea>
    </format>
    <format dxfId="1498">
      <pivotArea dataOnly="0" labelOnly="1" fieldPosition="0">
        <references count="5">
          <reference field="0" count="1" selected="0">
            <x v="6"/>
          </reference>
          <reference field="1" count="1" selected="0">
            <x v="140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61"/>
          </reference>
        </references>
      </pivotArea>
    </format>
    <format dxfId="1497">
      <pivotArea dataOnly="0" labelOnly="1" fieldPosition="0">
        <references count="5">
          <reference field="0" count="1" selected="0">
            <x v="6"/>
          </reference>
          <reference field="1" count="1" selected="0">
            <x v="15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496">
      <pivotArea dataOnly="0" labelOnly="1" fieldPosition="0">
        <references count="5">
          <reference field="0" count="1" selected="0">
            <x v="6"/>
          </reference>
          <reference field="1" count="1" selected="0">
            <x v="20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495">
      <pivotArea dataOnly="0" labelOnly="1" fieldPosition="0">
        <references count="5">
          <reference field="0" count="1" selected="0">
            <x v="6"/>
          </reference>
          <reference field="1" count="1" selected="0">
            <x v="201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1494">
      <pivotArea dataOnly="0" labelOnly="1" fieldPosition="0">
        <references count="5">
          <reference field="0" count="1" selected="0">
            <x v="6"/>
          </reference>
          <reference field="1" count="1" selected="0">
            <x v="228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1493">
      <pivotArea dataOnly="0" labelOnly="1" fieldPosition="0">
        <references count="5">
          <reference field="0" count="1" selected="0">
            <x v="6"/>
          </reference>
          <reference field="1" count="1" selected="0">
            <x v="23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1492">
      <pivotArea dataOnly="0" labelOnly="1" fieldPosition="0">
        <references count="5">
          <reference field="0" count="1" selected="0">
            <x v="6"/>
          </reference>
          <reference field="1" count="1" selected="0">
            <x v="32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64"/>
          </reference>
        </references>
      </pivotArea>
    </format>
    <format dxfId="1491">
      <pivotArea dataOnly="0" labelOnly="1" fieldPosition="0">
        <references count="5">
          <reference field="0" count="1" selected="0">
            <x v="6"/>
          </reference>
          <reference field="1" count="1" selected="0">
            <x v="372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77"/>
          </reference>
        </references>
      </pivotArea>
    </format>
    <format dxfId="1490">
      <pivotArea dataOnly="0" labelOnly="1" fieldPosition="0">
        <references count="5">
          <reference field="0" count="1" selected="0">
            <x v="6"/>
          </reference>
          <reference field="1" count="1" selected="0">
            <x v="373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1489">
      <pivotArea dataOnly="0" labelOnly="1" fieldPosition="0">
        <references count="5">
          <reference field="0" count="1" selected="0">
            <x v="6"/>
          </reference>
          <reference field="1" count="1" selected="0">
            <x v="400"/>
          </reference>
          <reference field="2" count="1" selected="0">
            <x v="17"/>
          </reference>
          <reference field="3" count="1" selected="0">
            <x v="6"/>
          </reference>
          <reference field="4" count="1">
            <x v="48"/>
          </reference>
        </references>
      </pivotArea>
    </format>
    <format dxfId="1488">
      <pivotArea collapsedLevelsAreSubtotals="1" fieldPosition="0">
        <references count="5">
          <reference field="0" count="1" selected="0">
            <x v="6"/>
          </reference>
          <reference field="1" count="1" selected="0">
            <x v="10"/>
          </reference>
          <reference field="2" count="1" selected="0">
            <x v="17"/>
          </reference>
          <reference field="3" count="1" selected="0">
            <x v="4"/>
          </reference>
          <reference field="4" count="1">
            <x v="194"/>
          </reference>
        </references>
      </pivotArea>
    </format>
    <format dxfId="1487">
      <pivotArea collapsedLevelsAreSubtotals="1" fieldPosition="0">
        <references count="5">
          <reference field="0" count="1" selected="0">
            <x v="6"/>
          </reference>
          <reference field="1" count="1" selected="0">
            <x v="73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79"/>
          </reference>
        </references>
      </pivotArea>
    </format>
    <format dxfId="1486">
      <pivotArea collapsedLevelsAreSubtotals="1" fieldPosition="0">
        <references count="5">
          <reference field="0" count="1" selected="0">
            <x v="6"/>
          </reference>
          <reference field="1" count="1" selected="0">
            <x v="140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61"/>
          </reference>
        </references>
      </pivotArea>
    </format>
    <format dxfId="1485">
      <pivotArea collapsedLevelsAreSubtotals="1" fieldPosition="0">
        <references count="5">
          <reference field="0" count="1" selected="0">
            <x v="6"/>
          </reference>
          <reference field="1" count="1" selected="0">
            <x v="15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484">
      <pivotArea collapsedLevelsAreSubtotals="1" fieldPosition="0">
        <references count="5">
          <reference field="0" count="1" selected="0">
            <x v="6"/>
          </reference>
          <reference field="1" count="1" selected="0">
            <x v="20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483">
      <pivotArea collapsedLevelsAreSubtotals="1" fieldPosition="0">
        <references count="5">
          <reference field="0" count="1" selected="0">
            <x v="6"/>
          </reference>
          <reference field="1" count="1" selected="0">
            <x v="201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1482">
      <pivotArea collapsedLevelsAreSubtotals="1" fieldPosition="0">
        <references count="5">
          <reference field="0" count="1" selected="0">
            <x v="6"/>
          </reference>
          <reference field="1" count="1" selected="0">
            <x v="228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1481">
      <pivotArea collapsedLevelsAreSubtotals="1" fieldPosition="0">
        <references count="5">
          <reference field="0" count="1" selected="0">
            <x v="6"/>
          </reference>
          <reference field="1" count="1" selected="0">
            <x v="23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1480">
      <pivotArea collapsedLevelsAreSubtotals="1" fieldPosition="0">
        <references count="5">
          <reference field="0" count="1" selected="0">
            <x v="6"/>
          </reference>
          <reference field="1" count="1" selected="0">
            <x v="32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64"/>
          </reference>
        </references>
      </pivotArea>
    </format>
    <format dxfId="1479">
      <pivotArea collapsedLevelsAreSubtotals="1" fieldPosition="0">
        <references count="5">
          <reference field="0" count="1" selected="0">
            <x v="6"/>
          </reference>
          <reference field="1" count="1" selected="0">
            <x v="372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77"/>
          </reference>
        </references>
      </pivotArea>
    </format>
    <format dxfId="1478">
      <pivotArea collapsedLevelsAreSubtotals="1" fieldPosition="0">
        <references count="5">
          <reference field="0" count="1" selected="0">
            <x v="6"/>
          </reference>
          <reference field="1" count="1" selected="0">
            <x v="373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1477">
      <pivotArea collapsedLevelsAreSubtotals="1" fieldPosition="0">
        <references count="5">
          <reference field="0" count="1" selected="0">
            <x v="6"/>
          </reference>
          <reference field="1" count="1" selected="0">
            <x v="400"/>
          </reference>
          <reference field="2" count="1" selected="0">
            <x v="17"/>
          </reference>
          <reference field="3" count="1" selected="0">
            <x v="6"/>
          </reference>
          <reference field="4" count="1">
            <x v="48"/>
          </reference>
        </references>
      </pivotArea>
    </format>
    <format dxfId="1476">
      <pivotArea collapsedLevelsAreSubtotals="1" fieldPosition="0">
        <references count="2">
          <reference field="0" count="1" selected="0">
            <x v="6"/>
          </reference>
          <reference field="2" count="1" defaultSubtotal="1">
            <x v="17"/>
          </reference>
        </references>
      </pivotArea>
    </format>
    <format dxfId="1475">
      <pivotArea dataOnly="0" labelOnly="1" fieldPosition="0">
        <references count="1">
          <reference field="0" count="1">
            <x v="6"/>
          </reference>
        </references>
      </pivotArea>
    </format>
    <format dxfId="1474">
      <pivotArea dataOnly="0" labelOnly="1" fieldPosition="0">
        <references count="2">
          <reference field="0" count="1" selected="0">
            <x v="6"/>
          </reference>
          <reference field="2" count="1">
            <x v="17"/>
          </reference>
        </references>
      </pivotArea>
    </format>
    <format dxfId="1473">
      <pivotArea dataOnly="0" labelOnly="1" fieldPosition="0">
        <references count="2">
          <reference field="0" count="1" selected="0">
            <x v="6"/>
          </reference>
          <reference field="2" count="1" defaultSubtotal="1">
            <x v="17"/>
          </reference>
        </references>
      </pivotArea>
    </format>
    <format dxfId="1472">
      <pivotArea dataOnly="0" labelOnly="1" fieldPosition="0">
        <references count="4">
          <reference field="0" count="1" selected="0">
            <x v="7"/>
          </reference>
          <reference field="1" count="1" selected="0">
            <x v="69"/>
          </reference>
          <reference field="2" count="1" selected="0">
            <x v="26"/>
          </reference>
          <reference field="3" count="1">
            <x v="3"/>
          </reference>
        </references>
      </pivotArea>
    </format>
    <format dxfId="1471">
      <pivotArea dataOnly="0" labelOnly="1" fieldPosition="0">
        <references count="5">
          <reference field="0" count="1" selected="0">
            <x v="7"/>
          </reference>
          <reference field="1" count="1" selected="0">
            <x v="69"/>
          </reference>
          <reference field="2" count="1" selected="0">
            <x v="26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1470">
      <pivotArea collapsedLevelsAreSubtotals="1" fieldPosition="0">
        <references count="5">
          <reference field="0" count="1" selected="0">
            <x v="7"/>
          </reference>
          <reference field="1" count="1" selected="0">
            <x v="69"/>
          </reference>
          <reference field="2" count="1" selected="0">
            <x v="26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1469">
      <pivotArea collapsedLevelsAreSubtotals="1" fieldPosition="0">
        <references count="2">
          <reference field="0" count="1" selected="0">
            <x v="7"/>
          </reference>
          <reference field="2" count="1" defaultSubtotal="1">
            <x v="26"/>
          </reference>
        </references>
      </pivotArea>
    </format>
    <format dxfId="1468">
      <pivotArea dataOnly="0" labelOnly="1" fieldPosition="0">
        <references count="1">
          <reference field="0" count="1">
            <x v="7"/>
          </reference>
        </references>
      </pivotArea>
    </format>
    <format dxfId="1467">
      <pivotArea dataOnly="0" labelOnly="1" fieldPosition="0">
        <references count="2">
          <reference field="0" count="1" selected="0">
            <x v="7"/>
          </reference>
          <reference field="2" count="1">
            <x v="26"/>
          </reference>
        </references>
      </pivotArea>
    </format>
    <format dxfId="1466">
      <pivotArea dataOnly="0" labelOnly="1" fieldPosition="0">
        <references count="2">
          <reference field="0" count="1" selected="0">
            <x v="7"/>
          </reference>
          <reference field="2" count="1" defaultSubtotal="1">
            <x v="26"/>
          </reference>
        </references>
      </pivotArea>
    </format>
    <format dxfId="1465">
      <pivotArea dataOnly="0" labelOnly="1" fieldPosition="0">
        <references count="4">
          <reference field="0" count="1" selected="0">
            <x v="8"/>
          </reference>
          <reference field="1" count="1" selected="0">
            <x v="77"/>
          </reference>
          <reference field="2" count="1" selected="0">
            <x v="13"/>
          </reference>
          <reference field="3" count="1">
            <x v="3"/>
          </reference>
        </references>
      </pivotArea>
    </format>
    <format dxfId="1464">
      <pivotArea dataOnly="0" labelOnly="1" fieldPosition="0">
        <references count="4">
          <reference field="0" count="1" selected="0">
            <x v="8"/>
          </reference>
          <reference field="1" count="1" selected="0">
            <x v="129"/>
          </reference>
          <reference field="2" count="1" selected="0">
            <x v="13"/>
          </reference>
          <reference field="3" count="1">
            <x v="8"/>
          </reference>
        </references>
      </pivotArea>
    </format>
    <format dxfId="1463">
      <pivotArea dataOnly="0" labelOnly="1" fieldPosition="0">
        <references count="5">
          <reference field="0" count="1" selected="0">
            <x v="8"/>
          </reference>
          <reference field="1" count="1" selected="0">
            <x v="77"/>
          </reference>
          <reference field="2" count="1" selected="0">
            <x v="13"/>
          </reference>
          <reference field="3" count="1" selected="0">
            <x v="3"/>
          </reference>
          <reference field="4" count="1">
            <x v="4"/>
          </reference>
        </references>
      </pivotArea>
    </format>
    <format dxfId="1462">
      <pivotArea dataOnly="0" labelOnly="1" fieldPosition="0">
        <references count="5">
          <reference field="0" count="1" selected="0">
            <x v="8"/>
          </reference>
          <reference field="1" count="1" selected="0">
            <x v="82"/>
          </reference>
          <reference field="2" count="1" selected="0">
            <x v="13"/>
          </reference>
          <reference field="3" count="1" selected="0">
            <x v="3"/>
          </reference>
          <reference field="4" count="1">
            <x v="147"/>
          </reference>
        </references>
      </pivotArea>
    </format>
    <format dxfId="1461">
      <pivotArea dataOnly="0" labelOnly="1" fieldPosition="0">
        <references count="5">
          <reference field="0" count="1" selected="0">
            <x v="8"/>
          </reference>
          <reference field="1" count="1" selected="0">
            <x v="129"/>
          </reference>
          <reference field="2" count="1" selected="0">
            <x v="13"/>
          </reference>
          <reference field="3" count="1" selected="0">
            <x v="8"/>
          </reference>
          <reference field="4" count="1">
            <x v="67"/>
          </reference>
        </references>
      </pivotArea>
    </format>
    <format dxfId="1460">
      <pivotArea collapsedLevelsAreSubtotals="1" fieldPosition="0">
        <references count="5">
          <reference field="0" count="1" selected="0">
            <x v="8"/>
          </reference>
          <reference field="1" count="1" selected="0">
            <x v="77"/>
          </reference>
          <reference field="2" count="1" selected="0">
            <x v="13"/>
          </reference>
          <reference field="3" count="1" selected="0">
            <x v="3"/>
          </reference>
          <reference field="4" count="1">
            <x v="4"/>
          </reference>
        </references>
      </pivotArea>
    </format>
    <format dxfId="1459">
      <pivotArea collapsedLevelsAreSubtotals="1" fieldPosition="0">
        <references count="5">
          <reference field="0" count="1" selected="0">
            <x v="8"/>
          </reference>
          <reference field="1" count="1" selected="0">
            <x v="82"/>
          </reference>
          <reference field="2" count="1" selected="0">
            <x v="13"/>
          </reference>
          <reference field="3" count="1" selected="0">
            <x v="3"/>
          </reference>
          <reference field="4" count="1">
            <x v="147"/>
          </reference>
        </references>
      </pivotArea>
    </format>
    <format dxfId="1458">
      <pivotArea collapsedLevelsAreSubtotals="1" fieldPosition="0">
        <references count="5">
          <reference field="0" count="1" selected="0">
            <x v="8"/>
          </reference>
          <reference field="1" count="1" selected="0">
            <x v="129"/>
          </reference>
          <reference field="2" count="1" selected="0">
            <x v="13"/>
          </reference>
          <reference field="3" count="1" selected="0">
            <x v="8"/>
          </reference>
          <reference field="4" count="1">
            <x v="67"/>
          </reference>
        </references>
      </pivotArea>
    </format>
    <format dxfId="1457">
      <pivotArea collapsedLevelsAreSubtotals="1" fieldPosition="0">
        <references count="2">
          <reference field="0" count="1" selected="0">
            <x v="8"/>
          </reference>
          <reference field="2" count="1" defaultSubtotal="1">
            <x v="13"/>
          </reference>
        </references>
      </pivotArea>
    </format>
    <format dxfId="1456">
      <pivotArea dataOnly="0" labelOnly="1" fieldPosition="0">
        <references count="1">
          <reference field="0" count="1">
            <x v="8"/>
          </reference>
        </references>
      </pivotArea>
    </format>
    <format dxfId="1455">
      <pivotArea dataOnly="0" labelOnly="1" fieldPosition="0">
        <references count="2">
          <reference field="0" count="1" selected="0">
            <x v="8"/>
          </reference>
          <reference field="2" count="1">
            <x v="13"/>
          </reference>
        </references>
      </pivotArea>
    </format>
    <format dxfId="1454">
      <pivotArea dataOnly="0" labelOnly="1" fieldPosition="0">
        <references count="2">
          <reference field="0" count="1" selected="0">
            <x v="8"/>
          </reference>
          <reference field="2" count="1" defaultSubtotal="1">
            <x v="13"/>
          </reference>
        </references>
      </pivotArea>
    </format>
    <format dxfId="1453">
      <pivotArea collapsedLevelsAreSubtotals="1" fieldPosition="0">
        <references count="5">
          <reference field="0" count="1" selected="0">
            <x v="9"/>
          </reference>
          <reference field="1" count="1" selected="0">
            <x v="274"/>
          </reference>
          <reference field="2" count="1" selected="0">
            <x v="41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452">
      <pivotArea collapsedLevelsAreSubtotals="1" fieldPosition="0">
        <references count="2">
          <reference field="0" count="1" selected="0">
            <x v="9"/>
          </reference>
          <reference field="2" count="1" defaultSubtotal="1">
            <x v="41"/>
          </reference>
        </references>
      </pivotArea>
    </format>
    <format dxfId="1451">
      <pivotArea dataOnly="0" labelOnly="1" fieldPosition="0">
        <references count="2">
          <reference field="0" count="1" selected="0">
            <x v="9"/>
          </reference>
          <reference field="2" count="1">
            <x v="41"/>
          </reference>
        </references>
      </pivotArea>
    </format>
    <format dxfId="1450">
      <pivotArea dataOnly="0" labelOnly="1" fieldPosition="0">
        <references count="2">
          <reference field="0" count="1" selected="0">
            <x v="9"/>
          </reference>
          <reference field="2" count="1" defaultSubtotal="1">
            <x v="41"/>
          </reference>
        </references>
      </pivotArea>
    </format>
    <format dxfId="1449">
      <pivotArea dataOnly="0" labelOnly="1" fieldPosition="0">
        <references count="4">
          <reference field="0" count="1" selected="0">
            <x v="9"/>
          </reference>
          <reference field="1" count="1" selected="0">
            <x v="274"/>
          </reference>
          <reference field="2" count="1" selected="0">
            <x v="41"/>
          </reference>
          <reference field="3" count="1">
            <x v="3"/>
          </reference>
        </references>
      </pivotArea>
    </format>
    <format dxfId="1448">
      <pivotArea dataOnly="0" labelOnly="1" fieldPosition="0">
        <references count="5">
          <reference field="0" count="1" selected="0">
            <x v="9"/>
          </reference>
          <reference field="1" count="1" selected="0">
            <x v="274"/>
          </reference>
          <reference field="2" count="1" selected="0">
            <x v="41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447">
      <pivotArea collapsedLevelsAreSubtotals="1" fieldPosition="0">
        <references count="5">
          <reference field="0" count="1" selected="0">
            <x v="10"/>
          </reference>
          <reference field="1" count="1" selected="0">
            <x v="2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446">
      <pivotArea collapsedLevelsAreSubtotals="1" fieldPosition="0">
        <references count="5">
          <reference field="0" count="1" selected="0">
            <x v="10"/>
          </reference>
          <reference field="1" count="1" selected="0">
            <x v="147"/>
          </reference>
          <reference field="2" count="1" selected="0">
            <x v="54"/>
          </reference>
          <reference field="3" count="1" selected="0">
            <x v="4"/>
          </reference>
          <reference field="4" count="1">
            <x v="199"/>
          </reference>
        </references>
      </pivotArea>
    </format>
    <format dxfId="1445">
      <pivotArea collapsedLevelsAreSubtotals="1" fieldPosition="0">
        <references count="5">
          <reference field="0" count="1" selected="0">
            <x v="10"/>
          </reference>
          <reference field="1" count="1" selected="0">
            <x v="215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1444">
      <pivotArea collapsedLevelsAreSubtotals="1" fieldPosition="0">
        <references count="5">
          <reference field="0" count="1" selected="0">
            <x v="10"/>
          </reference>
          <reference field="1" count="1" selected="0">
            <x v="331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1443">
      <pivotArea collapsedLevelsAreSubtotals="1" fieldPosition="0">
        <references count="5">
          <reference field="0" count="1" selected="0">
            <x v="10"/>
          </reference>
          <reference field="1" count="1" selected="0">
            <x v="334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1442">
      <pivotArea collapsedLevelsAreSubtotals="1" fieldPosition="0">
        <references count="2">
          <reference field="0" count="1" selected="0">
            <x v="10"/>
          </reference>
          <reference field="2" count="1" defaultSubtotal="1">
            <x v="54"/>
          </reference>
        </references>
      </pivotArea>
    </format>
    <format dxfId="1441">
      <pivotArea dataOnly="0" labelOnly="1" fieldPosition="0">
        <references count="2">
          <reference field="0" count="1" selected="0">
            <x v="10"/>
          </reference>
          <reference field="2" count="1">
            <x v="54"/>
          </reference>
        </references>
      </pivotArea>
    </format>
    <format dxfId="1440">
      <pivotArea dataOnly="0" labelOnly="1" fieldPosition="0">
        <references count="2">
          <reference field="0" count="1" selected="0">
            <x v="10"/>
          </reference>
          <reference field="2" count="1" defaultSubtotal="1">
            <x v="54"/>
          </reference>
        </references>
      </pivotArea>
    </format>
    <format dxfId="1439">
      <pivotArea dataOnly="0" labelOnly="1" fieldPosition="0">
        <references count="4">
          <reference field="0" count="1" selected="0">
            <x v="10"/>
          </reference>
          <reference field="1" count="1" selected="0">
            <x v="2"/>
          </reference>
          <reference field="2" count="1" selected="0">
            <x v="54"/>
          </reference>
          <reference field="3" count="1">
            <x v="3"/>
          </reference>
        </references>
      </pivotArea>
    </format>
    <format dxfId="1438">
      <pivotArea dataOnly="0" labelOnly="1" fieldPosition="0">
        <references count="4">
          <reference field="0" count="1" selected="0">
            <x v="10"/>
          </reference>
          <reference field="1" count="1" selected="0">
            <x v="147"/>
          </reference>
          <reference field="2" count="1" selected="0">
            <x v="54"/>
          </reference>
          <reference field="3" count="1">
            <x v="4"/>
          </reference>
        </references>
      </pivotArea>
    </format>
    <format dxfId="1437">
      <pivotArea dataOnly="0" labelOnly="1" fieldPosition="0">
        <references count="4">
          <reference field="0" count="1" selected="0">
            <x v="10"/>
          </reference>
          <reference field="1" count="1" selected="0">
            <x v="215"/>
          </reference>
          <reference field="2" count="1" selected="0">
            <x v="54"/>
          </reference>
          <reference field="3" count="1">
            <x v="3"/>
          </reference>
        </references>
      </pivotArea>
    </format>
    <format dxfId="1436">
      <pivotArea dataOnly="0" labelOnly="1" fieldPosition="0">
        <references count="5">
          <reference field="0" count="1" selected="0">
            <x v="10"/>
          </reference>
          <reference field="1" count="1" selected="0">
            <x v="2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435">
      <pivotArea dataOnly="0" labelOnly="1" fieldPosition="0">
        <references count="5">
          <reference field="0" count="1" selected="0">
            <x v="10"/>
          </reference>
          <reference field="1" count="1" selected="0">
            <x v="147"/>
          </reference>
          <reference field="2" count="1" selected="0">
            <x v="54"/>
          </reference>
          <reference field="3" count="1" selected="0">
            <x v="4"/>
          </reference>
          <reference field="4" count="1">
            <x v="199"/>
          </reference>
        </references>
      </pivotArea>
    </format>
    <format dxfId="1434">
      <pivotArea dataOnly="0" labelOnly="1" fieldPosition="0">
        <references count="5">
          <reference field="0" count="1" selected="0">
            <x v="10"/>
          </reference>
          <reference field="1" count="1" selected="0">
            <x v="215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1433">
      <pivotArea dataOnly="0" labelOnly="1" fieldPosition="0">
        <references count="5">
          <reference field="0" count="1" selected="0">
            <x v="10"/>
          </reference>
          <reference field="1" count="1" selected="0">
            <x v="331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1432">
      <pivotArea dataOnly="0" labelOnly="1" fieldPosition="0">
        <references count="5">
          <reference field="0" count="1" selected="0">
            <x v="10"/>
          </reference>
          <reference field="1" count="1" selected="0">
            <x v="334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1431">
      <pivotArea collapsedLevelsAreSubtotals="1" fieldPosition="0">
        <references count="5">
          <reference field="0" count="1" selected="0">
            <x v="12"/>
          </reference>
          <reference field="1" count="1" selected="0">
            <x v="88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24"/>
          </reference>
        </references>
      </pivotArea>
    </format>
    <format dxfId="1430">
      <pivotArea collapsedLevelsAreSubtotals="1" fieldPosition="0">
        <references count="5">
          <reference field="0" count="1" selected="0">
            <x v="12"/>
          </reference>
          <reference field="1" count="1" selected="0">
            <x v="113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10"/>
          </reference>
        </references>
      </pivotArea>
    </format>
    <format dxfId="1429">
      <pivotArea collapsedLevelsAreSubtotals="1" fieldPosition="0">
        <references count="5">
          <reference field="0" count="1" selected="0">
            <x v="12"/>
          </reference>
          <reference field="1" count="1" selected="0">
            <x v="247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35"/>
          </reference>
        </references>
      </pivotArea>
    </format>
    <format dxfId="1428">
      <pivotArea collapsedLevelsAreSubtotals="1" fieldPosition="0">
        <references count="5">
          <reference field="0" count="1" selected="0">
            <x v="12"/>
          </reference>
          <reference field="1" count="1" selected="0">
            <x v="259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1427">
      <pivotArea collapsedLevelsAreSubtotals="1" fieldPosition="0">
        <references count="5">
          <reference field="0" count="1" selected="0">
            <x v="12"/>
          </reference>
          <reference field="1" count="1" selected="0">
            <x v="290"/>
          </reference>
          <reference field="2" count="1" selected="0">
            <x v="16"/>
          </reference>
          <reference field="3" count="1" selected="0">
            <x v="0"/>
          </reference>
          <reference field="4" count="1">
            <x v="49"/>
          </reference>
        </references>
      </pivotArea>
    </format>
    <format dxfId="1426">
      <pivotArea collapsedLevelsAreSubtotals="1" fieldPosition="0">
        <references count="5">
          <reference field="0" count="1" selected="0">
            <x v="12"/>
          </reference>
          <reference field="1" count="1" selected="0">
            <x v="333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425">
      <pivotArea collapsedLevelsAreSubtotals="1" fieldPosition="0">
        <references count="2">
          <reference field="0" count="1" selected="0">
            <x v="12"/>
          </reference>
          <reference field="2" count="1" defaultSubtotal="1">
            <x v="16"/>
          </reference>
        </references>
      </pivotArea>
    </format>
    <format dxfId="1424">
      <pivotArea dataOnly="0" labelOnly="1" fieldPosition="0">
        <references count="2">
          <reference field="0" count="1" selected="0">
            <x v="12"/>
          </reference>
          <reference field="2" count="1">
            <x v="16"/>
          </reference>
        </references>
      </pivotArea>
    </format>
    <format dxfId="1423">
      <pivotArea dataOnly="0" labelOnly="1" fieldPosition="0">
        <references count="2">
          <reference field="0" count="1" selected="0">
            <x v="12"/>
          </reference>
          <reference field="2" count="1" defaultSubtotal="1">
            <x v="16"/>
          </reference>
        </references>
      </pivotArea>
    </format>
    <format dxfId="1422">
      <pivotArea dataOnly="0" labelOnly="1" fieldPosition="0">
        <references count="4">
          <reference field="0" count="1" selected="0">
            <x v="12"/>
          </reference>
          <reference field="1" count="1" selected="0">
            <x v="88"/>
          </reference>
          <reference field="2" count="1" selected="0">
            <x v="16"/>
          </reference>
          <reference field="3" count="1">
            <x v="3"/>
          </reference>
        </references>
      </pivotArea>
    </format>
    <format dxfId="1421">
      <pivotArea dataOnly="0" labelOnly="1" fieldPosition="0">
        <references count="4">
          <reference field="0" count="1" selected="0">
            <x v="12"/>
          </reference>
          <reference field="1" count="1" selected="0">
            <x v="290"/>
          </reference>
          <reference field="2" count="1" selected="0">
            <x v="16"/>
          </reference>
          <reference field="3" count="1">
            <x v="0"/>
          </reference>
        </references>
      </pivotArea>
    </format>
    <format dxfId="1420">
      <pivotArea dataOnly="0" labelOnly="1" fieldPosition="0">
        <references count="4">
          <reference field="0" count="1" selected="0">
            <x v="12"/>
          </reference>
          <reference field="1" count="1" selected="0">
            <x v="333"/>
          </reference>
          <reference field="2" count="1" selected="0">
            <x v="16"/>
          </reference>
          <reference field="3" count="1">
            <x v="3"/>
          </reference>
        </references>
      </pivotArea>
    </format>
    <format dxfId="1419">
      <pivotArea dataOnly="0" labelOnly="1" fieldPosition="0">
        <references count="5">
          <reference field="0" count="1" selected="0">
            <x v="12"/>
          </reference>
          <reference field="1" count="1" selected="0">
            <x v="88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24"/>
          </reference>
        </references>
      </pivotArea>
    </format>
    <format dxfId="1418">
      <pivotArea dataOnly="0" labelOnly="1" fieldPosition="0">
        <references count="5">
          <reference field="0" count="1" selected="0">
            <x v="12"/>
          </reference>
          <reference field="1" count="1" selected="0">
            <x v="113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10"/>
          </reference>
        </references>
      </pivotArea>
    </format>
    <format dxfId="1417">
      <pivotArea dataOnly="0" labelOnly="1" fieldPosition="0">
        <references count="5">
          <reference field="0" count="1" selected="0">
            <x v="12"/>
          </reference>
          <reference field="1" count="1" selected="0">
            <x v="247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35"/>
          </reference>
        </references>
      </pivotArea>
    </format>
    <format dxfId="1416">
      <pivotArea dataOnly="0" labelOnly="1" fieldPosition="0">
        <references count="5">
          <reference field="0" count="1" selected="0">
            <x v="12"/>
          </reference>
          <reference field="1" count="1" selected="0">
            <x v="259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1415">
      <pivotArea dataOnly="0" labelOnly="1" fieldPosition="0">
        <references count="5">
          <reference field="0" count="1" selected="0">
            <x v="12"/>
          </reference>
          <reference field="1" count="1" selected="0">
            <x v="290"/>
          </reference>
          <reference field="2" count="1" selected="0">
            <x v="16"/>
          </reference>
          <reference field="3" count="1" selected="0">
            <x v="0"/>
          </reference>
          <reference field="4" count="1">
            <x v="49"/>
          </reference>
        </references>
      </pivotArea>
    </format>
    <format dxfId="1414">
      <pivotArea dataOnly="0" labelOnly="1" fieldPosition="0">
        <references count="5">
          <reference field="0" count="1" selected="0">
            <x v="12"/>
          </reference>
          <reference field="1" count="1" selected="0">
            <x v="333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413">
      <pivotArea collapsedLevelsAreSubtotals="1" fieldPosition="0">
        <references count="5">
          <reference field="0" count="1" selected="0">
            <x v="13"/>
          </reference>
          <reference field="1" count="1" selected="0">
            <x v="117"/>
          </reference>
          <reference field="2" count="1" selected="0">
            <x v="4"/>
          </reference>
          <reference field="3" count="1" selected="0">
            <x v="3"/>
          </reference>
          <reference field="4" count="1">
            <x v="56"/>
          </reference>
        </references>
      </pivotArea>
    </format>
    <format dxfId="1412">
      <pivotArea collapsedLevelsAreSubtotals="1" fieldPosition="0">
        <references count="5">
          <reference field="0" count="1" selected="0">
            <x v="13"/>
          </reference>
          <reference field="1" count="1" selected="0">
            <x v="238"/>
          </reference>
          <reference field="2" count="1" selected="0">
            <x v="4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411">
      <pivotArea collapsedLevelsAreSubtotals="1" fieldPosition="0">
        <references count="2">
          <reference field="0" count="1" selected="0">
            <x v="13"/>
          </reference>
          <reference field="2" count="1" defaultSubtotal="1">
            <x v="4"/>
          </reference>
        </references>
      </pivotArea>
    </format>
    <format dxfId="1410">
      <pivotArea dataOnly="0" labelOnly="1" fieldPosition="0">
        <references count="2">
          <reference field="0" count="1" selected="0">
            <x v="13"/>
          </reference>
          <reference field="2" count="1">
            <x v="4"/>
          </reference>
        </references>
      </pivotArea>
    </format>
    <format dxfId="1409">
      <pivotArea dataOnly="0" labelOnly="1" fieldPosition="0">
        <references count="2">
          <reference field="0" count="1" selected="0">
            <x v="13"/>
          </reference>
          <reference field="2" count="1" defaultSubtotal="1">
            <x v="4"/>
          </reference>
        </references>
      </pivotArea>
    </format>
    <format dxfId="1408">
      <pivotArea dataOnly="0" labelOnly="1" fieldPosition="0">
        <references count="4">
          <reference field="0" count="1" selected="0">
            <x v="13"/>
          </reference>
          <reference field="1" count="1" selected="0">
            <x v="117"/>
          </reference>
          <reference field="2" count="1" selected="0">
            <x v="4"/>
          </reference>
          <reference field="3" count="1">
            <x v="3"/>
          </reference>
        </references>
      </pivotArea>
    </format>
    <format dxfId="1407">
      <pivotArea dataOnly="0" labelOnly="1" fieldPosition="0">
        <references count="5">
          <reference field="0" count="1" selected="0">
            <x v="13"/>
          </reference>
          <reference field="1" count="1" selected="0">
            <x v="117"/>
          </reference>
          <reference field="2" count="1" selected="0">
            <x v="4"/>
          </reference>
          <reference field="3" count="1" selected="0">
            <x v="3"/>
          </reference>
          <reference field="4" count="1">
            <x v="56"/>
          </reference>
        </references>
      </pivotArea>
    </format>
    <format dxfId="1406">
      <pivotArea dataOnly="0" labelOnly="1" fieldPosition="0">
        <references count="5">
          <reference field="0" count="1" selected="0">
            <x v="13"/>
          </reference>
          <reference field="1" count="1" selected="0">
            <x v="238"/>
          </reference>
          <reference field="2" count="1" selected="0">
            <x v="4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405">
      <pivotArea collapsedLevelsAreSubtotals="1" fieldPosition="0">
        <references count="5">
          <reference field="0" count="1" selected="0">
            <x v="13"/>
          </reference>
          <reference field="1" count="1" selected="0">
            <x v="117"/>
          </reference>
          <reference field="2" count="1" selected="0">
            <x v="4"/>
          </reference>
          <reference field="3" count="1" selected="0">
            <x v="3"/>
          </reference>
          <reference field="4" count="1">
            <x v="56"/>
          </reference>
        </references>
      </pivotArea>
    </format>
    <format dxfId="1404">
      <pivotArea collapsedLevelsAreSubtotals="1" fieldPosition="0">
        <references count="5">
          <reference field="0" count="1" selected="0">
            <x v="13"/>
          </reference>
          <reference field="1" count="1" selected="0">
            <x v="238"/>
          </reference>
          <reference field="2" count="1" selected="0">
            <x v="4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403">
      <pivotArea collapsedLevelsAreSubtotals="1" fieldPosition="0">
        <references count="2">
          <reference field="0" count="1" selected="0">
            <x v="13"/>
          </reference>
          <reference field="2" count="1" defaultSubtotal="1">
            <x v="4"/>
          </reference>
        </references>
      </pivotArea>
    </format>
    <format dxfId="1402">
      <pivotArea dataOnly="0" labelOnly="1" fieldPosition="0">
        <references count="1">
          <reference field="0" count="1">
            <x v="13"/>
          </reference>
        </references>
      </pivotArea>
    </format>
    <format dxfId="1401">
      <pivotArea dataOnly="0" labelOnly="1" fieldPosition="0">
        <references count="2">
          <reference field="0" count="1" selected="0">
            <x v="13"/>
          </reference>
          <reference field="2" count="1">
            <x v="4"/>
          </reference>
        </references>
      </pivotArea>
    </format>
    <format dxfId="1400">
      <pivotArea dataOnly="0" labelOnly="1" fieldPosition="0">
        <references count="2">
          <reference field="0" count="1" selected="0">
            <x v="13"/>
          </reference>
          <reference field="2" count="1" defaultSubtotal="1">
            <x v="4"/>
          </reference>
        </references>
      </pivotArea>
    </format>
    <format dxfId="1399">
      <pivotArea collapsedLevelsAreSubtotals="1" fieldPosition="0">
        <references count="5">
          <reference field="0" count="1" selected="0">
            <x v="12"/>
          </reference>
          <reference field="1" count="1" selected="0">
            <x v="88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24"/>
          </reference>
        </references>
      </pivotArea>
    </format>
    <format dxfId="1398">
      <pivotArea collapsedLevelsAreSubtotals="1" fieldPosition="0">
        <references count="5">
          <reference field="0" count="1" selected="0">
            <x v="12"/>
          </reference>
          <reference field="1" count="1" selected="0">
            <x v="113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10"/>
          </reference>
        </references>
      </pivotArea>
    </format>
    <format dxfId="1397">
      <pivotArea collapsedLevelsAreSubtotals="1" fieldPosition="0">
        <references count="5">
          <reference field="0" count="1" selected="0">
            <x v="12"/>
          </reference>
          <reference field="1" count="1" selected="0">
            <x v="247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35"/>
          </reference>
        </references>
      </pivotArea>
    </format>
    <format dxfId="1396">
      <pivotArea collapsedLevelsAreSubtotals="1" fieldPosition="0">
        <references count="5">
          <reference field="0" count="1" selected="0">
            <x v="12"/>
          </reference>
          <reference field="1" count="1" selected="0">
            <x v="259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1395">
      <pivotArea collapsedLevelsAreSubtotals="1" fieldPosition="0">
        <references count="5">
          <reference field="0" count="1" selected="0">
            <x v="12"/>
          </reference>
          <reference field="1" count="1" selected="0">
            <x v="290"/>
          </reference>
          <reference field="2" count="1" selected="0">
            <x v="16"/>
          </reference>
          <reference field="3" count="1" selected="0">
            <x v="0"/>
          </reference>
          <reference field="4" count="1">
            <x v="49"/>
          </reference>
        </references>
      </pivotArea>
    </format>
    <format dxfId="1394">
      <pivotArea collapsedLevelsAreSubtotals="1" fieldPosition="0">
        <references count="5">
          <reference field="0" count="1" selected="0">
            <x v="12"/>
          </reference>
          <reference field="1" count="1" selected="0">
            <x v="333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393">
      <pivotArea collapsedLevelsAreSubtotals="1" fieldPosition="0">
        <references count="2">
          <reference field="0" count="1" selected="0">
            <x v="12"/>
          </reference>
          <reference field="2" count="1" defaultSubtotal="1">
            <x v="16"/>
          </reference>
        </references>
      </pivotArea>
    </format>
    <format dxfId="1392">
      <pivotArea dataOnly="0" labelOnly="1" fieldPosition="0">
        <references count="1">
          <reference field="0" count="1">
            <x v="12"/>
          </reference>
        </references>
      </pivotArea>
    </format>
    <format dxfId="1391">
      <pivotArea dataOnly="0" labelOnly="1" fieldPosition="0">
        <references count="2">
          <reference field="0" count="1" selected="0">
            <x v="12"/>
          </reference>
          <reference field="2" count="1">
            <x v="16"/>
          </reference>
        </references>
      </pivotArea>
    </format>
    <format dxfId="1390">
      <pivotArea dataOnly="0" labelOnly="1" fieldPosition="0">
        <references count="2">
          <reference field="0" count="1" selected="0">
            <x v="12"/>
          </reference>
          <reference field="2" count="1" defaultSubtotal="1">
            <x v="16"/>
          </reference>
        </references>
      </pivotArea>
    </format>
    <format dxfId="1389">
      <pivotArea dataOnly="0" labelOnly="1" fieldPosition="0">
        <references count="1">
          <reference field="1" count="0"/>
        </references>
      </pivotArea>
    </format>
    <format dxfId="1388">
      <pivotArea dataOnly="0" labelOnly="1" fieldPosition="0">
        <references count="1">
          <reference field="3" count="0"/>
        </references>
      </pivotArea>
    </format>
    <format dxfId="1387">
      <pivotArea dataOnly="0" labelOnly="1" fieldPosition="0">
        <references count="5">
          <reference field="0" count="1" selected="0">
            <x v="1"/>
          </reference>
          <reference field="1" count="1" selected="0">
            <x v="9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386">
      <pivotArea dataOnly="0" labelOnly="1" fieldPosition="0">
        <references count="5">
          <reference field="0" count="1" selected="0">
            <x v="1"/>
          </reference>
          <reference field="1" count="1" selected="0">
            <x v="58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1385">
      <pivotArea dataOnly="0" labelOnly="1" fieldPosition="0">
        <references count="5">
          <reference field="0" count="1" selected="0">
            <x v="1"/>
          </reference>
          <reference field="1" count="1" selected="0">
            <x v="179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1384">
      <pivotArea dataOnly="0" labelOnly="1" fieldPosition="0">
        <references count="5">
          <reference field="0" count="1" selected="0">
            <x v="1"/>
          </reference>
          <reference field="1" count="1" selected="0">
            <x v="364"/>
          </reference>
          <reference field="2" count="1" selected="0">
            <x v="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383">
      <pivotArea dataOnly="0" labelOnly="1" fieldPosition="0">
        <references count="5">
          <reference field="0" count="1" selected="0">
            <x v="2"/>
          </reference>
          <reference field="1" count="1" selected="0">
            <x v="8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8"/>
          </reference>
        </references>
      </pivotArea>
    </format>
    <format dxfId="1382">
      <pivotArea dataOnly="0" labelOnly="1" fieldPosition="0">
        <references count="5">
          <reference field="0" count="1" selected="0">
            <x v="2"/>
          </reference>
          <reference field="1" count="1" selected="0">
            <x v="12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68"/>
          </reference>
        </references>
      </pivotArea>
    </format>
    <format dxfId="1381">
      <pivotArea dataOnly="0" labelOnly="1" fieldPosition="0">
        <references count="5">
          <reference field="0" count="1" selected="0">
            <x v="2"/>
          </reference>
          <reference field="1" count="1" selected="0">
            <x v="65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4"/>
          </reference>
        </references>
      </pivotArea>
    </format>
    <format dxfId="1380">
      <pivotArea dataOnly="0" labelOnly="1" fieldPosition="0">
        <references count="5">
          <reference field="0" count="1" selected="0">
            <x v="2"/>
          </reference>
          <reference field="1" count="1" selected="0">
            <x v="6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4"/>
          </reference>
        </references>
      </pivotArea>
    </format>
    <format dxfId="1379">
      <pivotArea dataOnly="0" labelOnly="1" fieldPosition="0">
        <references count="5">
          <reference field="0" count="1" selected="0">
            <x v="2"/>
          </reference>
          <reference field="1" count="1" selected="0">
            <x v="91"/>
          </reference>
          <reference field="2" count="1" selected="0">
            <x v="2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1378">
      <pivotArea dataOnly="0" labelOnly="1" fieldPosition="0">
        <references count="5">
          <reference field="0" count="1" selected="0">
            <x v="2"/>
          </reference>
          <reference field="1" count="1" selected="0">
            <x v="99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1377">
      <pivotArea dataOnly="0" labelOnly="1" fieldPosition="0">
        <references count="5">
          <reference field="0" count="1" selected="0">
            <x v="2"/>
          </reference>
          <reference field="1" count="1" selected="0">
            <x v="131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376">
      <pivotArea dataOnly="0" labelOnly="1" fieldPosition="0">
        <references count="5">
          <reference field="0" count="1" selected="0">
            <x v="2"/>
          </reference>
          <reference field="1" count="1" selected="0">
            <x v="13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102"/>
          </reference>
        </references>
      </pivotArea>
    </format>
    <format dxfId="1375">
      <pivotArea dataOnly="0" labelOnly="1" fieldPosition="0">
        <references count="5">
          <reference field="0" count="1" selected="0">
            <x v="2"/>
          </reference>
          <reference field="1" count="1" selected="0">
            <x v="146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374">
      <pivotArea dataOnly="0" labelOnly="1" fieldPosition="0">
        <references count="5">
          <reference field="0" count="1" selected="0">
            <x v="2"/>
          </reference>
          <reference field="1" count="1" selected="0">
            <x v="155"/>
          </reference>
          <reference field="2" count="1" selected="0">
            <x v="2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373">
      <pivotArea dataOnly="0" labelOnly="1" fieldPosition="0">
        <references count="5">
          <reference field="0" count="1" selected="0">
            <x v="5"/>
          </reference>
          <reference field="1" count="1" selected="0">
            <x v="157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75"/>
          </reference>
        </references>
      </pivotArea>
    </format>
    <format dxfId="1372">
      <pivotArea dataOnly="0" labelOnly="1" fieldPosition="0">
        <references count="5">
          <reference field="0" count="1" selected="0">
            <x v="5"/>
          </reference>
          <reference field="1" count="1" selected="0">
            <x v="262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13"/>
          </reference>
        </references>
      </pivotArea>
    </format>
    <format dxfId="1371">
      <pivotArea dataOnly="0" labelOnly="1" fieldPosition="0">
        <references count="5">
          <reference field="0" count="1" selected="0">
            <x v="6"/>
          </reference>
          <reference field="1" count="1" selected="0">
            <x v="10"/>
          </reference>
          <reference field="2" count="1" selected="0">
            <x v="17"/>
          </reference>
          <reference field="3" count="1" selected="0">
            <x v="4"/>
          </reference>
          <reference field="4" count="1">
            <x v="194"/>
          </reference>
        </references>
      </pivotArea>
    </format>
    <format dxfId="1370">
      <pivotArea dataOnly="0" labelOnly="1" fieldPosition="0">
        <references count="5">
          <reference field="0" count="1" selected="0">
            <x v="6"/>
          </reference>
          <reference field="1" count="1" selected="0">
            <x v="73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79"/>
          </reference>
        </references>
      </pivotArea>
    </format>
    <format dxfId="1369">
      <pivotArea dataOnly="0" labelOnly="1" fieldPosition="0">
        <references count="5">
          <reference field="0" count="1" selected="0">
            <x v="6"/>
          </reference>
          <reference field="1" count="1" selected="0">
            <x v="140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61"/>
          </reference>
        </references>
      </pivotArea>
    </format>
    <format dxfId="1368">
      <pivotArea dataOnly="0" labelOnly="1" fieldPosition="0">
        <references count="5">
          <reference field="0" count="1" selected="0">
            <x v="6"/>
          </reference>
          <reference field="1" count="1" selected="0">
            <x v="15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367">
      <pivotArea dataOnly="0" labelOnly="1" fieldPosition="0">
        <references count="5">
          <reference field="0" count="1" selected="0">
            <x v="6"/>
          </reference>
          <reference field="1" count="1" selected="0">
            <x v="20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366">
      <pivotArea dataOnly="0" labelOnly="1" fieldPosition="0">
        <references count="5">
          <reference field="0" count="1" selected="0">
            <x v="6"/>
          </reference>
          <reference field="1" count="1" selected="0">
            <x v="201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1365">
      <pivotArea dataOnly="0" labelOnly="1" fieldPosition="0">
        <references count="5">
          <reference field="0" count="1" selected="0">
            <x v="6"/>
          </reference>
          <reference field="1" count="1" selected="0">
            <x v="228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1364">
      <pivotArea dataOnly="0" labelOnly="1" fieldPosition="0">
        <references count="5">
          <reference field="0" count="1" selected="0">
            <x v="6"/>
          </reference>
          <reference field="1" count="1" selected="0">
            <x v="23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1363">
      <pivotArea dataOnly="0" labelOnly="1" fieldPosition="0">
        <references count="5">
          <reference field="0" count="1" selected="0">
            <x v="6"/>
          </reference>
          <reference field="1" count="1" selected="0">
            <x v="32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64"/>
          </reference>
        </references>
      </pivotArea>
    </format>
    <format dxfId="1362">
      <pivotArea dataOnly="0" labelOnly="1" fieldPosition="0">
        <references count="5">
          <reference field="0" count="1" selected="0">
            <x v="6"/>
          </reference>
          <reference field="1" count="1" selected="0">
            <x v="372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77"/>
          </reference>
        </references>
      </pivotArea>
    </format>
    <format dxfId="1361">
      <pivotArea dataOnly="0" labelOnly="1" fieldPosition="0">
        <references count="5">
          <reference field="0" count="1" selected="0">
            <x v="6"/>
          </reference>
          <reference field="1" count="1" selected="0">
            <x v="373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1360">
      <pivotArea dataOnly="0" labelOnly="1" fieldPosition="0">
        <references count="5">
          <reference field="0" count="1" selected="0">
            <x v="6"/>
          </reference>
          <reference field="1" count="1" selected="0">
            <x v="400"/>
          </reference>
          <reference field="2" count="1" selected="0">
            <x v="17"/>
          </reference>
          <reference field="3" count="1" selected="0">
            <x v="6"/>
          </reference>
          <reference field="4" count="1">
            <x v="48"/>
          </reference>
        </references>
      </pivotArea>
    </format>
    <format dxfId="1359">
      <pivotArea dataOnly="0" labelOnly="1" fieldPosition="0">
        <references count="5">
          <reference field="0" count="1" selected="0">
            <x v="7"/>
          </reference>
          <reference field="1" count="1" selected="0">
            <x v="69"/>
          </reference>
          <reference field="2" count="1" selected="0">
            <x v="26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1358">
      <pivotArea dataOnly="0" labelOnly="1" fieldPosition="0">
        <references count="5">
          <reference field="0" count="1" selected="0">
            <x v="8"/>
          </reference>
          <reference field="1" count="1" selected="0">
            <x v="77"/>
          </reference>
          <reference field="2" count="1" selected="0">
            <x v="13"/>
          </reference>
          <reference field="3" count="1" selected="0">
            <x v="3"/>
          </reference>
          <reference field="4" count="1">
            <x v="4"/>
          </reference>
        </references>
      </pivotArea>
    </format>
    <format dxfId="1357">
      <pivotArea dataOnly="0" labelOnly="1" fieldPosition="0">
        <references count="5">
          <reference field="0" count="1" selected="0">
            <x v="8"/>
          </reference>
          <reference field="1" count="1" selected="0">
            <x v="82"/>
          </reference>
          <reference field="2" count="1" selected="0">
            <x v="13"/>
          </reference>
          <reference field="3" count="1" selected="0">
            <x v="3"/>
          </reference>
          <reference field="4" count="1">
            <x v="147"/>
          </reference>
        </references>
      </pivotArea>
    </format>
    <format dxfId="1356">
      <pivotArea dataOnly="0" labelOnly="1" fieldPosition="0">
        <references count="5">
          <reference field="0" count="1" selected="0">
            <x v="8"/>
          </reference>
          <reference field="1" count="1" selected="0">
            <x v="129"/>
          </reference>
          <reference field="2" count="1" selected="0">
            <x v="13"/>
          </reference>
          <reference field="3" count="1" selected="0">
            <x v="8"/>
          </reference>
          <reference field="4" count="1">
            <x v="67"/>
          </reference>
        </references>
      </pivotArea>
    </format>
    <format dxfId="1355">
      <pivotArea dataOnly="0" labelOnly="1" fieldPosition="0">
        <references count="5">
          <reference field="0" count="1" selected="0">
            <x v="9"/>
          </reference>
          <reference field="1" count="1" selected="0">
            <x v="274"/>
          </reference>
          <reference field="2" count="1" selected="0">
            <x v="41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354">
      <pivotArea dataOnly="0" labelOnly="1" fieldPosition="0">
        <references count="5">
          <reference field="0" count="1" selected="0">
            <x v="10"/>
          </reference>
          <reference field="1" count="1" selected="0">
            <x v="2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353">
      <pivotArea dataOnly="0" labelOnly="1" fieldPosition="0">
        <references count="5">
          <reference field="0" count="1" selected="0">
            <x v="10"/>
          </reference>
          <reference field="1" count="1" selected="0">
            <x v="147"/>
          </reference>
          <reference field="2" count="1" selected="0">
            <x v="54"/>
          </reference>
          <reference field="3" count="1" selected="0">
            <x v="4"/>
          </reference>
          <reference field="4" count="1">
            <x v="199"/>
          </reference>
        </references>
      </pivotArea>
    </format>
    <format dxfId="1352">
      <pivotArea dataOnly="0" labelOnly="1" fieldPosition="0">
        <references count="5">
          <reference field="0" count="1" selected="0">
            <x v="10"/>
          </reference>
          <reference field="1" count="1" selected="0">
            <x v="215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1351">
      <pivotArea dataOnly="0" labelOnly="1" fieldPosition="0">
        <references count="5">
          <reference field="0" count="1" selected="0">
            <x v="10"/>
          </reference>
          <reference field="1" count="1" selected="0">
            <x v="331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1350">
      <pivotArea dataOnly="0" labelOnly="1" fieldPosition="0">
        <references count="5">
          <reference field="0" count="1" selected="0">
            <x v="10"/>
          </reference>
          <reference field="1" count="1" selected="0">
            <x v="334"/>
          </reference>
          <reference field="2" count="1" selected="0">
            <x v="54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1349">
      <pivotArea dataOnly="0" labelOnly="1" fieldPosition="0">
        <references count="5">
          <reference field="0" count="1" selected="0">
            <x v="13"/>
          </reference>
          <reference field="1" count="1" selected="0">
            <x v="117"/>
          </reference>
          <reference field="2" count="1" selected="0">
            <x v="4"/>
          </reference>
          <reference field="3" count="1" selected="0">
            <x v="3"/>
          </reference>
          <reference field="4" count="1">
            <x v="56"/>
          </reference>
        </references>
      </pivotArea>
    </format>
    <format dxfId="1348">
      <pivotArea dataOnly="0" labelOnly="1" fieldPosition="0">
        <references count="5">
          <reference field="0" count="1" selected="0">
            <x v="13"/>
          </reference>
          <reference field="1" count="1" selected="0">
            <x v="238"/>
          </reference>
          <reference field="2" count="1" selected="0">
            <x v="4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347">
      <pivotArea dataOnly="0" labelOnly="1" fieldPosition="0">
        <references count="5">
          <reference field="0" count="1" selected="0">
            <x v="12"/>
          </reference>
          <reference field="1" count="1" selected="0">
            <x v="88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24"/>
          </reference>
        </references>
      </pivotArea>
    </format>
    <format dxfId="1346">
      <pivotArea dataOnly="0" labelOnly="1" fieldPosition="0">
        <references count="5">
          <reference field="0" count="1" selected="0">
            <x v="12"/>
          </reference>
          <reference field="1" count="1" selected="0">
            <x v="113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10"/>
          </reference>
        </references>
      </pivotArea>
    </format>
    <format dxfId="1345">
      <pivotArea dataOnly="0" labelOnly="1" fieldPosition="0">
        <references count="5">
          <reference field="0" count="1" selected="0">
            <x v="12"/>
          </reference>
          <reference field="1" count="1" selected="0">
            <x v="247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135"/>
          </reference>
        </references>
      </pivotArea>
    </format>
    <format dxfId="1344">
      <pivotArea dataOnly="0" labelOnly="1" fieldPosition="0">
        <references count="5">
          <reference field="0" count="1" selected="0">
            <x v="12"/>
          </reference>
          <reference field="1" count="1" selected="0">
            <x v="259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1343">
      <pivotArea dataOnly="0" labelOnly="1" fieldPosition="0">
        <references count="5">
          <reference field="0" count="1" selected="0">
            <x v="12"/>
          </reference>
          <reference field="1" count="1" selected="0">
            <x v="290"/>
          </reference>
          <reference field="2" count="1" selected="0">
            <x v="16"/>
          </reference>
          <reference field="3" count="1" selected="0">
            <x v="0"/>
          </reference>
          <reference field="4" count="1">
            <x v="49"/>
          </reference>
        </references>
      </pivotArea>
    </format>
    <format dxfId="1342">
      <pivotArea dataOnly="0" labelOnly="1" fieldPosition="0">
        <references count="5">
          <reference field="0" count="1" selected="0">
            <x v="12"/>
          </reference>
          <reference field="1" count="1" selected="0">
            <x v="333"/>
          </reference>
          <reference field="2" count="1" selected="0">
            <x v="16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341">
      <pivotArea dataOnly="0" labelOnly="1" fieldPosition="0">
        <references count="1">
          <reference field="4" count="0"/>
        </references>
      </pivotArea>
    </format>
    <format dxfId="1340">
      <pivotArea dataOnly="0" outline="0" fieldPosition="0">
        <references count="1">
          <reference field="0" count="1">
            <x v="0"/>
          </reference>
        </references>
      </pivotArea>
    </format>
    <format dxfId="1339">
      <pivotArea collapsedLevelsAreSubtotals="1" fieldPosition="0">
        <references count="5">
          <reference field="0" count="1" selected="0">
            <x v="0"/>
          </reference>
          <reference field="1" count="1" selected="0">
            <x v="111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43"/>
          </reference>
        </references>
      </pivotArea>
    </format>
    <format dxfId="1338">
      <pivotArea collapsedLevelsAreSubtotals="1" fieldPosition="0">
        <references count="5">
          <reference field="0" count="1" selected="0">
            <x v="0"/>
          </reference>
          <reference field="1" count="1" selected="0">
            <x v="199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35"/>
          </reference>
        </references>
      </pivotArea>
    </format>
    <format dxfId="1337">
      <pivotArea collapsedLevelsAreSubtotals="1" fieldPosition="0">
        <references count="2">
          <reference field="0" count="1" selected="0">
            <x v="0"/>
          </reference>
          <reference field="2" count="1" defaultSubtotal="1">
            <x v="9"/>
          </reference>
        </references>
      </pivotArea>
    </format>
    <format dxfId="1336">
      <pivotArea dataOnly="0" labelOnly="1" fieldPosition="0">
        <references count="1">
          <reference field="0" count="1">
            <x v="0"/>
          </reference>
        </references>
      </pivotArea>
    </format>
    <format dxfId="1335">
      <pivotArea dataOnly="0" labelOnly="1" fieldPosition="0">
        <references count="2">
          <reference field="0" count="1" selected="0">
            <x v="0"/>
          </reference>
          <reference field="2" count="1">
            <x v="9"/>
          </reference>
        </references>
      </pivotArea>
    </format>
    <format dxfId="1334">
      <pivotArea dataOnly="0" labelOnly="1" fieldPosition="0">
        <references count="2">
          <reference field="0" count="1" selected="0">
            <x v="0"/>
          </reference>
          <reference field="2" count="1" defaultSubtotal="1">
            <x v="9"/>
          </reference>
        </references>
      </pivotArea>
    </format>
    <format dxfId="1333">
      <pivotArea dataOnly="0" labelOnly="1" fieldPosition="0">
        <references count="3">
          <reference field="0" count="1" selected="0">
            <x v="0"/>
          </reference>
          <reference field="1" count="2">
            <x v="111"/>
            <x v="199"/>
          </reference>
          <reference field="2" count="1" selected="0">
            <x v="9"/>
          </reference>
        </references>
      </pivotArea>
    </format>
    <format dxfId="1332">
      <pivotArea dataOnly="0" labelOnly="1" fieldPosition="0">
        <references count="4">
          <reference field="0" count="1" selected="0">
            <x v="0"/>
          </reference>
          <reference field="1" count="1" selected="0">
            <x v="111"/>
          </reference>
          <reference field="2" count="1" selected="0">
            <x v="9"/>
          </reference>
          <reference field="3" count="1">
            <x v="0"/>
          </reference>
        </references>
      </pivotArea>
    </format>
    <format dxfId="1331">
      <pivotArea dataOnly="0" labelOnly="1" fieldPosition="0">
        <references count="5">
          <reference field="0" count="1" selected="0">
            <x v="0"/>
          </reference>
          <reference field="1" count="1" selected="0">
            <x v="111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43"/>
          </reference>
        </references>
      </pivotArea>
    </format>
    <format dxfId="1330">
      <pivotArea dataOnly="0" labelOnly="1" fieldPosition="0">
        <references count="5">
          <reference field="0" count="1" selected="0">
            <x v="0"/>
          </reference>
          <reference field="1" count="1" selected="0">
            <x v="199"/>
          </reference>
          <reference field="2" count="1" selected="0">
            <x v="9"/>
          </reference>
          <reference field="3" count="1" selected="0">
            <x v="0"/>
          </reference>
          <reference field="4" count="1">
            <x v="35"/>
          </reference>
        </references>
      </pivotArea>
    </format>
    <format dxfId="1329">
      <pivotArea dataOnly="0" labelOnly="1" fieldPosition="0">
        <references count="1">
          <reference field="0" count="0"/>
        </references>
      </pivotArea>
    </format>
    <format dxfId="1328">
      <pivotArea collapsedLevelsAreSubtotals="1" fieldPosition="0">
        <references count="5">
          <reference field="0" count="1" selected="0">
            <x v="4"/>
          </reference>
          <reference field="1" count="1" selected="0">
            <x v="142"/>
          </reference>
          <reference field="2" count="1" selected="0">
            <x v="2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1327">
      <pivotArea collapsedLevelsAreSubtotals="1" fieldPosition="0">
        <references count="2">
          <reference field="0" count="1" selected="0">
            <x v="4"/>
          </reference>
          <reference field="2" count="1" defaultSubtotal="1">
            <x v="2"/>
          </reference>
        </references>
      </pivotArea>
    </format>
    <format dxfId="1326">
      <pivotArea dataOnly="0" labelOnly="1" fieldPosition="0">
        <references count="1">
          <reference field="0" count="1">
            <x v="4"/>
          </reference>
        </references>
      </pivotArea>
    </format>
    <format dxfId="1325">
      <pivotArea dataOnly="0" labelOnly="1" fieldPosition="0">
        <references count="2">
          <reference field="0" count="1" selected="0">
            <x v="4"/>
          </reference>
          <reference field="2" count="1">
            <x v="2"/>
          </reference>
        </references>
      </pivotArea>
    </format>
    <format dxfId="1324">
      <pivotArea dataOnly="0" labelOnly="1" fieldPosition="0">
        <references count="2">
          <reference field="0" count="1" selected="0">
            <x v="4"/>
          </reference>
          <reference field="2" count="1" defaultSubtotal="1">
            <x v="2"/>
          </reference>
        </references>
      </pivotArea>
    </format>
    <format dxfId="1323">
      <pivotArea dataOnly="0" labelOnly="1" fieldPosition="0">
        <references count="3">
          <reference field="0" count="1" selected="0">
            <x v="4"/>
          </reference>
          <reference field="1" count="1">
            <x v="142"/>
          </reference>
          <reference field="2" count="1" selected="0">
            <x v="2"/>
          </reference>
        </references>
      </pivotArea>
    </format>
    <format dxfId="1322">
      <pivotArea dataOnly="0" labelOnly="1" fieldPosition="0">
        <references count="4">
          <reference field="0" count="1" selected="0">
            <x v="4"/>
          </reference>
          <reference field="1" count="1" selected="0">
            <x v="142"/>
          </reference>
          <reference field="2" count="1" selected="0">
            <x v="2"/>
          </reference>
          <reference field="3" count="1">
            <x v="3"/>
          </reference>
        </references>
      </pivotArea>
    </format>
    <format dxfId="1321">
      <pivotArea dataOnly="0" labelOnly="1" fieldPosition="0">
        <references count="5">
          <reference field="0" count="1" selected="0">
            <x v="4"/>
          </reference>
          <reference field="1" count="1" selected="0">
            <x v="142"/>
          </reference>
          <reference field="2" count="1" selected="0">
            <x v="2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1320">
      <pivotArea collapsedLevelsAreSubtotals="1" fieldPosition="0">
        <references count="5">
          <reference field="0" count="1" selected="0">
            <x v="5"/>
          </reference>
          <reference field="1" count="1" selected="0">
            <x v="157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75"/>
          </reference>
        </references>
      </pivotArea>
    </format>
    <format dxfId="1319">
      <pivotArea collapsedLevelsAreSubtotals="1" fieldPosition="0">
        <references count="5">
          <reference field="0" count="1" selected="0">
            <x v="5"/>
          </reference>
          <reference field="1" count="1" selected="0">
            <x v="262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13"/>
          </reference>
        </references>
      </pivotArea>
    </format>
    <format dxfId="1318">
      <pivotArea collapsedLevelsAreSubtotals="1" fieldPosition="0">
        <references count="2">
          <reference field="0" count="1" selected="0">
            <x v="5"/>
          </reference>
          <reference field="2" count="1" defaultSubtotal="1">
            <x v="43"/>
          </reference>
        </references>
      </pivotArea>
    </format>
    <format dxfId="1317">
      <pivotArea dataOnly="0" labelOnly="1" fieldPosition="0">
        <references count="1">
          <reference field="0" count="1">
            <x v="5"/>
          </reference>
        </references>
      </pivotArea>
    </format>
    <format dxfId="1316">
      <pivotArea dataOnly="0" labelOnly="1" fieldPosition="0">
        <references count="2">
          <reference field="0" count="1" selected="0">
            <x v="5"/>
          </reference>
          <reference field="2" count="1">
            <x v="43"/>
          </reference>
        </references>
      </pivotArea>
    </format>
    <format dxfId="1315">
      <pivotArea dataOnly="0" labelOnly="1" fieldPosition="0">
        <references count="2">
          <reference field="0" count="1" selected="0">
            <x v="5"/>
          </reference>
          <reference field="2" count="1" defaultSubtotal="1">
            <x v="43"/>
          </reference>
        </references>
      </pivotArea>
    </format>
    <format dxfId="1314">
      <pivotArea dataOnly="0" labelOnly="1" fieldPosition="0">
        <references count="3">
          <reference field="0" count="1" selected="0">
            <x v="5"/>
          </reference>
          <reference field="1" count="2">
            <x v="157"/>
            <x v="262"/>
          </reference>
          <reference field="2" count="1" selected="0">
            <x v="43"/>
          </reference>
        </references>
      </pivotArea>
    </format>
    <format dxfId="1313">
      <pivotArea dataOnly="0" labelOnly="1" fieldPosition="0">
        <references count="4">
          <reference field="0" count="1" selected="0">
            <x v="5"/>
          </reference>
          <reference field="1" count="1" selected="0">
            <x v="157"/>
          </reference>
          <reference field="2" count="1" selected="0">
            <x v="43"/>
          </reference>
          <reference field="3" count="1">
            <x v="3"/>
          </reference>
        </references>
      </pivotArea>
    </format>
    <format dxfId="1312">
      <pivotArea dataOnly="0" labelOnly="1" fieldPosition="0">
        <references count="5">
          <reference field="0" count="1" selected="0">
            <x v="5"/>
          </reference>
          <reference field="1" count="1" selected="0">
            <x v="157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75"/>
          </reference>
        </references>
      </pivotArea>
    </format>
    <format dxfId="1311">
      <pivotArea dataOnly="0" labelOnly="1" fieldPosition="0">
        <references count="5">
          <reference field="0" count="1" selected="0">
            <x v="5"/>
          </reference>
          <reference field="1" count="1" selected="0">
            <x v="262"/>
          </reference>
          <reference field="2" count="1" selected="0">
            <x v="43"/>
          </reference>
          <reference field="3" count="1" selected="0">
            <x v="3"/>
          </reference>
          <reference field="4" count="1">
            <x v="13"/>
          </reference>
        </references>
      </pivotArea>
    </format>
    <format dxfId="1310">
      <pivotArea dataOnly="0" labelOnly="1" fieldPosition="0">
        <references count="1">
          <reference field="0" count="1">
            <x v="6"/>
          </reference>
        </references>
      </pivotArea>
    </format>
    <format dxfId="1309">
      <pivotArea dataOnly="0" labelOnly="1" fieldPosition="0">
        <references count="2">
          <reference field="0" count="1" selected="0">
            <x v="6"/>
          </reference>
          <reference field="2" count="1">
            <x v="17"/>
          </reference>
        </references>
      </pivotArea>
    </format>
    <format dxfId="1308">
      <pivotArea dataOnly="0" labelOnly="1" fieldPosition="0">
        <references count="2">
          <reference field="0" count="1" selected="0">
            <x v="6"/>
          </reference>
          <reference field="2" count="1" defaultSubtotal="1">
            <x v="17"/>
          </reference>
        </references>
      </pivotArea>
    </format>
    <format dxfId="1307">
      <pivotArea dataOnly="0" labelOnly="1" fieldPosition="0">
        <references count="3">
          <reference field="0" count="1" selected="0">
            <x v="6"/>
          </reference>
          <reference field="1" count="12">
            <x v="10"/>
            <x v="73"/>
            <x v="140"/>
            <x v="156"/>
            <x v="200"/>
            <x v="201"/>
            <x v="228"/>
            <x v="230"/>
            <x v="326"/>
            <x v="372"/>
            <x v="373"/>
            <x v="400"/>
          </reference>
          <reference field="2" count="1" selected="0">
            <x v="17"/>
          </reference>
        </references>
      </pivotArea>
    </format>
    <format dxfId="1306">
      <pivotArea dataOnly="0" labelOnly="1" fieldPosition="0">
        <references count="4">
          <reference field="0" count="1" selected="0">
            <x v="6"/>
          </reference>
          <reference field="1" count="1" selected="0">
            <x v="10"/>
          </reference>
          <reference field="2" count="1" selected="0">
            <x v="17"/>
          </reference>
          <reference field="3" count="1">
            <x v="4"/>
          </reference>
        </references>
      </pivotArea>
    </format>
    <format dxfId="1305">
      <pivotArea dataOnly="0" labelOnly="1" fieldPosition="0">
        <references count="4">
          <reference field="0" count="1" selected="0">
            <x v="6"/>
          </reference>
          <reference field="1" count="1" selected="0">
            <x v="73"/>
          </reference>
          <reference field="2" count="1" selected="0">
            <x v="17"/>
          </reference>
          <reference field="3" count="1">
            <x v="0"/>
          </reference>
        </references>
      </pivotArea>
    </format>
    <format dxfId="1304">
      <pivotArea dataOnly="0" labelOnly="1" fieldPosition="0">
        <references count="4">
          <reference field="0" count="1" selected="0">
            <x v="6"/>
          </reference>
          <reference field="1" count="1" selected="0">
            <x v="156"/>
          </reference>
          <reference field="2" count="1" selected="0">
            <x v="17"/>
          </reference>
          <reference field="3" count="1">
            <x v="3"/>
          </reference>
        </references>
      </pivotArea>
    </format>
    <format dxfId="1303">
      <pivotArea dataOnly="0" labelOnly="1" fieldPosition="0">
        <references count="4">
          <reference field="0" count="1" selected="0">
            <x v="6"/>
          </reference>
          <reference field="1" count="1" selected="0">
            <x v="400"/>
          </reference>
          <reference field="2" count="1" selected="0">
            <x v="17"/>
          </reference>
          <reference field="3" count="1">
            <x v="6"/>
          </reference>
        </references>
      </pivotArea>
    </format>
    <format dxfId="1302">
      <pivotArea dataOnly="0" labelOnly="1" fieldPosition="0">
        <references count="5">
          <reference field="0" count="1" selected="0">
            <x v="6"/>
          </reference>
          <reference field="1" count="1" selected="0">
            <x v="10"/>
          </reference>
          <reference field="2" count="1" selected="0">
            <x v="17"/>
          </reference>
          <reference field="3" count="1" selected="0">
            <x v="4"/>
          </reference>
          <reference field="4" count="1">
            <x v="194"/>
          </reference>
        </references>
      </pivotArea>
    </format>
    <format dxfId="1301">
      <pivotArea dataOnly="0" labelOnly="1" fieldPosition="0">
        <references count="5">
          <reference field="0" count="1" selected="0">
            <x v="6"/>
          </reference>
          <reference field="1" count="1" selected="0">
            <x v="73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79"/>
          </reference>
        </references>
      </pivotArea>
    </format>
    <format dxfId="1300">
      <pivotArea dataOnly="0" labelOnly="1" fieldPosition="0">
        <references count="5">
          <reference field="0" count="1" selected="0">
            <x v="6"/>
          </reference>
          <reference field="1" count="1" selected="0">
            <x v="140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61"/>
          </reference>
        </references>
      </pivotArea>
    </format>
    <format dxfId="1299">
      <pivotArea dataOnly="0" labelOnly="1" fieldPosition="0">
        <references count="5">
          <reference field="0" count="1" selected="0">
            <x v="6"/>
          </reference>
          <reference field="1" count="1" selected="0">
            <x v="15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298">
      <pivotArea dataOnly="0" labelOnly="1" fieldPosition="0">
        <references count="5">
          <reference field="0" count="1" selected="0">
            <x v="6"/>
          </reference>
          <reference field="1" count="1" selected="0">
            <x v="20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297">
      <pivotArea dataOnly="0" labelOnly="1" fieldPosition="0">
        <references count="5">
          <reference field="0" count="1" selected="0">
            <x v="6"/>
          </reference>
          <reference field="1" count="1" selected="0">
            <x v="201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1296">
      <pivotArea dataOnly="0" labelOnly="1" fieldPosition="0">
        <references count="5">
          <reference field="0" count="1" selected="0">
            <x v="6"/>
          </reference>
          <reference field="1" count="1" selected="0">
            <x v="228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1295">
      <pivotArea dataOnly="0" labelOnly="1" fieldPosition="0">
        <references count="5">
          <reference field="0" count="1" selected="0">
            <x v="6"/>
          </reference>
          <reference field="1" count="1" selected="0">
            <x v="23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1294">
      <pivotArea dataOnly="0" labelOnly="1" fieldPosition="0">
        <references count="5">
          <reference field="0" count="1" selected="0">
            <x v="6"/>
          </reference>
          <reference field="1" count="1" selected="0">
            <x v="32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64"/>
          </reference>
        </references>
      </pivotArea>
    </format>
    <format dxfId="1293">
      <pivotArea dataOnly="0" labelOnly="1" fieldPosition="0">
        <references count="5">
          <reference field="0" count="1" selected="0">
            <x v="6"/>
          </reference>
          <reference field="1" count="1" selected="0">
            <x v="372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77"/>
          </reference>
        </references>
      </pivotArea>
    </format>
    <format dxfId="1292">
      <pivotArea dataOnly="0" labelOnly="1" fieldPosition="0">
        <references count="5">
          <reference field="0" count="1" selected="0">
            <x v="6"/>
          </reference>
          <reference field="1" count="1" selected="0">
            <x v="373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1291">
      <pivotArea dataOnly="0" labelOnly="1" fieldPosition="0">
        <references count="5">
          <reference field="0" count="1" selected="0">
            <x v="6"/>
          </reference>
          <reference field="1" count="1" selected="0">
            <x v="400"/>
          </reference>
          <reference field="2" count="1" selected="0">
            <x v="17"/>
          </reference>
          <reference field="3" count="1" selected="0">
            <x v="6"/>
          </reference>
          <reference field="4" count="1">
            <x v="48"/>
          </reference>
        </references>
      </pivotArea>
    </format>
    <format dxfId="1290">
      <pivotArea collapsedLevelsAreSubtotals="1" fieldPosition="0">
        <references count="5">
          <reference field="0" count="1" selected="0">
            <x v="6"/>
          </reference>
          <reference field="1" count="1" selected="0">
            <x v="10"/>
          </reference>
          <reference field="2" count="1" selected="0">
            <x v="17"/>
          </reference>
          <reference field="3" count="1" selected="0">
            <x v="4"/>
          </reference>
          <reference field="4" count="1">
            <x v="194"/>
          </reference>
        </references>
      </pivotArea>
    </format>
    <format dxfId="1289">
      <pivotArea collapsedLevelsAreSubtotals="1" fieldPosition="0">
        <references count="5">
          <reference field="0" count="1" selected="0">
            <x v="6"/>
          </reference>
          <reference field="1" count="1" selected="0">
            <x v="73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79"/>
          </reference>
        </references>
      </pivotArea>
    </format>
    <format dxfId="1288">
      <pivotArea collapsedLevelsAreSubtotals="1" fieldPosition="0">
        <references count="5">
          <reference field="0" count="1" selected="0">
            <x v="6"/>
          </reference>
          <reference field="1" count="1" selected="0">
            <x v="140"/>
          </reference>
          <reference field="2" count="1" selected="0">
            <x v="17"/>
          </reference>
          <reference field="3" count="1" selected="0">
            <x v="0"/>
          </reference>
          <reference field="4" count="1">
            <x v="161"/>
          </reference>
        </references>
      </pivotArea>
    </format>
    <format dxfId="1287">
      <pivotArea collapsedLevelsAreSubtotals="1" fieldPosition="0">
        <references count="5">
          <reference field="0" count="1" selected="0">
            <x v="6"/>
          </reference>
          <reference field="1" count="1" selected="0">
            <x v="15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286">
      <pivotArea collapsedLevelsAreSubtotals="1" fieldPosition="0">
        <references count="5">
          <reference field="0" count="1" selected="0">
            <x v="6"/>
          </reference>
          <reference field="1" count="1" selected="0">
            <x v="20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285">
      <pivotArea collapsedLevelsAreSubtotals="1" fieldPosition="0">
        <references count="5">
          <reference field="0" count="1" selected="0">
            <x v="6"/>
          </reference>
          <reference field="1" count="1" selected="0">
            <x v="201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1284">
      <pivotArea collapsedLevelsAreSubtotals="1" fieldPosition="0">
        <references count="5">
          <reference field="0" count="1" selected="0">
            <x v="6"/>
          </reference>
          <reference field="1" count="1" selected="0">
            <x v="228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1283">
      <pivotArea collapsedLevelsAreSubtotals="1" fieldPosition="0">
        <references count="5">
          <reference field="0" count="1" selected="0">
            <x v="6"/>
          </reference>
          <reference field="1" count="1" selected="0">
            <x v="230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1282">
      <pivotArea collapsedLevelsAreSubtotals="1" fieldPosition="0">
        <references count="5">
          <reference field="0" count="1" selected="0">
            <x v="6"/>
          </reference>
          <reference field="1" count="1" selected="0">
            <x v="326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164"/>
          </reference>
        </references>
      </pivotArea>
    </format>
    <format dxfId="1281">
      <pivotArea collapsedLevelsAreSubtotals="1" fieldPosition="0">
        <references count="5">
          <reference field="0" count="1" selected="0">
            <x v="6"/>
          </reference>
          <reference field="1" count="1" selected="0">
            <x v="372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77"/>
          </reference>
        </references>
      </pivotArea>
    </format>
    <format dxfId="1280">
      <pivotArea collapsedLevelsAreSubtotals="1" fieldPosition="0">
        <references count="5">
          <reference field="0" count="1" selected="0">
            <x v="6"/>
          </reference>
          <reference field="1" count="1" selected="0">
            <x v="373"/>
          </reference>
          <reference field="2" count="1" selected="0">
            <x v="17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1279">
      <pivotArea collapsedLevelsAreSubtotals="1" fieldPosition="0">
        <references count="5">
          <reference field="0" count="1" selected="0">
            <x v="6"/>
          </reference>
          <reference field="1" count="1" selected="0">
            <x v="400"/>
          </reference>
          <reference field="2" count="1" selected="0">
            <x v="17"/>
          </reference>
          <reference field="3" count="1" selected="0">
            <x v="6"/>
          </reference>
          <reference field="4" count="1">
            <x v="48"/>
          </reference>
        </references>
      </pivotArea>
    </format>
    <format dxfId="1278">
      <pivotArea collapsedLevelsAreSubtotals="1" fieldPosition="0">
        <references count="2">
          <reference field="0" count="1" selected="0">
            <x v="6"/>
          </reference>
          <reference field="2" count="1" defaultSubtotal="1">
            <x v="17"/>
          </reference>
        </references>
      </pivotArea>
    </format>
    <format dxfId="1277">
      <pivotArea collapsedLevelsAreSubtotals="1" fieldPosition="0">
        <references count="5">
          <reference field="0" count="1" selected="0">
            <x v="7"/>
          </reference>
          <reference field="1" count="1" selected="0">
            <x v="69"/>
          </reference>
          <reference field="2" count="1" selected="0">
            <x v="26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1276">
      <pivotArea collapsedLevelsAreSubtotals="1" fieldPosition="0">
        <references count="2">
          <reference field="0" count="1" selected="0">
            <x v="7"/>
          </reference>
          <reference field="2" count="1" defaultSubtotal="1">
            <x v="26"/>
          </reference>
        </references>
      </pivotArea>
    </format>
    <format dxfId="1275">
      <pivotArea dataOnly="0" labelOnly="1" fieldPosition="0">
        <references count="1">
          <reference field="0" count="1">
            <x v="7"/>
          </reference>
        </references>
      </pivotArea>
    </format>
    <format dxfId="1274">
      <pivotArea dataOnly="0" labelOnly="1" fieldPosition="0">
        <references count="2">
          <reference field="0" count="1" selected="0">
            <x v="7"/>
          </reference>
          <reference field="2" count="1">
            <x v="26"/>
          </reference>
        </references>
      </pivotArea>
    </format>
    <format dxfId="1273">
      <pivotArea dataOnly="0" labelOnly="1" fieldPosition="0">
        <references count="2">
          <reference field="0" count="1" selected="0">
            <x v="7"/>
          </reference>
          <reference field="2" count="1" defaultSubtotal="1">
            <x v="26"/>
          </reference>
        </references>
      </pivotArea>
    </format>
    <format dxfId="1272">
      <pivotArea dataOnly="0" labelOnly="1" fieldPosition="0">
        <references count="3">
          <reference field="0" count="1" selected="0">
            <x v="7"/>
          </reference>
          <reference field="1" count="1">
            <x v="69"/>
          </reference>
          <reference field="2" count="1" selected="0">
            <x v="26"/>
          </reference>
        </references>
      </pivotArea>
    </format>
    <format dxfId="1271">
      <pivotArea dataOnly="0" labelOnly="1" fieldPosition="0">
        <references count="4">
          <reference field="0" count="1" selected="0">
            <x v="7"/>
          </reference>
          <reference field="1" count="1" selected="0">
            <x v="69"/>
          </reference>
          <reference field="2" count="1" selected="0">
            <x v="26"/>
          </reference>
          <reference field="3" count="1">
            <x v="3"/>
          </reference>
        </references>
      </pivotArea>
    </format>
    <format dxfId="1270">
      <pivotArea dataOnly="0" labelOnly="1" fieldPosition="0">
        <references count="5">
          <reference field="0" count="1" selected="0">
            <x v="7"/>
          </reference>
          <reference field="1" count="1" selected="0">
            <x v="69"/>
          </reference>
          <reference field="2" count="1" selected="0">
            <x v="26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1269">
      <pivotArea collapsedLevelsAreSubtotals="1" fieldPosition="0">
        <references count="5">
          <reference field="0" count="1" selected="0">
            <x v="8"/>
          </reference>
          <reference field="1" count="1" selected="0">
            <x v="77"/>
          </reference>
          <reference field="2" count="1" selected="0">
            <x v="13"/>
          </reference>
          <reference field="3" count="1" selected="0">
            <x v="3"/>
          </reference>
          <reference field="4" count="1">
            <x v="4"/>
          </reference>
        </references>
      </pivotArea>
    </format>
    <format dxfId="1268">
      <pivotArea collapsedLevelsAreSubtotals="1" fieldPosition="0">
        <references count="5">
          <reference field="0" count="1" selected="0">
            <x v="8"/>
          </reference>
          <reference field="1" count="1" selected="0">
            <x v="82"/>
          </reference>
          <reference field="2" count="1" selected="0">
            <x v="13"/>
          </reference>
          <reference field="3" count="1" selected="0">
            <x v="3"/>
          </reference>
          <reference field="4" count="1">
            <x v="147"/>
          </reference>
        </references>
      </pivotArea>
    </format>
    <format dxfId="1267">
      <pivotArea collapsedLevelsAreSubtotals="1" fieldPosition="0">
        <references count="5">
          <reference field="0" count="1" selected="0">
            <x v="8"/>
          </reference>
          <reference field="1" count="1" selected="0">
            <x v="129"/>
          </reference>
          <reference field="2" count="1" selected="0">
            <x v="13"/>
          </reference>
          <reference field="3" count="1" selected="0">
            <x v="8"/>
          </reference>
          <reference field="4" count="1">
            <x v="67"/>
          </reference>
        </references>
      </pivotArea>
    </format>
    <format dxfId="1266">
      <pivotArea collapsedLevelsAreSubtotals="1" fieldPosition="0">
        <references count="2">
          <reference field="0" count="1" selected="0">
            <x v="8"/>
          </reference>
          <reference field="2" count="1" defaultSubtotal="1">
            <x v="13"/>
          </reference>
        </references>
      </pivotArea>
    </format>
    <format dxfId="1265">
      <pivotArea dataOnly="0" labelOnly="1" fieldPosition="0">
        <references count="1">
          <reference field="0" count="1">
            <x v="8"/>
          </reference>
        </references>
      </pivotArea>
    </format>
    <format dxfId="1264">
      <pivotArea dataOnly="0" labelOnly="1" fieldPosition="0">
        <references count="2">
          <reference field="0" count="1" selected="0">
            <x v="8"/>
          </reference>
          <reference field="2" count="1">
            <x v="13"/>
          </reference>
        </references>
      </pivotArea>
    </format>
    <format dxfId="1263">
      <pivotArea dataOnly="0" labelOnly="1" fieldPosition="0">
        <references count="2">
          <reference field="0" count="1" selected="0">
            <x v="8"/>
          </reference>
          <reference field="2" count="1" defaultSubtotal="1">
            <x v="13"/>
          </reference>
        </references>
      </pivotArea>
    </format>
    <format dxfId="1262">
      <pivotArea dataOnly="0" labelOnly="1" fieldPosition="0">
        <references count="3">
          <reference field="0" count="1" selected="0">
            <x v="8"/>
          </reference>
          <reference field="1" count="3">
            <x v="77"/>
            <x v="82"/>
            <x v="129"/>
          </reference>
          <reference field="2" count="1" selected="0">
            <x v="13"/>
          </reference>
        </references>
      </pivotArea>
    </format>
    <format dxfId="1261">
      <pivotArea dataOnly="0" labelOnly="1" fieldPosition="0">
        <references count="4">
          <reference field="0" count="1" selected="0">
            <x v="8"/>
          </reference>
          <reference field="1" count="1" selected="0">
            <x v="77"/>
          </reference>
          <reference field="2" count="1" selected="0">
            <x v="13"/>
          </reference>
          <reference field="3" count="1">
            <x v="3"/>
          </reference>
        </references>
      </pivotArea>
    </format>
    <format dxfId="1260">
      <pivotArea dataOnly="0" labelOnly="1" fieldPosition="0">
        <references count="4">
          <reference field="0" count="1" selected="0">
            <x v="8"/>
          </reference>
          <reference field="1" count="1" selected="0">
            <x v="129"/>
          </reference>
          <reference field="2" count="1" selected="0">
            <x v="13"/>
          </reference>
          <reference field="3" count="1">
            <x v="8"/>
          </reference>
        </references>
      </pivotArea>
    </format>
    <format dxfId="1259">
      <pivotArea dataOnly="0" labelOnly="1" fieldPosition="0">
        <references count="5">
          <reference field="0" count="1" selected="0">
            <x v="8"/>
          </reference>
          <reference field="1" count="1" selected="0">
            <x v="77"/>
          </reference>
          <reference field="2" count="1" selected="0">
            <x v="13"/>
          </reference>
          <reference field="3" count="1" selected="0">
            <x v="3"/>
          </reference>
          <reference field="4" count="1">
            <x v="4"/>
          </reference>
        </references>
      </pivotArea>
    </format>
    <format dxfId="1258">
      <pivotArea dataOnly="0" labelOnly="1" fieldPosition="0">
        <references count="5">
          <reference field="0" count="1" selected="0">
            <x v="8"/>
          </reference>
          <reference field="1" count="1" selected="0">
            <x v="82"/>
          </reference>
          <reference field="2" count="1" selected="0">
            <x v="13"/>
          </reference>
          <reference field="3" count="1" selected="0">
            <x v="3"/>
          </reference>
          <reference field="4" count="1">
            <x v="147"/>
          </reference>
        </references>
      </pivotArea>
    </format>
    <format dxfId="1257">
      <pivotArea dataOnly="0" labelOnly="1" fieldPosition="0">
        <references count="5">
          <reference field="0" count="1" selected="0">
            <x v="8"/>
          </reference>
          <reference field="1" count="1" selected="0">
            <x v="129"/>
          </reference>
          <reference field="2" count="1" selected="0">
            <x v="13"/>
          </reference>
          <reference field="3" count="1" selected="0">
            <x v="8"/>
          </reference>
          <reference field="4" count="1">
            <x v="67"/>
          </reference>
        </references>
      </pivotArea>
    </format>
    <format dxfId="1256">
      <pivotArea collapsedLevelsAreSubtotals="1" fieldPosition="0">
        <references count="5">
          <reference field="0" count="1" selected="0">
            <x v="11"/>
          </reference>
          <reference field="1" count="1" selected="0">
            <x v="119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78"/>
          </reference>
        </references>
      </pivotArea>
    </format>
    <format dxfId="1255">
      <pivotArea collapsedLevelsAreSubtotals="1" fieldPosition="0">
        <references count="5">
          <reference field="0" count="1" selected="0">
            <x v="11"/>
          </reference>
          <reference field="1" count="1" selected="0">
            <x v="132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254">
      <pivotArea collapsedLevelsAreSubtotals="1" fieldPosition="0">
        <references count="5">
          <reference field="0" count="1" selected="0">
            <x v="11"/>
          </reference>
          <reference field="1" count="1" selected="0">
            <x v="154"/>
          </reference>
          <reference field="2" count="1" selected="0">
            <x v="22"/>
          </reference>
          <reference field="3" count="1" selected="0">
            <x v="4"/>
          </reference>
          <reference field="4" count="1">
            <x v="185"/>
          </reference>
        </references>
      </pivotArea>
    </format>
    <format dxfId="1253">
      <pivotArea collapsedLevelsAreSubtotals="1" fieldPosition="0">
        <references count="5">
          <reference field="0" count="1" selected="0">
            <x v="11"/>
          </reference>
          <reference field="1" count="1" selected="0">
            <x v="217"/>
          </reference>
          <reference field="2" count="1" selected="0">
            <x v="22"/>
          </reference>
          <reference field="3" count="1" selected="0">
            <x v="0"/>
          </reference>
          <reference field="4" count="1">
            <x v="31"/>
          </reference>
        </references>
      </pivotArea>
    </format>
    <format dxfId="1252">
      <pivotArea collapsedLevelsAreSubtotals="1" fieldPosition="0">
        <references count="5">
          <reference field="0" count="1" selected="0">
            <x v="11"/>
          </reference>
          <reference field="1" count="1" selected="0">
            <x v="218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73"/>
          </reference>
        </references>
      </pivotArea>
    </format>
    <format dxfId="1251">
      <pivotArea collapsedLevelsAreSubtotals="1" fieldPosition="0">
        <references count="5">
          <reference field="0" count="1" selected="0">
            <x v="11"/>
          </reference>
          <reference field="1" count="1" selected="0">
            <x v="288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81"/>
          </reference>
        </references>
      </pivotArea>
    </format>
    <format dxfId="1250">
      <pivotArea collapsedLevelsAreSubtotals="1" fieldPosition="0">
        <references count="2">
          <reference field="0" count="1" selected="0">
            <x v="11"/>
          </reference>
          <reference field="2" count="1" defaultSubtotal="1">
            <x v="22"/>
          </reference>
        </references>
      </pivotArea>
    </format>
    <format dxfId="1249">
      <pivotArea dataOnly="0" labelOnly="1" fieldPosition="0">
        <references count="1">
          <reference field="0" count="1">
            <x v="11"/>
          </reference>
        </references>
      </pivotArea>
    </format>
    <format dxfId="1248">
      <pivotArea dataOnly="0" labelOnly="1" fieldPosition="0">
        <references count="2">
          <reference field="0" count="1" selected="0">
            <x v="11"/>
          </reference>
          <reference field="2" count="1">
            <x v="22"/>
          </reference>
        </references>
      </pivotArea>
    </format>
    <format dxfId="1247">
      <pivotArea dataOnly="0" labelOnly="1" fieldPosition="0">
        <references count="2">
          <reference field="0" count="1" selected="0">
            <x v="11"/>
          </reference>
          <reference field="2" count="1" defaultSubtotal="1">
            <x v="22"/>
          </reference>
        </references>
      </pivotArea>
    </format>
    <format dxfId="1246">
      <pivotArea dataOnly="0" labelOnly="1" fieldPosition="0">
        <references count="3">
          <reference field="0" count="1" selected="0">
            <x v="11"/>
          </reference>
          <reference field="1" count="6">
            <x v="119"/>
            <x v="132"/>
            <x v="154"/>
            <x v="217"/>
            <x v="218"/>
            <x v="288"/>
          </reference>
          <reference field="2" count="1" selected="0">
            <x v="22"/>
          </reference>
        </references>
      </pivotArea>
    </format>
    <format dxfId="1245">
      <pivotArea dataOnly="0" labelOnly="1" fieldPosition="0">
        <references count="4">
          <reference field="0" count="1" selected="0">
            <x v="11"/>
          </reference>
          <reference field="1" count="1" selected="0">
            <x v="119"/>
          </reference>
          <reference field="2" count="1" selected="0">
            <x v="22"/>
          </reference>
          <reference field="3" count="1">
            <x v="3"/>
          </reference>
        </references>
      </pivotArea>
    </format>
    <format dxfId="1244">
      <pivotArea dataOnly="0" labelOnly="1" fieldPosition="0">
        <references count="4">
          <reference field="0" count="1" selected="0">
            <x v="11"/>
          </reference>
          <reference field="1" count="1" selected="0">
            <x v="154"/>
          </reference>
          <reference field="2" count="1" selected="0">
            <x v="22"/>
          </reference>
          <reference field="3" count="1">
            <x v="4"/>
          </reference>
        </references>
      </pivotArea>
    </format>
    <format dxfId="1243">
      <pivotArea dataOnly="0" labelOnly="1" fieldPosition="0">
        <references count="4">
          <reference field="0" count="1" selected="0">
            <x v="11"/>
          </reference>
          <reference field="1" count="1" selected="0">
            <x v="217"/>
          </reference>
          <reference field="2" count="1" selected="0">
            <x v="22"/>
          </reference>
          <reference field="3" count="1">
            <x v="0"/>
          </reference>
        </references>
      </pivotArea>
    </format>
    <format dxfId="1242">
      <pivotArea dataOnly="0" labelOnly="1" fieldPosition="0">
        <references count="4">
          <reference field="0" count="1" selected="0">
            <x v="11"/>
          </reference>
          <reference field="1" count="1" selected="0">
            <x v="218"/>
          </reference>
          <reference field="2" count="1" selected="0">
            <x v="22"/>
          </reference>
          <reference field="3" count="1">
            <x v="3"/>
          </reference>
        </references>
      </pivotArea>
    </format>
    <format dxfId="1241">
      <pivotArea dataOnly="0" labelOnly="1" fieldPosition="0">
        <references count="5">
          <reference field="0" count="1" selected="0">
            <x v="11"/>
          </reference>
          <reference field="1" count="1" selected="0">
            <x v="119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78"/>
          </reference>
        </references>
      </pivotArea>
    </format>
    <format dxfId="1240">
      <pivotArea dataOnly="0" labelOnly="1" fieldPosition="0">
        <references count="5">
          <reference field="0" count="1" selected="0">
            <x v="11"/>
          </reference>
          <reference field="1" count="1" selected="0">
            <x v="132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239">
      <pivotArea dataOnly="0" labelOnly="1" fieldPosition="0">
        <references count="5">
          <reference field="0" count="1" selected="0">
            <x v="11"/>
          </reference>
          <reference field="1" count="1" selected="0">
            <x v="154"/>
          </reference>
          <reference field="2" count="1" selected="0">
            <x v="22"/>
          </reference>
          <reference field="3" count="1" selected="0">
            <x v="4"/>
          </reference>
          <reference field="4" count="1">
            <x v="185"/>
          </reference>
        </references>
      </pivotArea>
    </format>
    <format dxfId="1238">
      <pivotArea dataOnly="0" labelOnly="1" fieldPosition="0">
        <references count="5">
          <reference field="0" count="1" selected="0">
            <x v="11"/>
          </reference>
          <reference field="1" count="1" selected="0">
            <x v="217"/>
          </reference>
          <reference field="2" count="1" selected="0">
            <x v="22"/>
          </reference>
          <reference field="3" count="1" selected="0">
            <x v="0"/>
          </reference>
          <reference field="4" count="1">
            <x v="31"/>
          </reference>
        </references>
      </pivotArea>
    </format>
    <format dxfId="1237">
      <pivotArea dataOnly="0" labelOnly="1" fieldPosition="0">
        <references count="5">
          <reference field="0" count="1" selected="0">
            <x v="11"/>
          </reference>
          <reference field="1" count="1" selected="0">
            <x v="218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73"/>
          </reference>
        </references>
      </pivotArea>
    </format>
    <format dxfId="1236">
      <pivotArea dataOnly="0" labelOnly="1" fieldPosition="0">
        <references count="5">
          <reference field="0" count="1" selected="0">
            <x v="11"/>
          </reference>
          <reference field="1" count="1" selected="0">
            <x v="288"/>
          </reference>
          <reference field="2" count="1" selected="0">
            <x v="22"/>
          </reference>
          <reference field="3" count="1" selected="0">
            <x v="3"/>
          </reference>
          <reference field="4" count="1">
            <x v="81"/>
          </reference>
        </references>
      </pivotArea>
    </format>
    <format dxfId="1235">
      <pivotArea collapsedLevelsAreSubtotals="1" fieldPosition="0">
        <references count="5">
          <reference field="0" count="1" selected="0">
            <x v="14"/>
          </reference>
          <reference field="1" count="1" selected="0">
            <x v="75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1234">
      <pivotArea collapsedLevelsAreSubtotals="1" fieldPosition="0">
        <references count="5">
          <reference field="0" count="1" selected="0">
            <x v="14"/>
          </reference>
          <reference field="1" count="1" selected="0">
            <x v="137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23"/>
          </reference>
        </references>
      </pivotArea>
    </format>
    <format dxfId="1233">
      <pivotArea collapsedLevelsAreSubtotals="1" fieldPosition="0">
        <references count="5">
          <reference field="0" count="1" selected="0">
            <x v="14"/>
          </reference>
          <reference field="1" count="1" selected="0">
            <x v="196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12"/>
          </reference>
        </references>
      </pivotArea>
    </format>
    <format dxfId="1232">
      <pivotArea collapsedLevelsAreSubtotals="1" fieldPosition="0">
        <references count="5">
          <reference field="0" count="1" selected="0">
            <x v="14"/>
          </reference>
          <reference field="1" count="1" selected="0">
            <x v="229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27"/>
          </reference>
        </references>
      </pivotArea>
    </format>
    <format dxfId="1231">
      <pivotArea collapsedLevelsAreSubtotals="1" fieldPosition="0">
        <references count="2">
          <reference field="0" count="1" selected="0">
            <x v="14"/>
          </reference>
          <reference field="2" count="1" defaultSubtotal="1">
            <x v="42"/>
          </reference>
        </references>
      </pivotArea>
    </format>
    <format dxfId="1230">
      <pivotArea dataOnly="0" labelOnly="1" fieldPosition="0">
        <references count="1">
          <reference field="0" count="1">
            <x v="14"/>
          </reference>
        </references>
      </pivotArea>
    </format>
    <format dxfId="1229">
      <pivotArea dataOnly="0" labelOnly="1" fieldPosition="0">
        <references count="2">
          <reference field="0" count="1" selected="0">
            <x v="14"/>
          </reference>
          <reference field="2" count="1">
            <x v="42"/>
          </reference>
        </references>
      </pivotArea>
    </format>
    <format dxfId="1228">
      <pivotArea dataOnly="0" labelOnly="1" fieldPosition="0">
        <references count="2">
          <reference field="0" count="1" selected="0">
            <x v="14"/>
          </reference>
          <reference field="2" count="1" defaultSubtotal="1">
            <x v="42"/>
          </reference>
        </references>
      </pivotArea>
    </format>
    <format dxfId="1227">
      <pivotArea dataOnly="0" labelOnly="1" fieldPosition="0">
        <references count="3">
          <reference field="0" count="1" selected="0">
            <x v="14"/>
          </reference>
          <reference field="1" count="4">
            <x v="75"/>
            <x v="137"/>
            <x v="196"/>
            <x v="229"/>
          </reference>
          <reference field="2" count="1" selected="0">
            <x v="42"/>
          </reference>
        </references>
      </pivotArea>
    </format>
    <format dxfId="1226">
      <pivotArea dataOnly="0" labelOnly="1" fieldPosition="0">
        <references count="4">
          <reference field="0" count="1" selected="0">
            <x v="14"/>
          </reference>
          <reference field="1" count="1" selected="0">
            <x v="75"/>
          </reference>
          <reference field="2" count="1" selected="0">
            <x v="42"/>
          </reference>
          <reference field="3" count="1">
            <x v="3"/>
          </reference>
        </references>
      </pivotArea>
    </format>
    <format dxfId="1225">
      <pivotArea dataOnly="0" labelOnly="1" fieldPosition="0">
        <references count="5">
          <reference field="0" count="1" selected="0">
            <x v="14"/>
          </reference>
          <reference field="1" count="1" selected="0">
            <x v="75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6"/>
          </reference>
        </references>
      </pivotArea>
    </format>
    <format dxfId="1224">
      <pivotArea dataOnly="0" labelOnly="1" fieldPosition="0">
        <references count="5">
          <reference field="0" count="1" selected="0">
            <x v="14"/>
          </reference>
          <reference field="1" count="1" selected="0">
            <x v="137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23"/>
          </reference>
        </references>
      </pivotArea>
    </format>
    <format dxfId="1223">
      <pivotArea dataOnly="0" labelOnly="1" fieldPosition="0">
        <references count="5">
          <reference field="0" count="1" selected="0">
            <x v="14"/>
          </reference>
          <reference field="1" count="1" selected="0">
            <x v="196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12"/>
          </reference>
        </references>
      </pivotArea>
    </format>
    <format dxfId="1222">
      <pivotArea dataOnly="0" labelOnly="1" fieldPosition="0">
        <references count="5">
          <reference field="0" count="1" selected="0">
            <x v="14"/>
          </reference>
          <reference field="1" count="1" selected="0">
            <x v="229"/>
          </reference>
          <reference field="2" count="1" selected="0">
            <x v="42"/>
          </reference>
          <reference field="3" count="1" selected="0">
            <x v="3"/>
          </reference>
          <reference field="4" count="1">
            <x v="27"/>
          </reference>
        </references>
      </pivotArea>
    </format>
    <format dxfId="1221">
      <pivotArea collapsedLevelsAreSubtotals="1" fieldPosition="0">
        <references count="5">
          <reference field="0" count="1" selected="0">
            <x v="15"/>
          </reference>
          <reference field="1" count="1" selected="0">
            <x v="54"/>
          </reference>
          <reference field="2" count="1" selected="0">
            <x v="36"/>
          </reference>
          <reference field="3" count="1" selected="0">
            <x v="0"/>
          </reference>
          <reference field="4" count="1">
            <x v="103"/>
          </reference>
        </references>
      </pivotArea>
    </format>
    <format dxfId="1220">
      <pivotArea collapsedLevelsAreSubtotals="1" fieldPosition="0">
        <references count="5">
          <reference field="0" count="1" selected="0">
            <x v="15"/>
          </reference>
          <reference field="1" count="1" selected="0">
            <x v="127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219">
      <pivotArea collapsedLevelsAreSubtotals="1" fieldPosition="0">
        <references count="5">
          <reference field="0" count="1" selected="0">
            <x v="15"/>
          </reference>
          <reference field="1" count="1" selected="0">
            <x v="128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122"/>
          </reference>
        </references>
      </pivotArea>
    </format>
    <format dxfId="1218">
      <pivotArea collapsedLevelsAreSubtotals="1" fieldPosition="0">
        <references count="5">
          <reference field="0" count="1" selected="0">
            <x v="15"/>
          </reference>
          <reference field="1" count="1" selected="0">
            <x v="171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3"/>
          </reference>
        </references>
      </pivotArea>
    </format>
    <format dxfId="1217">
      <pivotArea collapsedLevelsAreSubtotals="1" fieldPosition="0">
        <references count="5">
          <reference field="0" count="1" selected="0">
            <x v="15"/>
          </reference>
          <reference field="1" count="1" selected="0">
            <x v="205"/>
          </reference>
          <reference field="2" count="1" selected="0">
            <x v="36"/>
          </reference>
          <reference field="3" count="1" selected="0">
            <x v="0"/>
          </reference>
          <reference field="4" count="1">
            <x v="90"/>
          </reference>
        </references>
      </pivotArea>
    </format>
    <format dxfId="1216">
      <pivotArea collapsedLevelsAreSubtotals="1" fieldPosition="0">
        <references count="5">
          <reference field="0" count="1" selected="0">
            <x v="15"/>
          </reference>
          <reference field="1" count="1" selected="0">
            <x v="267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215">
      <pivotArea collapsedLevelsAreSubtotals="1" fieldPosition="0">
        <references count="2">
          <reference field="0" count="1" selected="0">
            <x v="15"/>
          </reference>
          <reference field="2" count="1" defaultSubtotal="1">
            <x v="36"/>
          </reference>
        </references>
      </pivotArea>
    </format>
    <format dxfId="1214">
      <pivotArea dataOnly="0" labelOnly="1" fieldPosition="0">
        <references count="1">
          <reference field="0" count="1">
            <x v="15"/>
          </reference>
        </references>
      </pivotArea>
    </format>
    <format dxfId="1213">
      <pivotArea dataOnly="0" labelOnly="1" fieldPosition="0">
        <references count="2">
          <reference field="0" count="1" selected="0">
            <x v="15"/>
          </reference>
          <reference field="2" count="1">
            <x v="36"/>
          </reference>
        </references>
      </pivotArea>
    </format>
    <format dxfId="1212">
      <pivotArea dataOnly="0" labelOnly="1" fieldPosition="0">
        <references count="2">
          <reference field="0" count="1" selected="0">
            <x v="15"/>
          </reference>
          <reference field="2" count="1" defaultSubtotal="1">
            <x v="36"/>
          </reference>
        </references>
      </pivotArea>
    </format>
    <format dxfId="1211">
      <pivotArea dataOnly="0" labelOnly="1" fieldPosition="0">
        <references count="3">
          <reference field="0" count="1" selected="0">
            <x v="15"/>
          </reference>
          <reference field="1" count="6">
            <x v="54"/>
            <x v="127"/>
            <x v="128"/>
            <x v="171"/>
            <x v="205"/>
            <x v="267"/>
          </reference>
          <reference field="2" count="1" selected="0">
            <x v="36"/>
          </reference>
        </references>
      </pivotArea>
    </format>
    <format dxfId="1210">
      <pivotArea dataOnly="0" labelOnly="1" fieldPosition="0">
        <references count="4">
          <reference field="0" count="1" selected="0">
            <x v="15"/>
          </reference>
          <reference field="1" count="1" selected="0">
            <x v="54"/>
          </reference>
          <reference field="2" count="1" selected="0">
            <x v="36"/>
          </reference>
          <reference field="3" count="1">
            <x v="0"/>
          </reference>
        </references>
      </pivotArea>
    </format>
    <format dxfId="1209">
      <pivotArea dataOnly="0" labelOnly="1" fieldPosition="0">
        <references count="4">
          <reference field="0" count="1" selected="0">
            <x v="15"/>
          </reference>
          <reference field="1" count="1" selected="0">
            <x v="127"/>
          </reference>
          <reference field="2" count="1" selected="0">
            <x v="36"/>
          </reference>
          <reference field="3" count="1">
            <x v="3"/>
          </reference>
        </references>
      </pivotArea>
    </format>
    <format dxfId="1208">
      <pivotArea dataOnly="0" labelOnly="1" fieldPosition="0">
        <references count="4">
          <reference field="0" count="1" selected="0">
            <x v="15"/>
          </reference>
          <reference field="1" count="1" selected="0">
            <x v="205"/>
          </reference>
          <reference field="2" count="1" selected="0">
            <x v="36"/>
          </reference>
          <reference field="3" count="1">
            <x v="0"/>
          </reference>
        </references>
      </pivotArea>
    </format>
    <format dxfId="1207">
      <pivotArea dataOnly="0" labelOnly="1" fieldPosition="0">
        <references count="4">
          <reference field="0" count="1" selected="0">
            <x v="15"/>
          </reference>
          <reference field="1" count="1" selected="0">
            <x v="267"/>
          </reference>
          <reference field="2" count="1" selected="0">
            <x v="36"/>
          </reference>
          <reference field="3" count="1">
            <x v="3"/>
          </reference>
        </references>
      </pivotArea>
    </format>
    <format dxfId="1206">
      <pivotArea dataOnly="0" labelOnly="1" fieldPosition="0">
        <references count="5">
          <reference field="0" count="1" selected="0">
            <x v="15"/>
          </reference>
          <reference field="1" count="1" selected="0">
            <x v="54"/>
          </reference>
          <reference field="2" count="1" selected="0">
            <x v="36"/>
          </reference>
          <reference field="3" count="1" selected="0">
            <x v="0"/>
          </reference>
          <reference field="4" count="1">
            <x v="103"/>
          </reference>
        </references>
      </pivotArea>
    </format>
    <format dxfId="1205">
      <pivotArea dataOnly="0" labelOnly="1" fieldPosition="0">
        <references count="5">
          <reference field="0" count="1" selected="0">
            <x v="15"/>
          </reference>
          <reference field="1" count="1" selected="0">
            <x v="127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204">
      <pivotArea dataOnly="0" labelOnly="1" fieldPosition="0">
        <references count="5">
          <reference field="0" count="1" selected="0">
            <x v="15"/>
          </reference>
          <reference field="1" count="1" selected="0">
            <x v="128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122"/>
          </reference>
        </references>
      </pivotArea>
    </format>
    <format dxfId="1203">
      <pivotArea dataOnly="0" labelOnly="1" fieldPosition="0">
        <references count="5">
          <reference field="0" count="1" selected="0">
            <x v="15"/>
          </reference>
          <reference field="1" count="1" selected="0">
            <x v="171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3"/>
          </reference>
        </references>
      </pivotArea>
    </format>
    <format dxfId="1202">
      <pivotArea dataOnly="0" labelOnly="1" fieldPosition="0">
        <references count="5">
          <reference field="0" count="1" selected="0">
            <x v="15"/>
          </reference>
          <reference field="1" count="1" selected="0">
            <x v="205"/>
          </reference>
          <reference field="2" count="1" selected="0">
            <x v="36"/>
          </reference>
          <reference field="3" count="1" selected="0">
            <x v="0"/>
          </reference>
          <reference field="4" count="1">
            <x v="90"/>
          </reference>
        </references>
      </pivotArea>
    </format>
    <format dxfId="1201">
      <pivotArea dataOnly="0" labelOnly="1" fieldPosition="0">
        <references count="5">
          <reference field="0" count="1" selected="0">
            <x v="15"/>
          </reference>
          <reference field="1" count="1" selected="0">
            <x v="267"/>
          </reference>
          <reference field="2" count="1" selected="0">
            <x v="36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200">
      <pivotArea collapsedLevelsAreSubtotals="1" fieldPosition="0">
        <references count="5">
          <reference field="0" count="1" selected="0">
            <x v="16"/>
          </reference>
          <reference field="1" count="1" selected="0">
            <x v="22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1199">
      <pivotArea collapsedLevelsAreSubtotals="1" fieldPosition="0">
        <references count="5">
          <reference field="0" count="1" selected="0">
            <x v="16"/>
          </reference>
          <reference field="1" count="1" selected="0">
            <x v="24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198">
      <pivotArea collapsedLevelsAreSubtotals="1" fieldPosition="0">
        <references count="5">
          <reference field="0" count="1" selected="0">
            <x v="16"/>
          </reference>
          <reference field="1" count="1" selected="0">
            <x v="27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86"/>
          </reference>
        </references>
      </pivotArea>
    </format>
    <format dxfId="1197">
      <pivotArea collapsedLevelsAreSubtotals="1" fieldPosition="0">
        <references count="5">
          <reference field="0" count="1" selected="0">
            <x v="16"/>
          </reference>
          <reference field="1" count="1" selected="0">
            <x v="78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19"/>
          </reference>
        </references>
      </pivotArea>
    </format>
    <format dxfId="1196">
      <pivotArea collapsedLevelsAreSubtotals="1" fieldPosition="0">
        <references count="5">
          <reference field="0" count="1" selected="0">
            <x v="16"/>
          </reference>
          <reference field="1" count="1" selected="0">
            <x v="115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195">
      <pivotArea collapsedLevelsAreSubtotals="1" fieldPosition="0">
        <references count="5">
          <reference field="0" count="1" selected="0">
            <x v="16"/>
          </reference>
          <reference field="1" count="1" selected="0">
            <x v="133"/>
          </reference>
          <reference field="2" count="1" selected="0">
            <x v="5"/>
          </reference>
          <reference field="3" count="1" selected="0">
            <x v="4"/>
          </reference>
          <reference field="4" count="1">
            <x v="178"/>
          </reference>
        </references>
      </pivotArea>
    </format>
    <format dxfId="1194">
      <pivotArea collapsedLevelsAreSubtotals="1" fieldPosition="0">
        <references count="5">
          <reference field="0" count="1" selected="0">
            <x v="16"/>
          </reference>
          <reference field="1" count="1" selected="0">
            <x v="141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1193">
      <pivotArea collapsedLevelsAreSubtotals="1" fieldPosition="0">
        <references count="5">
          <reference field="0" count="1" selected="0">
            <x v="16"/>
          </reference>
          <reference field="1" count="1" selected="0">
            <x v="174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0"/>
          </reference>
        </references>
      </pivotArea>
    </format>
    <format dxfId="1192">
      <pivotArea collapsedLevelsAreSubtotals="1" fieldPosition="0">
        <references count="5">
          <reference field="0" count="1" selected="0">
            <x v="16"/>
          </reference>
          <reference field="1" count="1" selected="0">
            <x v="287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191">
      <pivotArea collapsedLevelsAreSubtotals="1" fieldPosition="0">
        <references count="5">
          <reference field="0" count="1" selected="0">
            <x v="16"/>
          </reference>
          <reference field="1" count="1" selected="0">
            <x v="300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190">
      <pivotArea collapsedLevelsAreSubtotals="1" fieldPosition="0">
        <references count="5">
          <reference field="0" count="1" selected="0">
            <x v="16"/>
          </reference>
          <reference field="1" count="1" selected="0">
            <x v="327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26"/>
          </reference>
        </references>
      </pivotArea>
    </format>
    <format dxfId="1189">
      <pivotArea collapsedLevelsAreSubtotals="1" fieldPosition="0">
        <references count="5">
          <reference field="0" count="1" selected="0">
            <x v="16"/>
          </reference>
          <reference field="1" count="1" selected="0">
            <x v="370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1188">
      <pivotArea collapsedLevelsAreSubtotals="1" fieldPosition="0">
        <references count="5">
          <reference field="0" count="1" selected="0">
            <x v="16"/>
          </reference>
          <reference field="1" count="1" selected="0">
            <x v="386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187">
      <pivotArea collapsedLevelsAreSubtotals="1" fieldPosition="0">
        <references count="5">
          <reference field="0" count="1" selected="0">
            <x v="16"/>
          </reference>
          <reference field="1" count="1" selected="0">
            <x v="387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46"/>
          </reference>
        </references>
      </pivotArea>
    </format>
    <format dxfId="1186">
      <pivotArea collapsedLevelsAreSubtotals="1" fieldPosition="0">
        <references count="5">
          <reference field="0" count="1" selected="0">
            <x v="16"/>
          </reference>
          <reference field="1" count="1" selected="0">
            <x v="396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"/>
          </reference>
        </references>
      </pivotArea>
    </format>
    <format dxfId="1185">
      <pivotArea collapsedLevelsAreSubtotals="1" fieldPosition="0">
        <references count="5">
          <reference field="0" count="1" selected="0">
            <x v="16"/>
          </reference>
          <reference field="1" count="1" selected="0">
            <x v="423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7"/>
          </reference>
        </references>
      </pivotArea>
    </format>
    <format dxfId="1184">
      <pivotArea collapsedLevelsAreSubtotals="1" fieldPosition="0">
        <references count="2">
          <reference field="0" count="1" selected="0">
            <x v="16"/>
          </reference>
          <reference field="2" count="1" defaultSubtotal="1">
            <x v="5"/>
          </reference>
        </references>
      </pivotArea>
    </format>
    <format dxfId="1183">
      <pivotArea dataOnly="0" labelOnly="1" fieldPosition="0">
        <references count="1">
          <reference field="0" count="1">
            <x v="16"/>
          </reference>
        </references>
      </pivotArea>
    </format>
    <format dxfId="1182">
      <pivotArea dataOnly="0" labelOnly="1" fieldPosition="0">
        <references count="2">
          <reference field="0" count="1" selected="0">
            <x v="16"/>
          </reference>
          <reference field="2" count="1">
            <x v="5"/>
          </reference>
        </references>
      </pivotArea>
    </format>
    <format dxfId="1181">
      <pivotArea dataOnly="0" labelOnly="1" fieldPosition="0">
        <references count="2">
          <reference field="0" count="1" selected="0">
            <x v="16"/>
          </reference>
          <reference field="2" count="1" defaultSubtotal="1">
            <x v="5"/>
          </reference>
        </references>
      </pivotArea>
    </format>
    <format dxfId="1180">
      <pivotArea dataOnly="0" labelOnly="1" fieldPosition="0">
        <references count="3">
          <reference field="0" count="1" selected="0">
            <x v="16"/>
          </reference>
          <reference field="1" count="16">
            <x v="22"/>
            <x v="24"/>
            <x v="27"/>
            <x v="78"/>
            <x v="115"/>
            <x v="133"/>
            <x v="141"/>
            <x v="174"/>
            <x v="287"/>
            <x v="300"/>
            <x v="327"/>
            <x v="370"/>
            <x v="386"/>
            <x v="387"/>
            <x v="396"/>
            <x v="423"/>
          </reference>
          <reference field="2" count="1" selected="0">
            <x v="5"/>
          </reference>
        </references>
      </pivotArea>
    </format>
    <format dxfId="1179">
      <pivotArea dataOnly="0" labelOnly="1" fieldPosition="0">
        <references count="4">
          <reference field="0" count="1" selected="0">
            <x v="16"/>
          </reference>
          <reference field="1" count="1" selected="0">
            <x v="22"/>
          </reference>
          <reference field="2" count="1" selected="0">
            <x v="5"/>
          </reference>
          <reference field="3" count="1">
            <x v="3"/>
          </reference>
        </references>
      </pivotArea>
    </format>
    <format dxfId="1178">
      <pivotArea dataOnly="0" labelOnly="1" fieldPosition="0">
        <references count="4">
          <reference field="0" count="1" selected="0">
            <x v="16"/>
          </reference>
          <reference field="1" count="1" selected="0">
            <x v="133"/>
          </reference>
          <reference field="2" count="1" selected="0">
            <x v="5"/>
          </reference>
          <reference field="3" count="1">
            <x v="4"/>
          </reference>
        </references>
      </pivotArea>
    </format>
    <format dxfId="1177">
      <pivotArea dataOnly="0" labelOnly="1" fieldPosition="0">
        <references count="4">
          <reference field="0" count="1" selected="0">
            <x v="16"/>
          </reference>
          <reference field="1" count="1" selected="0">
            <x v="141"/>
          </reference>
          <reference field="2" count="1" selected="0">
            <x v="5"/>
          </reference>
          <reference field="3" count="1">
            <x v="0"/>
          </reference>
        </references>
      </pivotArea>
    </format>
    <format dxfId="1176">
      <pivotArea dataOnly="0" labelOnly="1" fieldPosition="0">
        <references count="4">
          <reference field="0" count="1" selected="0">
            <x v="16"/>
          </reference>
          <reference field="1" count="1" selected="0">
            <x v="174"/>
          </reference>
          <reference field="2" count="1" selected="0">
            <x v="5"/>
          </reference>
          <reference field="3" count="1">
            <x v="3"/>
          </reference>
        </references>
      </pivotArea>
    </format>
    <format dxfId="1175">
      <pivotArea dataOnly="0" labelOnly="1" fieldPosition="0">
        <references count="4">
          <reference field="0" count="1" selected="0">
            <x v="16"/>
          </reference>
          <reference field="1" count="1" selected="0">
            <x v="327"/>
          </reference>
          <reference field="2" count="1" selected="0">
            <x v="5"/>
          </reference>
          <reference field="3" count="1">
            <x v="0"/>
          </reference>
        </references>
      </pivotArea>
    </format>
    <format dxfId="1174">
      <pivotArea dataOnly="0" labelOnly="1" fieldPosition="0">
        <references count="4">
          <reference field="0" count="1" selected="0">
            <x v="16"/>
          </reference>
          <reference field="1" count="1" selected="0">
            <x v="370"/>
          </reference>
          <reference field="2" count="1" selected="0">
            <x v="5"/>
          </reference>
          <reference field="3" count="1">
            <x v="3"/>
          </reference>
        </references>
      </pivotArea>
    </format>
    <format dxfId="1173">
      <pivotArea dataOnly="0" labelOnly="1" fieldPosition="0">
        <references count="4">
          <reference field="0" count="1" selected="0">
            <x v="16"/>
          </reference>
          <reference field="1" count="1" selected="0">
            <x v="387"/>
          </reference>
          <reference field="2" count="1" selected="0">
            <x v="5"/>
          </reference>
          <reference field="3" count="1">
            <x v="0"/>
          </reference>
        </references>
      </pivotArea>
    </format>
    <format dxfId="1172">
      <pivotArea dataOnly="0" labelOnly="1" fieldPosition="0">
        <references count="4">
          <reference field="0" count="1" selected="0">
            <x v="16"/>
          </reference>
          <reference field="1" count="1" selected="0">
            <x v="396"/>
          </reference>
          <reference field="2" count="1" selected="0">
            <x v="5"/>
          </reference>
          <reference field="3" count="1">
            <x v="3"/>
          </reference>
        </references>
      </pivotArea>
    </format>
    <format dxfId="1171">
      <pivotArea dataOnly="0" labelOnly="1" fieldPosition="0">
        <references count="5">
          <reference field="0" count="1" selected="0">
            <x v="16"/>
          </reference>
          <reference field="1" count="1" selected="0">
            <x v="22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1170">
      <pivotArea dataOnly="0" labelOnly="1" fieldPosition="0">
        <references count="5">
          <reference field="0" count="1" selected="0">
            <x v="16"/>
          </reference>
          <reference field="1" count="1" selected="0">
            <x v="24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169">
      <pivotArea dataOnly="0" labelOnly="1" fieldPosition="0">
        <references count="5">
          <reference field="0" count="1" selected="0">
            <x v="16"/>
          </reference>
          <reference field="1" count="1" selected="0">
            <x v="27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86"/>
          </reference>
        </references>
      </pivotArea>
    </format>
    <format dxfId="1168">
      <pivotArea dataOnly="0" labelOnly="1" fieldPosition="0">
        <references count="5">
          <reference field="0" count="1" selected="0">
            <x v="16"/>
          </reference>
          <reference field="1" count="1" selected="0">
            <x v="78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19"/>
          </reference>
        </references>
      </pivotArea>
    </format>
    <format dxfId="1167">
      <pivotArea dataOnly="0" labelOnly="1" fieldPosition="0">
        <references count="5">
          <reference field="0" count="1" selected="0">
            <x v="16"/>
          </reference>
          <reference field="1" count="1" selected="0">
            <x v="115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166">
      <pivotArea dataOnly="0" labelOnly="1" fieldPosition="0">
        <references count="5">
          <reference field="0" count="1" selected="0">
            <x v="16"/>
          </reference>
          <reference field="1" count="1" selected="0">
            <x v="133"/>
          </reference>
          <reference field="2" count="1" selected="0">
            <x v="5"/>
          </reference>
          <reference field="3" count="1" selected="0">
            <x v="4"/>
          </reference>
          <reference field="4" count="1">
            <x v="178"/>
          </reference>
        </references>
      </pivotArea>
    </format>
    <format dxfId="1165">
      <pivotArea dataOnly="0" labelOnly="1" fieldPosition="0">
        <references count="5">
          <reference field="0" count="1" selected="0">
            <x v="16"/>
          </reference>
          <reference field="1" count="1" selected="0">
            <x v="141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1164">
      <pivotArea dataOnly="0" labelOnly="1" fieldPosition="0">
        <references count="5">
          <reference field="0" count="1" selected="0">
            <x v="16"/>
          </reference>
          <reference field="1" count="1" selected="0">
            <x v="174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0"/>
          </reference>
        </references>
      </pivotArea>
    </format>
    <format dxfId="1163">
      <pivotArea dataOnly="0" labelOnly="1" fieldPosition="0">
        <references count="5">
          <reference field="0" count="1" selected="0">
            <x v="16"/>
          </reference>
          <reference field="1" count="1" selected="0">
            <x v="287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162">
      <pivotArea dataOnly="0" labelOnly="1" fieldPosition="0">
        <references count="5">
          <reference field="0" count="1" selected="0">
            <x v="16"/>
          </reference>
          <reference field="1" count="1" selected="0">
            <x v="300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161">
      <pivotArea dataOnly="0" labelOnly="1" fieldPosition="0">
        <references count="5">
          <reference field="0" count="1" selected="0">
            <x v="16"/>
          </reference>
          <reference field="1" count="1" selected="0">
            <x v="327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26"/>
          </reference>
        </references>
      </pivotArea>
    </format>
    <format dxfId="1160">
      <pivotArea dataOnly="0" labelOnly="1" fieldPosition="0">
        <references count="5">
          <reference field="0" count="1" selected="0">
            <x v="16"/>
          </reference>
          <reference field="1" count="1" selected="0">
            <x v="370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1159">
      <pivotArea dataOnly="0" labelOnly="1" fieldPosition="0">
        <references count="5">
          <reference field="0" count="1" selected="0">
            <x v="16"/>
          </reference>
          <reference field="1" count="1" selected="0">
            <x v="386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158">
      <pivotArea dataOnly="0" labelOnly="1" fieldPosition="0">
        <references count="5">
          <reference field="0" count="1" selected="0">
            <x v="16"/>
          </reference>
          <reference field="1" count="1" selected="0">
            <x v="387"/>
          </reference>
          <reference field="2" count="1" selected="0">
            <x v="5"/>
          </reference>
          <reference field="3" count="1" selected="0">
            <x v="0"/>
          </reference>
          <reference field="4" count="1">
            <x v="46"/>
          </reference>
        </references>
      </pivotArea>
    </format>
    <format dxfId="1157">
      <pivotArea dataOnly="0" labelOnly="1" fieldPosition="0">
        <references count="5">
          <reference field="0" count="1" selected="0">
            <x v="16"/>
          </reference>
          <reference field="1" count="1" selected="0">
            <x v="396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"/>
          </reference>
        </references>
      </pivotArea>
    </format>
    <format dxfId="1156">
      <pivotArea dataOnly="0" labelOnly="1" fieldPosition="0">
        <references count="5">
          <reference field="0" count="1" selected="0">
            <x v="16"/>
          </reference>
          <reference field="1" count="1" selected="0">
            <x v="423"/>
          </reference>
          <reference field="2" count="1" selected="0">
            <x v="5"/>
          </reference>
          <reference field="3" count="1" selected="0">
            <x v="3"/>
          </reference>
          <reference field="4" count="1">
            <x v="157"/>
          </reference>
        </references>
      </pivotArea>
    </format>
    <format dxfId="1155">
      <pivotArea collapsedLevelsAreSubtotals="1" fieldPosition="0">
        <references count="5">
          <reference field="0" count="1" selected="0">
            <x v="17"/>
          </reference>
          <reference field="1" count="1" selected="0">
            <x v="112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29"/>
          </reference>
        </references>
      </pivotArea>
    </format>
    <format dxfId="1154">
      <pivotArea collapsedLevelsAreSubtotals="1" fieldPosition="0">
        <references count="5">
          <reference field="0" count="1" selected="0">
            <x v="17"/>
          </reference>
          <reference field="1" count="1" selected="0">
            <x v="125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72"/>
          </reference>
        </references>
      </pivotArea>
    </format>
    <format dxfId="1153">
      <pivotArea collapsedLevelsAreSubtotals="1" fieldPosition="0">
        <references count="5">
          <reference field="0" count="1" selected="0">
            <x v="17"/>
          </reference>
          <reference field="1" count="1" selected="0">
            <x v="192"/>
          </reference>
          <reference field="2" count="1" selected="0">
            <x v="33"/>
          </reference>
          <reference field="3" count="1" selected="0">
            <x v="4"/>
          </reference>
          <reference field="4" count="1">
            <x v="183"/>
          </reference>
        </references>
      </pivotArea>
    </format>
    <format dxfId="1152">
      <pivotArea collapsedLevelsAreSubtotals="1" fieldPosition="0">
        <references count="5">
          <reference field="0" count="1" selected="0">
            <x v="17"/>
          </reference>
          <reference field="1" count="1" selected="0">
            <x v="282"/>
          </reference>
          <reference field="2" count="1" selected="0">
            <x v="33"/>
          </reference>
          <reference field="3" count="1" selected="0">
            <x v="1"/>
          </reference>
          <reference field="4" count="1">
            <x v="13"/>
          </reference>
        </references>
      </pivotArea>
    </format>
    <format dxfId="1151">
      <pivotArea collapsedLevelsAreSubtotals="1" fieldPosition="0">
        <references count="5">
          <reference field="0" count="1" selected="0">
            <x v="17"/>
          </reference>
          <reference field="1" count="1" selected="0">
            <x v="283"/>
          </reference>
          <reference field="2" count="1" selected="0">
            <x v="33"/>
          </reference>
          <reference field="3" count="1" selected="0">
            <x v="1"/>
          </reference>
          <reference field="4" count="1">
            <x v="22"/>
          </reference>
        </references>
      </pivotArea>
    </format>
    <format dxfId="1150">
      <pivotArea collapsedLevelsAreSubtotals="1" fieldPosition="0">
        <references count="5">
          <reference field="0" count="1" selected="0">
            <x v="17"/>
          </reference>
          <reference field="1" count="1" selected="0">
            <x v="376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1149">
      <pivotArea collapsedLevelsAreSubtotals="1" fieldPosition="0">
        <references count="5">
          <reference field="0" count="1" selected="0">
            <x v="17"/>
          </reference>
          <reference field="1" count="1" selected="0">
            <x v="430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148">
      <pivotArea collapsedLevelsAreSubtotals="1" fieldPosition="0">
        <references count="2">
          <reference field="0" count="1" selected="0">
            <x v="17"/>
          </reference>
          <reference field="2" count="1" defaultSubtotal="1">
            <x v="33"/>
          </reference>
        </references>
      </pivotArea>
    </format>
    <format dxfId="1147">
      <pivotArea dataOnly="0" labelOnly="1" fieldPosition="0">
        <references count="1">
          <reference field="0" count="1">
            <x v="17"/>
          </reference>
        </references>
      </pivotArea>
    </format>
    <format dxfId="1146">
      <pivotArea dataOnly="0" labelOnly="1" fieldPosition="0">
        <references count="2">
          <reference field="0" count="1" selected="0">
            <x v="17"/>
          </reference>
          <reference field="2" count="1">
            <x v="33"/>
          </reference>
        </references>
      </pivotArea>
    </format>
    <format dxfId="1145">
      <pivotArea dataOnly="0" labelOnly="1" fieldPosition="0">
        <references count="2">
          <reference field="0" count="1" selected="0">
            <x v="17"/>
          </reference>
          <reference field="2" count="1" defaultSubtotal="1">
            <x v="33"/>
          </reference>
        </references>
      </pivotArea>
    </format>
    <format dxfId="1144">
      <pivotArea dataOnly="0" labelOnly="1" fieldPosition="0">
        <references count="3">
          <reference field="0" count="1" selected="0">
            <x v="17"/>
          </reference>
          <reference field="1" count="7">
            <x v="112"/>
            <x v="125"/>
            <x v="192"/>
            <x v="282"/>
            <x v="283"/>
            <x v="376"/>
            <x v="430"/>
          </reference>
          <reference field="2" count="1" selected="0">
            <x v="33"/>
          </reference>
        </references>
      </pivotArea>
    </format>
    <format dxfId="1143">
      <pivotArea dataOnly="0" labelOnly="1" fieldPosition="0">
        <references count="4">
          <reference field="0" count="1" selected="0">
            <x v="17"/>
          </reference>
          <reference field="1" count="1" selected="0">
            <x v="112"/>
          </reference>
          <reference field="2" count="1" selected="0">
            <x v="33"/>
          </reference>
          <reference field="3" count="1">
            <x v="3"/>
          </reference>
        </references>
      </pivotArea>
    </format>
    <format dxfId="1142">
      <pivotArea dataOnly="0" labelOnly="1" fieldPosition="0">
        <references count="4">
          <reference field="0" count="1" selected="0">
            <x v="17"/>
          </reference>
          <reference field="1" count="1" selected="0">
            <x v="192"/>
          </reference>
          <reference field="2" count="1" selected="0">
            <x v="33"/>
          </reference>
          <reference field="3" count="1">
            <x v="4"/>
          </reference>
        </references>
      </pivotArea>
    </format>
    <format dxfId="1141">
      <pivotArea dataOnly="0" labelOnly="1" fieldPosition="0">
        <references count="4">
          <reference field="0" count="1" selected="0">
            <x v="17"/>
          </reference>
          <reference field="1" count="1" selected="0">
            <x v="282"/>
          </reference>
          <reference field="2" count="1" selected="0">
            <x v="33"/>
          </reference>
          <reference field="3" count="1">
            <x v="1"/>
          </reference>
        </references>
      </pivotArea>
    </format>
    <format dxfId="1140">
      <pivotArea dataOnly="0" labelOnly="1" fieldPosition="0">
        <references count="4">
          <reference field="0" count="1" selected="0">
            <x v="17"/>
          </reference>
          <reference field="1" count="1" selected="0">
            <x v="376"/>
          </reference>
          <reference field="2" count="1" selected="0">
            <x v="33"/>
          </reference>
          <reference field="3" count="1">
            <x v="3"/>
          </reference>
        </references>
      </pivotArea>
    </format>
    <format dxfId="1139">
      <pivotArea dataOnly="0" labelOnly="1" fieldPosition="0">
        <references count="5">
          <reference field="0" count="1" selected="0">
            <x v="17"/>
          </reference>
          <reference field="1" count="1" selected="0">
            <x v="112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29"/>
          </reference>
        </references>
      </pivotArea>
    </format>
    <format dxfId="1138">
      <pivotArea dataOnly="0" labelOnly="1" fieldPosition="0">
        <references count="5">
          <reference field="0" count="1" selected="0">
            <x v="17"/>
          </reference>
          <reference field="1" count="1" selected="0">
            <x v="125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72"/>
          </reference>
        </references>
      </pivotArea>
    </format>
    <format dxfId="1137">
      <pivotArea dataOnly="0" labelOnly="1" fieldPosition="0">
        <references count="5">
          <reference field="0" count="1" selected="0">
            <x v="17"/>
          </reference>
          <reference field="1" count="1" selected="0">
            <x v="192"/>
          </reference>
          <reference field="2" count="1" selected="0">
            <x v="33"/>
          </reference>
          <reference field="3" count="1" selected="0">
            <x v="4"/>
          </reference>
          <reference field="4" count="1">
            <x v="183"/>
          </reference>
        </references>
      </pivotArea>
    </format>
    <format dxfId="1136">
      <pivotArea dataOnly="0" labelOnly="1" fieldPosition="0">
        <references count="5">
          <reference field="0" count="1" selected="0">
            <x v="17"/>
          </reference>
          <reference field="1" count="1" selected="0">
            <x v="282"/>
          </reference>
          <reference field="2" count="1" selected="0">
            <x v="33"/>
          </reference>
          <reference field="3" count="1" selected="0">
            <x v="1"/>
          </reference>
          <reference field="4" count="1">
            <x v="13"/>
          </reference>
        </references>
      </pivotArea>
    </format>
    <format dxfId="1135">
      <pivotArea dataOnly="0" labelOnly="1" fieldPosition="0">
        <references count="5">
          <reference field="0" count="1" selected="0">
            <x v="17"/>
          </reference>
          <reference field="1" count="1" selected="0">
            <x v="283"/>
          </reference>
          <reference field="2" count="1" selected="0">
            <x v="33"/>
          </reference>
          <reference field="3" count="1" selected="0">
            <x v="1"/>
          </reference>
          <reference field="4" count="1">
            <x v="22"/>
          </reference>
        </references>
      </pivotArea>
    </format>
    <format dxfId="1134">
      <pivotArea dataOnly="0" labelOnly="1" fieldPosition="0">
        <references count="5">
          <reference field="0" count="1" selected="0">
            <x v="17"/>
          </reference>
          <reference field="1" count="1" selected="0">
            <x v="376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1133">
      <pivotArea dataOnly="0" labelOnly="1" fieldPosition="0">
        <references count="5">
          <reference field="0" count="1" selected="0">
            <x v="17"/>
          </reference>
          <reference field="1" count="1" selected="0">
            <x v="430"/>
          </reference>
          <reference field="2" count="1" selected="0">
            <x v="33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132">
      <pivotArea collapsedLevelsAreSubtotals="1" fieldPosition="0">
        <references count="5">
          <reference field="0" count="1" selected="0">
            <x v="18"/>
          </reference>
          <reference field="1" count="1" selected="0">
            <x v="98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131">
      <pivotArea collapsedLevelsAreSubtotals="1" fieldPosition="0">
        <references count="5">
          <reference field="0" count="1" selected="0">
            <x v="18"/>
          </reference>
          <reference field="1" count="1" selected="0">
            <x v="124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73"/>
          </reference>
        </references>
      </pivotArea>
    </format>
    <format dxfId="1130">
      <pivotArea collapsedLevelsAreSubtotals="1" fieldPosition="0">
        <references count="5">
          <reference field="0" count="1" selected="0">
            <x v="18"/>
          </reference>
          <reference field="1" count="1" selected="0">
            <x v="158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45"/>
          </reference>
        </references>
      </pivotArea>
    </format>
    <format dxfId="1129">
      <pivotArea collapsedLevelsAreSubtotals="1" fieldPosition="0">
        <references count="5">
          <reference field="0" count="1" selected="0">
            <x v="18"/>
          </reference>
          <reference field="1" count="1" selected="0">
            <x v="159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39"/>
          </reference>
        </references>
      </pivotArea>
    </format>
    <format dxfId="1128">
      <pivotArea collapsedLevelsAreSubtotals="1" fieldPosition="0">
        <references count="5">
          <reference field="0" count="1" selected="0">
            <x v="18"/>
          </reference>
          <reference field="1" count="1" selected="0">
            <x v="177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94"/>
          </reference>
        </references>
      </pivotArea>
    </format>
    <format dxfId="1127">
      <pivotArea collapsedLevelsAreSubtotals="1" fieldPosition="0">
        <references count="5">
          <reference field="0" count="1" selected="0">
            <x v="18"/>
          </reference>
          <reference field="1" count="1" selected="0">
            <x v="178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1126">
      <pivotArea collapsedLevelsAreSubtotals="1" fieldPosition="0">
        <references count="5">
          <reference field="0" count="1" selected="0">
            <x v="18"/>
          </reference>
          <reference field="1" count="1" selected="0">
            <x v="258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50"/>
          </reference>
        </references>
      </pivotArea>
    </format>
    <format dxfId="1125">
      <pivotArea collapsedLevelsAreSubtotals="1" fieldPosition="0">
        <references count="5">
          <reference field="0" count="1" selected="0">
            <x v="18"/>
          </reference>
          <reference field="1" count="1" selected="0">
            <x v="273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40"/>
          </reference>
        </references>
      </pivotArea>
    </format>
    <format dxfId="1124">
      <pivotArea collapsedLevelsAreSubtotals="1" fieldPosition="0">
        <references count="5">
          <reference field="0" count="1" selected="0">
            <x v="18"/>
          </reference>
          <reference field="1" count="1" selected="0">
            <x v="286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123">
      <pivotArea collapsedLevelsAreSubtotals="1" fieldPosition="0">
        <references count="5">
          <reference field="0" count="1" selected="0">
            <x v="18"/>
          </reference>
          <reference field="1" count="1" selected="0">
            <x v="289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32"/>
          </reference>
        </references>
      </pivotArea>
    </format>
    <format dxfId="1122">
      <pivotArea collapsedLevelsAreSubtotals="1" fieldPosition="0">
        <references count="5">
          <reference field="0" count="1" selected="0">
            <x v="18"/>
          </reference>
          <reference field="1" count="1" selected="0">
            <x v="297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59"/>
          </reference>
        </references>
      </pivotArea>
    </format>
    <format dxfId="1121">
      <pivotArea collapsedLevelsAreSubtotals="1" fieldPosition="0">
        <references count="5">
          <reference field="0" count="1" selected="0">
            <x v="18"/>
          </reference>
          <reference field="1" count="1" selected="0">
            <x v="305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48"/>
          </reference>
        </references>
      </pivotArea>
    </format>
    <format dxfId="1120">
      <pivotArea collapsedLevelsAreSubtotals="1" fieldPosition="0">
        <references count="5">
          <reference field="0" count="1" selected="0">
            <x v="18"/>
          </reference>
          <reference field="1" count="1" selected="0">
            <x v="306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1119">
      <pivotArea collapsedLevelsAreSubtotals="1" fieldPosition="0">
        <references count="5">
          <reference field="0" count="1" selected="0">
            <x v="18"/>
          </reference>
          <reference field="1" count="1" selected="0">
            <x v="392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33"/>
          </reference>
        </references>
      </pivotArea>
    </format>
    <format dxfId="1118">
      <pivotArea collapsedLevelsAreSubtotals="1" fieldPosition="0">
        <references count="5">
          <reference field="0" count="1" selected="0">
            <x v="18"/>
          </reference>
          <reference field="1" count="1" selected="0">
            <x v="420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07"/>
          </reference>
        </references>
      </pivotArea>
    </format>
    <format dxfId="1117">
      <pivotArea collapsedLevelsAreSubtotals="1" fieldPosition="0">
        <references count="5">
          <reference field="0" count="1" selected="0">
            <x v="18"/>
          </reference>
          <reference field="1" count="1" selected="0">
            <x v="421"/>
          </reference>
          <reference field="2" count="1" selected="0">
            <x v="0"/>
          </reference>
          <reference field="3" count="1" selected="0">
            <x v="5"/>
          </reference>
          <reference field="4" count="1">
            <x v="88"/>
          </reference>
        </references>
      </pivotArea>
    </format>
    <format dxfId="1116">
      <pivotArea collapsedLevelsAreSubtotals="1" fieldPosition="0">
        <references count="5">
          <reference field="0" count="1" selected="0">
            <x v="18"/>
          </reference>
          <reference field="1" count="1" selected="0">
            <x v="435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1115">
      <pivotArea collapsedLevelsAreSubtotals="1" fieldPosition="0">
        <references count="2">
          <reference field="0" count="1" selected="0">
            <x v="18"/>
          </reference>
          <reference field="2" count="1" defaultSubtotal="1">
            <x v="0"/>
          </reference>
        </references>
      </pivotArea>
    </format>
    <format dxfId="1114">
      <pivotArea dataOnly="0" labelOnly="1" fieldPosition="0">
        <references count="1">
          <reference field="0" count="1">
            <x v="18"/>
          </reference>
        </references>
      </pivotArea>
    </format>
    <format dxfId="1113">
      <pivotArea dataOnly="0" labelOnly="1" fieldPosition="0">
        <references count="2">
          <reference field="0" count="1" selected="0">
            <x v="18"/>
          </reference>
          <reference field="2" count="1">
            <x v="0"/>
          </reference>
        </references>
      </pivotArea>
    </format>
    <format dxfId="1112">
      <pivotArea dataOnly="0" labelOnly="1" fieldPosition="0">
        <references count="2">
          <reference field="0" count="1" selected="0">
            <x v="18"/>
          </reference>
          <reference field="2" count="1" defaultSubtotal="1">
            <x v="0"/>
          </reference>
        </references>
      </pivotArea>
    </format>
    <format dxfId="1111">
      <pivotArea dataOnly="0" labelOnly="1" fieldPosition="0">
        <references count="3">
          <reference field="0" count="1" selected="0">
            <x v="18"/>
          </reference>
          <reference field="1" count="17">
            <x v="98"/>
            <x v="124"/>
            <x v="158"/>
            <x v="159"/>
            <x v="177"/>
            <x v="178"/>
            <x v="258"/>
            <x v="273"/>
            <x v="286"/>
            <x v="289"/>
            <x v="297"/>
            <x v="305"/>
            <x v="306"/>
            <x v="392"/>
            <x v="420"/>
            <x v="421"/>
            <x v="435"/>
          </reference>
          <reference field="2" count="1" selected="0">
            <x v="0"/>
          </reference>
        </references>
      </pivotArea>
    </format>
    <format dxfId="1110">
      <pivotArea dataOnly="0" labelOnly="1" fieldPosition="0">
        <references count="4">
          <reference field="0" count="1" selected="0">
            <x v="18"/>
          </reference>
          <reference field="1" count="1" selected="0">
            <x v="98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1109">
      <pivotArea dataOnly="0" labelOnly="1" fieldPosition="0">
        <references count="4">
          <reference field="0" count="1" selected="0">
            <x v="18"/>
          </reference>
          <reference field="1" count="1" selected="0">
            <x v="178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1108">
      <pivotArea dataOnly="0" labelOnly="1" fieldPosition="0">
        <references count="4">
          <reference field="0" count="1" selected="0">
            <x v="18"/>
          </reference>
          <reference field="1" count="1" selected="0">
            <x v="273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1107">
      <pivotArea dataOnly="0" labelOnly="1" fieldPosition="0">
        <references count="4">
          <reference field="0" count="1" selected="0">
            <x v="18"/>
          </reference>
          <reference field="1" count="1" selected="0">
            <x v="289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1106">
      <pivotArea dataOnly="0" labelOnly="1" fieldPosition="0">
        <references count="4">
          <reference field="0" count="1" selected="0">
            <x v="18"/>
          </reference>
          <reference field="1" count="1" selected="0">
            <x v="306"/>
          </reference>
          <reference field="2" count="1" selected="0">
            <x v="0"/>
          </reference>
          <reference field="3" count="1">
            <x v="3"/>
          </reference>
        </references>
      </pivotArea>
    </format>
    <format dxfId="1105">
      <pivotArea dataOnly="0" labelOnly="1" fieldPosition="0">
        <references count="4">
          <reference field="0" count="1" selected="0">
            <x v="18"/>
          </reference>
          <reference field="1" count="1" selected="0">
            <x v="420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1104">
      <pivotArea dataOnly="0" labelOnly="1" fieldPosition="0">
        <references count="4">
          <reference field="0" count="1" selected="0">
            <x v="18"/>
          </reference>
          <reference field="1" count="1" selected="0">
            <x v="421"/>
          </reference>
          <reference field="2" count="1" selected="0">
            <x v="0"/>
          </reference>
          <reference field="3" count="1">
            <x v="5"/>
          </reference>
        </references>
      </pivotArea>
    </format>
    <format dxfId="1103">
      <pivotArea dataOnly="0" labelOnly="1" fieldPosition="0">
        <references count="4">
          <reference field="0" count="1" selected="0">
            <x v="18"/>
          </reference>
          <reference field="1" count="1" selected="0">
            <x v="435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1102">
      <pivotArea dataOnly="0" labelOnly="1" fieldPosition="0">
        <references count="5">
          <reference field="0" count="1" selected="0">
            <x v="18"/>
          </reference>
          <reference field="1" count="1" selected="0">
            <x v="98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101">
      <pivotArea dataOnly="0" labelOnly="1" fieldPosition="0">
        <references count="5">
          <reference field="0" count="1" selected="0">
            <x v="18"/>
          </reference>
          <reference field="1" count="1" selected="0">
            <x v="124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73"/>
          </reference>
        </references>
      </pivotArea>
    </format>
    <format dxfId="1100">
      <pivotArea dataOnly="0" labelOnly="1" fieldPosition="0">
        <references count="5">
          <reference field="0" count="1" selected="0">
            <x v="18"/>
          </reference>
          <reference field="1" count="1" selected="0">
            <x v="158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45"/>
          </reference>
        </references>
      </pivotArea>
    </format>
    <format dxfId="1099">
      <pivotArea dataOnly="0" labelOnly="1" fieldPosition="0">
        <references count="5">
          <reference field="0" count="1" selected="0">
            <x v="18"/>
          </reference>
          <reference field="1" count="1" selected="0">
            <x v="159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39"/>
          </reference>
        </references>
      </pivotArea>
    </format>
    <format dxfId="1098">
      <pivotArea dataOnly="0" labelOnly="1" fieldPosition="0">
        <references count="5">
          <reference field="0" count="1" selected="0">
            <x v="18"/>
          </reference>
          <reference field="1" count="1" selected="0">
            <x v="177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94"/>
          </reference>
        </references>
      </pivotArea>
    </format>
    <format dxfId="1097">
      <pivotArea dataOnly="0" labelOnly="1" fieldPosition="0">
        <references count="5">
          <reference field="0" count="1" selected="0">
            <x v="18"/>
          </reference>
          <reference field="1" count="1" selected="0">
            <x v="178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1096">
      <pivotArea dataOnly="0" labelOnly="1" fieldPosition="0">
        <references count="5">
          <reference field="0" count="1" selected="0">
            <x v="18"/>
          </reference>
          <reference field="1" count="1" selected="0">
            <x v="258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50"/>
          </reference>
        </references>
      </pivotArea>
    </format>
    <format dxfId="1095">
      <pivotArea dataOnly="0" labelOnly="1" fieldPosition="0">
        <references count="5">
          <reference field="0" count="1" selected="0">
            <x v="18"/>
          </reference>
          <reference field="1" count="1" selected="0">
            <x v="273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40"/>
          </reference>
        </references>
      </pivotArea>
    </format>
    <format dxfId="1094">
      <pivotArea dataOnly="0" labelOnly="1" fieldPosition="0">
        <references count="5">
          <reference field="0" count="1" selected="0">
            <x v="18"/>
          </reference>
          <reference field="1" count="1" selected="0">
            <x v="286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093">
      <pivotArea dataOnly="0" labelOnly="1" fieldPosition="0">
        <references count="5">
          <reference field="0" count="1" selected="0">
            <x v="18"/>
          </reference>
          <reference field="1" count="1" selected="0">
            <x v="289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32"/>
          </reference>
        </references>
      </pivotArea>
    </format>
    <format dxfId="1092">
      <pivotArea dataOnly="0" labelOnly="1" fieldPosition="0">
        <references count="5">
          <reference field="0" count="1" selected="0">
            <x v="18"/>
          </reference>
          <reference field="1" count="1" selected="0">
            <x v="297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59"/>
          </reference>
        </references>
      </pivotArea>
    </format>
    <format dxfId="1091">
      <pivotArea dataOnly="0" labelOnly="1" fieldPosition="0">
        <references count="5">
          <reference field="0" count="1" selected="0">
            <x v="18"/>
          </reference>
          <reference field="1" count="1" selected="0">
            <x v="305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48"/>
          </reference>
        </references>
      </pivotArea>
    </format>
    <format dxfId="1090">
      <pivotArea dataOnly="0" labelOnly="1" fieldPosition="0">
        <references count="5">
          <reference field="0" count="1" selected="0">
            <x v="18"/>
          </reference>
          <reference field="1" count="1" selected="0">
            <x v="306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1089">
      <pivotArea dataOnly="0" labelOnly="1" fieldPosition="0">
        <references count="5">
          <reference field="0" count="1" selected="0">
            <x v="18"/>
          </reference>
          <reference field="1" count="1" selected="0">
            <x v="392"/>
          </reference>
          <reference field="2" count="1" selected="0">
            <x v="0"/>
          </reference>
          <reference field="3" count="1" selected="0">
            <x v="3"/>
          </reference>
          <reference field="4" count="1">
            <x v="133"/>
          </reference>
        </references>
      </pivotArea>
    </format>
    <format dxfId="1088">
      <pivotArea dataOnly="0" labelOnly="1" fieldPosition="0">
        <references count="5">
          <reference field="0" count="1" selected="0">
            <x v="18"/>
          </reference>
          <reference field="1" count="1" selected="0">
            <x v="420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107"/>
          </reference>
        </references>
      </pivotArea>
    </format>
    <format dxfId="1087">
      <pivotArea dataOnly="0" labelOnly="1" fieldPosition="0">
        <references count="5">
          <reference field="0" count="1" selected="0">
            <x v="18"/>
          </reference>
          <reference field="1" count="1" selected="0">
            <x v="421"/>
          </reference>
          <reference field="2" count="1" selected="0">
            <x v="0"/>
          </reference>
          <reference field="3" count="1" selected="0">
            <x v="5"/>
          </reference>
          <reference field="4" count="1">
            <x v="88"/>
          </reference>
        </references>
      </pivotArea>
    </format>
    <format dxfId="1086">
      <pivotArea dataOnly="0" labelOnly="1" fieldPosition="0">
        <references count="5">
          <reference field="0" count="1" selected="0">
            <x v="18"/>
          </reference>
          <reference field="1" count="1" selected="0">
            <x v="435"/>
          </reference>
          <reference field="2" count="1" selected="0">
            <x v="0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1085">
      <pivotArea collapsedLevelsAreSubtotals="1" fieldPosition="0">
        <references count="5">
          <reference field="0" count="1" selected="0">
            <x v="19"/>
          </reference>
          <reference field="1" count="1" selected="0">
            <x v="49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084">
      <pivotArea collapsedLevelsAreSubtotals="1" fieldPosition="0">
        <references count="5">
          <reference field="0" count="1" selected="0">
            <x v="19"/>
          </reference>
          <reference field="1" count="1" selected="0">
            <x v="64"/>
          </reference>
          <reference field="2" count="1" selected="0">
            <x v="46"/>
          </reference>
          <reference field="3" count="1" selected="0">
            <x v="0"/>
          </reference>
          <reference field="4" count="1">
            <x v="33"/>
          </reference>
        </references>
      </pivotArea>
    </format>
    <format dxfId="1083">
      <pivotArea collapsedLevelsAreSubtotals="1" fieldPosition="0">
        <references count="5">
          <reference field="0" count="1" selected="0">
            <x v="19"/>
          </reference>
          <reference field="1" count="1" selected="0">
            <x v="7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1082">
      <pivotArea collapsedLevelsAreSubtotals="1" fieldPosition="0">
        <references count="5">
          <reference field="0" count="1" selected="0">
            <x v="19"/>
          </reference>
          <reference field="1" count="1" selected="0">
            <x v="126"/>
          </reference>
          <reference field="2" count="1" selected="0">
            <x v="46"/>
          </reference>
          <reference field="3" count="1" selected="0">
            <x v="4"/>
          </reference>
          <reference field="4" count="1">
            <x v="182"/>
          </reference>
        </references>
      </pivotArea>
    </format>
    <format dxfId="1081">
      <pivotArea collapsedLevelsAreSubtotals="1" fieldPosition="0">
        <references count="5">
          <reference field="0" count="1" selected="0">
            <x v="19"/>
          </reference>
          <reference field="1" count="1" selected="0">
            <x v="144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125"/>
          </reference>
        </references>
      </pivotArea>
    </format>
    <format dxfId="1080">
      <pivotArea collapsedLevelsAreSubtotals="1" fieldPosition="0">
        <references count="5">
          <reference field="0" count="1" selected="0">
            <x v="19"/>
          </reference>
          <reference field="1" count="1" selected="0">
            <x v="191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079">
      <pivotArea collapsedLevelsAreSubtotals="1" fieldPosition="0">
        <references count="5">
          <reference field="0" count="1" selected="0">
            <x v="19"/>
          </reference>
          <reference field="1" count="1" selected="0">
            <x v="30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078">
      <pivotArea collapsedLevelsAreSubtotals="1" fieldPosition="0">
        <references count="5">
          <reference field="0" count="1" selected="0">
            <x v="19"/>
          </reference>
          <reference field="1" count="1" selected="0">
            <x v="325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077">
      <pivotArea collapsedLevelsAreSubtotals="1" fieldPosition="0">
        <references count="5">
          <reference field="0" count="1" selected="0">
            <x v="19"/>
          </reference>
          <reference field="1" count="1" selected="0">
            <x v="330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1076">
      <pivotArea collapsedLevelsAreSubtotals="1" fieldPosition="0">
        <references count="5">
          <reference field="0" count="1" selected="0">
            <x v="19"/>
          </reference>
          <reference field="1" count="1" selected="0">
            <x v="34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125"/>
          </reference>
        </references>
      </pivotArea>
    </format>
    <format dxfId="1075">
      <pivotArea collapsedLevelsAreSubtotals="1" fieldPosition="0">
        <references count="5">
          <reference field="0" count="1" selected="0">
            <x v="19"/>
          </reference>
          <reference field="1" count="1" selected="0">
            <x v="350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074">
      <pivotArea collapsedLevelsAreSubtotals="1" fieldPosition="0">
        <references count="5">
          <reference field="0" count="1" selected="0">
            <x v="19"/>
          </reference>
          <reference field="1" count="1" selected="0">
            <x v="432"/>
          </reference>
          <reference field="2" count="1" selected="0">
            <x v="46"/>
          </reference>
          <reference field="3" count="1" selected="0">
            <x v="4"/>
          </reference>
          <reference field="4" count="1">
            <x v="212"/>
          </reference>
        </references>
      </pivotArea>
    </format>
    <format dxfId="1073">
      <pivotArea collapsedLevelsAreSubtotals="1" fieldPosition="0">
        <references count="2">
          <reference field="0" count="1" selected="0">
            <x v="19"/>
          </reference>
          <reference field="2" count="1" defaultSubtotal="1">
            <x v="46"/>
          </reference>
        </references>
      </pivotArea>
    </format>
    <format dxfId="1072">
      <pivotArea dataOnly="0" labelOnly="1" fieldPosition="0">
        <references count="1">
          <reference field="0" count="1">
            <x v="19"/>
          </reference>
        </references>
      </pivotArea>
    </format>
    <format dxfId="1071">
      <pivotArea dataOnly="0" labelOnly="1" fieldPosition="0">
        <references count="2">
          <reference field="0" count="1" selected="0">
            <x v="19"/>
          </reference>
          <reference field="2" count="1">
            <x v="46"/>
          </reference>
        </references>
      </pivotArea>
    </format>
    <format dxfId="1070">
      <pivotArea dataOnly="0" labelOnly="1" fieldPosition="0">
        <references count="2">
          <reference field="0" count="1" selected="0">
            <x v="19"/>
          </reference>
          <reference field="2" count="1" defaultSubtotal="1">
            <x v="46"/>
          </reference>
        </references>
      </pivotArea>
    </format>
    <format dxfId="1069">
      <pivotArea dataOnly="0" labelOnly="1" fieldPosition="0">
        <references count="3">
          <reference field="0" count="1" selected="0">
            <x v="19"/>
          </reference>
          <reference field="1" count="12">
            <x v="49"/>
            <x v="64"/>
            <x v="72"/>
            <x v="126"/>
            <x v="144"/>
            <x v="191"/>
            <x v="302"/>
            <x v="325"/>
            <x v="330"/>
            <x v="342"/>
            <x v="350"/>
            <x v="432"/>
          </reference>
          <reference field="2" count="1" selected="0">
            <x v="46"/>
          </reference>
        </references>
      </pivotArea>
    </format>
    <format dxfId="1068">
      <pivotArea dataOnly="0" labelOnly="1" fieldPosition="0">
        <references count="4">
          <reference field="0" count="1" selected="0">
            <x v="19"/>
          </reference>
          <reference field="1" count="1" selected="0">
            <x v="49"/>
          </reference>
          <reference field="2" count="1" selected="0">
            <x v="46"/>
          </reference>
          <reference field="3" count="1">
            <x v="3"/>
          </reference>
        </references>
      </pivotArea>
    </format>
    <format dxfId="1067">
      <pivotArea dataOnly="0" labelOnly="1" fieldPosition="0">
        <references count="4">
          <reference field="0" count="1" selected="0">
            <x v="19"/>
          </reference>
          <reference field="1" count="1" selected="0">
            <x v="64"/>
          </reference>
          <reference field="2" count="1" selected="0">
            <x v="46"/>
          </reference>
          <reference field="3" count="1">
            <x v="0"/>
          </reference>
        </references>
      </pivotArea>
    </format>
    <format dxfId="1066">
      <pivotArea dataOnly="0" labelOnly="1" fieldPosition="0">
        <references count="4">
          <reference field="0" count="1" selected="0">
            <x v="19"/>
          </reference>
          <reference field="1" count="1" selected="0">
            <x v="72"/>
          </reference>
          <reference field="2" count="1" selected="0">
            <x v="46"/>
          </reference>
          <reference field="3" count="1">
            <x v="3"/>
          </reference>
        </references>
      </pivotArea>
    </format>
    <format dxfId="1065">
      <pivotArea dataOnly="0" labelOnly="1" fieldPosition="0">
        <references count="4">
          <reference field="0" count="1" selected="0">
            <x v="19"/>
          </reference>
          <reference field="1" count="1" selected="0">
            <x v="126"/>
          </reference>
          <reference field="2" count="1" selected="0">
            <x v="46"/>
          </reference>
          <reference field="3" count="1">
            <x v="4"/>
          </reference>
        </references>
      </pivotArea>
    </format>
    <format dxfId="1064">
      <pivotArea dataOnly="0" labelOnly="1" fieldPosition="0">
        <references count="4">
          <reference field="0" count="1" selected="0">
            <x v="19"/>
          </reference>
          <reference field="1" count="1" selected="0">
            <x v="144"/>
          </reference>
          <reference field="2" count="1" selected="0">
            <x v="46"/>
          </reference>
          <reference field="3" count="1">
            <x v="3"/>
          </reference>
        </references>
      </pivotArea>
    </format>
    <format dxfId="1063">
      <pivotArea dataOnly="0" labelOnly="1" fieldPosition="0">
        <references count="4">
          <reference field="0" count="1" selected="0">
            <x v="19"/>
          </reference>
          <reference field="1" count="1" selected="0">
            <x v="432"/>
          </reference>
          <reference field="2" count="1" selected="0">
            <x v="46"/>
          </reference>
          <reference field="3" count="1">
            <x v="4"/>
          </reference>
        </references>
      </pivotArea>
    </format>
    <format dxfId="1062">
      <pivotArea dataOnly="0" labelOnly="1" fieldPosition="0">
        <references count="5">
          <reference field="0" count="1" selected="0">
            <x v="19"/>
          </reference>
          <reference field="1" count="1" selected="0">
            <x v="49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061">
      <pivotArea dataOnly="0" labelOnly="1" fieldPosition="0">
        <references count="5">
          <reference field="0" count="1" selected="0">
            <x v="19"/>
          </reference>
          <reference field="1" count="1" selected="0">
            <x v="64"/>
          </reference>
          <reference field="2" count="1" selected="0">
            <x v="46"/>
          </reference>
          <reference field="3" count="1" selected="0">
            <x v="0"/>
          </reference>
          <reference field="4" count="1">
            <x v="33"/>
          </reference>
        </references>
      </pivotArea>
    </format>
    <format dxfId="1060">
      <pivotArea dataOnly="0" labelOnly="1" fieldPosition="0">
        <references count="5">
          <reference field="0" count="1" selected="0">
            <x v="19"/>
          </reference>
          <reference field="1" count="1" selected="0">
            <x v="7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1059">
      <pivotArea dataOnly="0" labelOnly="1" fieldPosition="0">
        <references count="5">
          <reference field="0" count="1" selected="0">
            <x v="19"/>
          </reference>
          <reference field="1" count="1" selected="0">
            <x v="126"/>
          </reference>
          <reference field="2" count="1" selected="0">
            <x v="46"/>
          </reference>
          <reference field="3" count="1" selected="0">
            <x v="4"/>
          </reference>
          <reference field="4" count="1">
            <x v="182"/>
          </reference>
        </references>
      </pivotArea>
    </format>
    <format dxfId="1058">
      <pivotArea dataOnly="0" labelOnly="1" fieldPosition="0">
        <references count="5">
          <reference field="0" count="1" selected="0">
            <x v="19"/>
          </reference>
          <reference field="1" count="1" selected="0">
            <x v="144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125"/>
          </reference>
        </references>
      </pivotArea>
    </format>
    <format dxfId="1057">
      <pivotArea dataOnly="0" labelOnly="1" fieldPosition="0">
        <references count="5">
          <reference field="0" count="1" selected="0">
            <x v="19"/>
          </reference>
          <reference field="1" count="1" selected="0">
            <x v="191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056">
      <pivotArea dataOnly="0" labelOnly="1" fieldPosition="0">
        <references count="5">
          <reference field="0" count="1" selected="0">
            <x v="19"/>
          </reference>
          <reference field="1" count="1" selected="0">
            <x v="30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055">
      <pivotArea dataOnly="0" labelOnly="1" fieldPosition="0">
        <references count="5">
          <reference field="0" count="1" selected="0">
            <x v="19"/>
          </reference>
          <reference field="1" count="1" selected="0">
            <x v="325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054">
      <pivotArea dataOnly="0" labelOnly="1" fieldPosition="0">
        <references count="5">
          <reference field="0" count="1" selected="0">
            <x v="19"/>
          </reference>
          <reference field="1" count="1" selected="0">
            <x v="330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1053">
      <pivotArea dataOnly="0" labelOnly="1" fieldPosition="0">
        <references count="5">
          <reference field="0" count="1" selected="0">
            <x v="19"/>
          </reference>
          <reference field="1" count="1" selected="0">
            <x v="342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125"/>
          </reference>
        </references>
      </pivotArea>
    </format>
    <format dxfId="1052">
      <pivotArea dataOnly="0" labelOnly="1" fieldPosition="0">
        <references count="5">
          <reference field="0" count="1" selected="0">
            <x v="19"/>
          </reference>
          <reference field="1" count="1" selected="0">
            <x v="350"/>
          </reference>
          <reference field="2" count="1" selected="0">
            <x v="46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051">
      <pivotArea dataOnly="0" labelOnly="1" fieldPosition="0">
        <references count="5">
          <reference field="0" count="1" selected="0">
            <x v="19"/>
          </reference>
          <reference field="1" count="1" selected="0">
            <x v="432"/>
          </reference>
          <reference field="2" count="1" selected="0">
            <x v="46"/>
          </reference>
          <reference field="3" count="1" selected="0">
            <x v="4"/>
          </reference>
          <reference field="4" count="1">
            <x v="212"/>
          </reference>
        </references>
      </pivotArea>
    </format>
    <format dxfId="1050">
      <pivotArea collapsedLevelsAreSubtotals="1" fieldPosition="0">
        <references count="5">
          <reference field="0" count="1" selected="0">
            <x v="20"/>
          </reference>
          <reference field="1" count="1" selected="0">
            <x v="299"/>
          </reference>
          <reference field="2" count="1" selected="0">
            <x v="31"/>
          </reference>
          <reference field="3" count="1" selected="0">
            <x v="3"/>
          </reference>
          <reference field="4" count="1">
            <x v="8"/>
          </reference>
        </references>
      </pivotArea>
    </format>
    <format dxfId="1049">
      <pivotArea collapsedLevelsAreSubtotals="1" fieldPosition="0">
        <references count="5">
          <reference field="0" count="1" selected="0">
            <x v="20"/>
          </reference>
          <reference field="1" count="1" selected="0">
            <x v="440"/>
          </reference>
          <reference field="2" count="1" selected="0">
            <x v="31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048">
      <pivotArea collapsedLevelsAreSubtotals="1" fieldPosition="0">
        <references count="2">
          <reference field="0" count="1" selected="0">
            <x v="20"/>
          </reference>
          <reference field="2" count="1" defaultSubtotal="1">
            <x v="31"/>
          </reference>
        </references>
      </pivotArea>
    </format>
    <format dxfId="1047">
      <pivotArea dataOnly="0" labelOnly="1" fieldPosition="0">
        <references count="1">
          <reference field="0" count="1">
            <x v="20"/>
          </reference>
        </references>
      </pivotArea>
    </format>
    <format dxfId="1046">
      <pivotArea dataOnly="0" labelOnly="1" fieldPosition="0">
        <references count="2">
          <reference field="0" count="1" selected="0">
            <x v="20"/>
          </reference>
          <reference field="2" count="1">
            <x v="31"/>
          </reference>
        </references>
      </pivotArea>
    </format>
    <format dxfId="1045">
      <pivotArea dataOnly="0" labelOnly="1" fieldPosition="0">
        <references count="2">
          <reference field="0" count="1" selected="0">
            <x v="20"/>
          </reference>
          <reference field="2" count="1" defaultSubtotal="1">
            <x v="31"/>
          </reference>
        </references>
      </pivotArea>
    </format>
    <format dxfId="1044">
      <pivotArea dataOnly="0" labelOnly="1" fieldPosition="0">
        <references count="3">
          <reference field="0" count="1" selected="0">
            <x v="20"/>
          </reference>
          <reference field="1" count="2">
            <x v="299"/>
            <x v="440"/>
          </reference>
          <reference field="2" count="1" selected="0">
            <x v="31"/>
          </reference>
        </references>
      </pivotArea>
    </format>
    <format dxfId="1043">
      <pivotArea dataOnly="0" labelOnly="1" fieldPosition="0">
        <references count="4">
          <reference field="0" count="1" selected="0">
            <x v="20"/>
          </reference>
          <reference field="1" count="1" selected="0">
            <x v="299"/>
          </reference>
          <reference field="2" count="1" selected="0">
            <x v="31"/>
          </reference>
          <reference field="3" count="1">
            <x v="3"/>
          </reference>
        </references>
      </pivotArea>
    </format>
    <format dxfId="1042">
      <pivotArea dataOnly="0" labelOnly="1" fieldPosition="0">
        <references count="5">
          <reference field="0" count="1" selected="0">
            <x v="20"/>
          </reference>
          <reference field="1" count="1" selected="0">
            <x v="299"/>
          </reference>
          <reference field="2" count="1" selected="0">
            <x v="31"/>
          </reference>
          <reference field="3" count="1" selected="0">
            <x v="3"/>
          </reference>
          <reference field="4" count="1">
            <x v="8"/>
          </reference>
        </references>
      </pivotArea>
    </format>
    <format dxfId="1041">
      <pivotArea dataOnly="0" labelOnly="1" fieldPosition="0">
        <references count="5">
          <reference field="0" count="1" selected="0">
            <x v="20"/>
          </reference>
          <reference field="1" count="1" selected="0">
            <x v="440"/>
          </reference>
          <reference field="2" count="1" selected="0">
            <x v="31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1040">
      <pivotArea collapsedLevelsAreSubtotals="1" fieldPosition="0">
        <references count="5">
          <reference field="0" count="1" selected="0">
            <x v="21"/>
          </reference>
          <reference field="1" count="1" selected="0">
            <x v="2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1039">
      <pivotArea collapsedLevelsAreSubtotals="1" fieldPosition="0">
        <references count="5">
          <reference field="0" count="1" selected="0">
            <x v="21"/>
          </reference>
          <reference field="1" count="1" selected="0">
            <x v="4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81"/>
          </reference>
        </references>
      </pivotArea>
    </format>
    <format dxfId="1038">
      <pivotArea collapsedLevelsAreSubtotals="1" fieldPosition="0">
        <references count="5">
          <reference field="0" count="1" selected="0">
            <x v="21"/>
          </reference>
          <reference field="1" count="1" selected="0">
            <x v="110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037">
      <pivotArea collapsedLevelsAreSubtotals="1" fieldPosition="0">
        <references count="5">
          <reference field="0" count="1" selected="0">
            <x v="21"/>
          </reference>
          <reference field="1" count="1" selected="0">
            <x v="13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036">
      <pivotArea collapsedLevelsAreSubtotals="1" fieldPosition="0">
        <references count="5">
          <reference field="0" count="1" selected="0">
            <x v="21"/>
          </reference>
          <reference field="1" count="1" selected="0">
            <x v="18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035">
      <pivotArea collapsedLevelsAreSubtotals="1" fieldPosition="0">
        <references count="5">
          <reference field="0" count="1" selected="0">
            <x v="21"/>
          </reference>
          <reference field="1" count="1" selected="0">
            <x v="19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79"/>
          </reference>
        </references>
      </pivotArea>
    </format>
    <format dxfId="1034">
      <pivotArea collapsedLevelsAreSubtotals="1" fieldPosition="0">
        <references count="5">
          <reference field="0" count="1" selected="0">
            <x v="21"/>
          </reference>
          <reference field="1" count="1" selected="0">
            <x v="20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033">
      <pivotArea collapsedLevelsAreSubtotals="1" fieldPosition="0">
        <references count="5">
          <reference field="0" count="1" selected="0">
            <x v="21"/>
          </reference>
          <reference field="1" count="1" selected="0">
            <x v="21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60"/>
          </reference>
        </references>
      </pivotArea>
    </format>
    <format dxfId="1032">
      <pivotArea collapsedLevelsAreSubtotals="1" fieldPosition="0">
        <references count="5">
          <reference field="0" count="1" selected="0">
            <x v="21"/>
          </reference>
          <reference field="1" count="1" selected="0">
            <x v="23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031">
      <pivotArea collapsedLevelsAreSubtotals="1" fieldPosition="0">
        <references count="5">
          <reference field="0" count="1" selected="0">
            <x v="21"/>
          </reference>
          <reference field="1" count="1" selected="0">
            <x v="243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169"/>
          </reference>
        </references>
      </pivotArea>
    </format>
    <format dxfId="1030">
      <pivotArea collapsedLevelsAreSubtotals="1" fieldPosition="0">
        <references count="5">
          <reference field="0" count="1" selected="0">
            <x v="21"/>
          </reference>
          <reference field="1" count="1" selected="0">
            <x v="24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42"/>
          </reference>
        </references>
      </pivotArea>
    </format>
    <format dxfId="1029">
      <pivotArea collapsedLevelsAreSubtotals="1" fieldPosition="0">
        <references count="5">
          <reference field="0" count="1" selected="0">
            <x v="21"/>
          </reference>
          <reference field="1" count="1" selected="0">
            <x v="245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166"/>
          </reference>
        </references>
      </pivotArea>
    </format>
    <format dxfId="1028">
      <pivotArea collapsedLevelsAreSubtotals="1" fieldPosition="0">
        <references count="5">
          <reference field="0" count="1" selected="0">
            <x v="21"/>
          </reference>
          <reference field="1" count="1" selected="0">
            <x v="24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1027">
      <pivotArea collapsedLevelsAreSubtotals="1" fieldPosition="0">
        <references count="5">
          <reference field="0" count="1" selected="0">
            <x v="21"/>
          </reference>
          <reference field="1" count="1" selected="0">
            <x v="25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1026">
      <pivotArea collapsedLevelsAreSubtotals="1" fieldPosition="0">
        <references count="5">
          <reference field="0" count="1" selected="0">
            <x v="21"/>
          </reference>
          <reference field="1" count="1" selected="0">
            <x v="256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95"/>
          </reference>
        </references>
      </pivotArea>
    </format>
    <format dxfId="1025">
      <pivotArea collapsedLevelsAreSubtotals="1" fieldPosition="0">
        <references count="5">
          <reference field="0" count="1" selected="0">
            <x v="21"/>
          </reference>
          <reference field="1" count="1" selected="0">
            <x v="269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024">
      <pivotArea collapsedLevelsAreSubtotals="1" fieldPosition="0">
        <references count="5">
          <reference field="0" count="1" selected="0">
            <x v="21"/>
          </reference>
          <reference field="1" count="1" selected="0">
            <x v="27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32"/>
          </reference>
        </references>
      </pivotArea>
    </format>
    <format dxfId="1023">
      <pivotArea collapsedLevelsAreSubtotals="1" fieldPosition="0">
        <references count="5">
          <reference field="0" count="1" selected="0">
            <x v="21"/>
          </reference>
          <reference field="1" count="1" selected="0">
            <x v="28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022">
      <pivotArea collapsedLevelsAreSubtotals="1" fieldPosition="0">
        <references count="5">
          <reference field="0" count="1" selected="0">
            <x v="21"/>
          </reference>
          <reference field="1" count="1" selected="0">
            <x v="293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021">
      <pivotArea collapsedLevelsAreSubtotals="1" fieldPosition="0">
        <references count="5">
          <reference field="0" count="1" selected="0">
            <x v="21"/>
          </reference>
          <reference field="1" count="1" selected="0">
            <x v="34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020">
      <pivotArea collapsedLevelsAreSubtotals="1" fieldPosition="0">
        <references count="5">
          <reference field="0" count="1" selected="0">
            <x v="21"/>
          </reference>
          <reference field="1" count="1" selected="0">
            <x v="369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37"/>
          </reference>
        </references>
      </pivotArea>
    </format>
    <format dxfId="1019">
      <pivotArea collapsedLevelsAreSubtotals="1" fieldPosition="0">
        <references count="5">
          <reference field="0" count="1" selected="0">
            <x v="21"/>
          </reference>
          <reference field="1" count="1" selected="0">
            <x v="37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1018">
      <pivotArea collapsedLevelsAreSubtotals="1" fieldPosition="0">
        <references count="5">
          <reference field="0" count="1" selected="0">
            <x v="21"/>
          </reference>
          <reference field="1" count="1" selected="0">
            <x v="37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1017">
      <pivotArea collapsedLevelsAreSubtotals="1" fieldPosition="0">
        <references count="5">
          <reference field="0" count="1" selected="0">
            <x v="21"/>
          </reference>
          <reference field="1" count="1" selected="0">
            <x v="38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1016">
      <pivotArea collapsedLevelsAreSubtotals="1" fieldPosition="0">
        <references count="5">
          <reference field="0" count="1" selected="0">
            <x v="21"/>
          </reference>
          <reference field="1" count="1" selected="0">
            <x v="383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01"/>
          </reference>
        </references>
      </pivotArea>
    </format>
    <format dxfId="1015">
      <pivotArea collapsedLevelsAreSubtotals="1" fieldPosition="0">
        <references count="5">
          <reference field="0" count="1" selected="0">
            <x v="21"/>
          </reference>
          <reference field="1" count="1" selected="0">
            <x v="39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29"/>
          </reference>
        </references>
      </pivotArea>
    </format>
    <format dxfId="1014">
      <pivotArea collapsedLevelsAreSubtotals="1" fieldPosition="0">
        <references count="5">
          <reference field="0" count="1" selected="0">
            <x v="21"/>
          </reference>
          <reference field="1" count="1" selected="0">
            <x v="410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98"/>
          </reference>
        </references>
      </pivotArea>
    </format>
    <format dxfId="1013">
      <pivotArea collapsedLevelsAreSubtotals="1" fieldPosition="0">
        <references count="5">
          <reference field="0" count="1" selected="0">
            <x v="21"/>
          </reference>
          <reference field="1" count="1" selected="0">
            <x v="42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012">
      <pivotArea collapsedLevelsAreSubtotals="1" fieldPosition="0">
        <references count="5">
          <reference field="0" count="1" selected="0">
            <x v="21"/>
          </reference>
          <reference field="1" count="1" selected="0">
            <x v="45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51"/>
          </reference>
        </references>
      </pivotArea>
    </format>
    <format dxfId="1011">
      <pivotArea collapsedLevelsAreSubtotals="1" fieldPosition="0">
        <references count="2">
          <reference field="0" count="1" selected="0">
            <x v="21"/>
          </reference>
          <reference field="2" count="1" defaultSubtotal="1">
            <x v="34"/>
          </reference>
        </references>
      </pivotArea>
    </format>
    <format dxfId="1010">
      <pivotArea dataOnly="0" labelOnly="1" fieldPosition="0">
        <references count="1">
          <reference field="0" count="1">
            <x v="21"/>
          </reference>
        </references>
      </pivotArea>
    </format>
    <format dxfId="1009">
      <pivotArea dataOnly="0" labelOnly="1" fieldPosition="0">
        <references count="2">
          <reference field="0" count="1" selected="0">
            <x v="21"/>
          </reference>
          <reference field="2" count="1">
            <x v="34"/>
          </reference>
        </references>
      </pivotArea>
    </format>
    <format dxfId="1008">
      <pivotArea dataOnly="0" labelOnly="1" fieldPosition="0">
        <references count="2">
          <reference field="0" count="1" selected="0">
            <x v="21"/>
          </reference>
          <reference field="2" count="1" defaultSubtotal="1">
            <x v="34"/>
          </reference>
        </references>
      </pivotArea>
    </format>
    <format dxfId="1007">
      <pivotArea dataOnly="0" labelOnly="1" fieldPosition="0">
        <references count="3">
          <reference field="0" count="1" selected="0">
            <x v="21"/>
          </reference>
          <reference field="1" count="29">
            <x v="28"/>
            <x v="46"/>
            <x v="110"/>
            <x v="135"/>
            <x v="182"/>
            <x v="194"/>
            <x v="206"/>
            <x v="212"/>
            <x v="235"/>
            <x v="243"/>
            <x v="244"/>
            <x v="245"/>
            <x v="248"/>
            <x v="254"/>
            <x v="256"/>
            <x v="269"/>
            <x v="272"/>
            <x v="285"/>
            <x v="293"/>
            <x v="341"/>
            <x v="369"/>
            <x v="374"/>
            <x v="378"/>
            <x v="381"/>
            <x v="383"/>
            <x v="391"/>
            <x v="410"/>
            <x v="426"/>
            <x v="451"/>
          </reference>
          <reference field="2" count="1" selected="0">
            <x v="34"/>
          </reference>
        </references>
      </pivotArea>
    </format>
    <format dxfId="1006">
      <pivotArea dataOnly="0" labelOnly="1" fieldPosition="0">
        <references count="4">
          <reference field="0" count="1" selected="0">
            <x v="21"/>
          </reference>
          <reference field="1" count="1" selected="0">
            <x v="28"/>
          </reference>
          <reference field="2" count="1" selected="0">
            <x v="34"/>
          </reference>
          <reference field="3" count="1">
            <x v="3"/>
          </reference>
        </references>
      </pivotArea>
    </format>
    <format dxfId="1005">
      <pivotArea dataOnly="0" labelOnly="1" fieldPosition="0">
        <references count="4">
          <reference field="0" count="1" selected="0">
            <x v="21"/>
          </reference>
          <reference field="1" count="1" selected="0">
            <x v="243"/>
          </reference>
          <reference field="2" count="1" selected="0">
            <x v="34"/>
          </reference>
          <reference field="3" count="1">
            <x v="0"/>
          </reference>
        </references>
      </pivotArea>
    </format>
    <format dxfId="1004">
      <pivotArea dataOnly="0" labelOnly="1" fieldPosition="0">
        <references count="4">
          <reference field="0" count="1" selected="0">
            <x v="21"/>
          </reference>
          <reference field="1" count="1" selected="0">
            <x v="244"/>
          </reference>
          <reference field="2" count="1" selected="0">
            <x v="34"/>
          </reference>
          <reference field="3" count="1">
            <x v="3"/>
          </reference>
        </references>
      </pivotArea>
    </format>
    <format dxfId="1003">
      <pivotArea dataOnly="0" labelOnly="1" fieldPosition="0">
        <references count="4">
          <reference field="0" count="1" selected="0">
            <x v="21"/>
          </reference>
          <reference field="1" count="1" selected="0">
            <x v="245"/>
          </reference>
          <reference field="2" count="1" selected="0">
            <x v="34"/>
          </reference>
          <reference field="3" count="1">
            <x v="0"/>
          </reference>
        </references>
      </pivotArea>
    </format>
    <format dxfId="1002">
      <pivotArea dataOnly="0" labelOnly="1" fieldPosition="0">
        <references count="4">
          <reference field="0" count="1" selected="0">
            <x v="21"/>
          </reference>
          <reference field="1" count="1" selected="0">
            <x v="248"/>
          </reference>
          <reference field="2" count="1" selected="0">
            <x v="34"/>
          </reference>
          <reference field="3" count="1">
            <x v="3"/>
          </reference>
        </references>
      </pivotArea>
    </format>
    <format dxfId="1001">
      <pivotArea dataOnly="0" labelOnly="1" fieldPosition="0">
        <references count="4">
          <reference field="0" count="1" selected="0">
            <x v="21"/>
          </reference>
          <reference field="1" count="1" selected="0">
            <x v="256"/>
          </reference>
          <reference field="2" count="1" selected="0">
            <x v="34"/>
          </reference>
          <reference field="3" count="1">
            <x v="0"/>
          </reference>
        </references>
      </pivotArea>
    </format>
    <format dxfId="1000">
      <pivotArea dataOnly="0" labelOnly="1" fieldPosition="0">
        <references count="4">
          <reference field="0" count="1" selected="0">
            <x v="21"/>
          </reference>
          <reference field="1" count="1" selected="0">
            <x v="269"/>
          </reference>
          <reference field="2" count="1" selected="0">
            <x v="34"/>
          </reference>
          <reference field="3" count="1">
            <x v="3"/>
          </reference>
        </references>
      </pivotArea>
    </format>
    <format dxfId="999">
      <pivotArea dataOnly="0" labelOnly="1" fieldPosition="0">
        <references count="4">
          <reference field="0" count="1" selected="0">
            <x v="21"/>
          </reference>
          <reference field="1" count="1" selected="0">
            <x v="369"/>
          </reference>
          <reference field="2" count="1" selected="0">
            <x v="34"/>
          </reference>
          <reference field="3" count="1">
            <x v="0"/>
          </reference>
        </references>
      </pivotArea>
    </format>
    <format dxfId="998">
      <pivotArea dataOnly="0" labelOnly="1" fieldPosition="0">
        <references count="4">
          <reference field="0" count="1" selected="0">
            <x v="21"/>
          </reference>
          <reference field="1" count="1" selected="0">
            <x v="374"/>
          </reference>
          <reference field="2" count="1" selected="0">
            <x v="34"/>
          </reference>
          <reference field="3" count="1">
            <x v="3"/>
          </reference>
        </references>
      </pivotArea>
    </format>
    <format dxfId="997">
      <pivotArea dataOnly="0" labelOnly="1" fieldPosition="0">
        <references count="5">
          <reference field="0" count="1" selected="0">
            <x v="21"/>
          </reference>
          <reference field="1" count="1" selected="0">
            <x v="2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996">
      <pivotArea dataOnly="0" labelOnly="1" fieldPosition="0">
        <references count="5">
          <reference field="0" count="1" selected="0">
            <x v="21"/>
          </reference>
          <reference field="1" count="1" selected="0">
            <x v="4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81"/>
          </reference>
        </references>
      </pivotArea>
    </format>
    <format dxfId="995">
      <pivotArea dataOnly="0" labelOnly="1" fieldPosition="0">
        <references count="5">
          <reference field="0" count="1" selected="0">
            <x v="21"/>
          </reference>
          <reference field="1" count="1" selected="0">
            <x v="110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994">
      <pivotArea dataOnly="0" labelOnly="1" fieldPosition="0">
        <references count="5">
          <reference field="0" count="1" selected="0">
            <x v="21"/>
          </reference>
          <reference field="1" count="1" selected="0">
            <x v="13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993">
      <pivotArea dataOnly="0" labelOnly="1" fieldPosition="0">
        <references count="5">
          <reference field="0" count="1" selected="0">
            <x v="21"/>
          </reference>
          <reference field="1" count="1" selected="0">
            <x v="18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992">
      <pivotArea dataOnly="0" labelOnly="1" fieldPosition="0">
        <references count="5">
          <reference field="0" count="1" selected="0">
            <x v="21"/>
          </reference>
          <reference field="1" count="1" selected="0">
            <x v="19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79"/>
          </reference>
        </references>
      </pivotArea>
    </format>
    <format dxfId="991">
      <pivotArea dataOnly="0" labelOnly="1" fieldPosition="0">
        <references count="5">
          <reference field="0" count="1" selected="0">
            <x v="21"/>
          </reference>
          <reference field="1" count="1" selected="0">
            <x v="20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990">
      <pivotArea dataOnly="0" labelOnly="1" fieldPosition="0">
        <references count="5">
          <reference field="0" count="1" selected="0">
            <x v="21"/>
          </reference>
          <reference field="1" count="1" selected="0">
            <x v="21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60"/>
          </reference>
        </references>
      </pivotArea>
    </format>
    <format dxfId="989">
      <pivotArea dataOnly="0" labelOnly="1" fieldPosition="0">
        <references count="5">
          <reference field="0" count="1" selected="0">
            <x v="21"/>
          </reference>
          <reference field="1" count="1" selected="0">
            <x v="23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988">
      <pivotArea dataOnly="0" labelOnly="1" fieldPosition="0">
        <references count="5">
          <reference field="0" count="1" selected="0">
            <x v="21"/>
          </reference>
          <reference field="1" count="1" selected="0">
            <x v="243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169"/>
          </reference>
        </references>
      </pivotArea>
    </format>
    <format dxfId="987">
      <pivotArea dataOnly="0" labelOnly="1" fieldPosition="0">
        <references count="5">
          <reference field="0" count="1" selected="0">
            <x v="21"/>
          </reference>
          <reference field="1" count="1" selected="0">
            <x v="24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42"/>
          </reference>
        </references>
      </pivotArea>
    </format>
    <format dxfId="986">
      <pivotArea dataOnly="0" labelOnly="1" fieldPosition="0">
        <references count="5">
          <reference field="0" count="1" selected="0">
            <x v="21"/>
          </reference>
          <reference field="1" count="1" selected="0">
            <x v="245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166"/>
          </reference>
        </references>
      </pivotArea>
    </format>
    <format dxfId="985">
      <pivotArea dataOnly="0" labelOnly="1" fieldPosition="0">
        <references count="5">
          <reference field="0" count="1" selected="0">
            <x v="21"/>
          </reference>
          <reference field="1" count="1" selected="0">
            <x v="24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984">
      <pivotArea dataOnly="0" labelOnly="1" fieldPosition="0">
        <references count="5">
          <reference field="0" count="1" selected="0">
            <x v="21"/>
          </reference>
          <reference field="1" count="1" selected="0">
            <x v="25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983">
      <pivotArea dataOnly="0" labelOnly="1" fieldPosition="0">
        <references count="5">
          <reference field="0" count="1" selected="0">
            <x v="21"/>
          </reference>
          <reference field="1" count="1" selected="0">
            <x v="256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95"/>
          </reference>
        </references>
      </pivotArea>
    </format>
    <format dxfId="982">
      <pivotArea dataOnly="0" labelOnly="1" fieldPosition="0">
        <references count="5">
          <reference field="0" count="1" selected="0">
            <x v="21"/>
          </reference>
          <reference field="1" count="1" selected="0">
            <x v="269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981">
      <pivotArea dataOnly="0" labelOnly="1" fieldPosition="0">
        <references count="5">
          <reference field="0" count="1" selected="0">
            <x v="21"/>
          </reference>
          <reference field="1" count="1" selected="0">
            <x v="272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32"/>
          </reference>
        </references>
      </pivotArea>
    </format>
    <format dxfId="980">
      <pivotArea dataOnly="0" labelOnly="1" fieldPosition="0">
        <references count="5">
          <reference field="0" count="1" selected="0">
            <x v="21"/>
          </reference>
          <reference field="1" count="1" selected="0">
            <x v="285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979">
      <pivotArea dataOnly="0" labelOnly="1" fieldPosition="0">
        <references count="5">
          <reference field="0" count="1" selected="0">
            <x v="21"/>
          </reference>
          <reference field="1" count="1" selected="0">
            <x v="293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978">
      <pivotArea dataOnly="0" labelOnly="1" fieldPosition="0">
        <references count="5">
          <reference field="0" count="1" selected="0">
            <x v="21"/>
          </reference>
          <reference field="1" count="1" selected="0">
            <x v="34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977">
      <pivotArea dataOnly="0" labelOnly="1" fieldPosition="0">
        <references count="5">
          <reference field="0" count="1" selected="0">
            <x v="21"/>
          </reference>
          <reference field="1" count="1" selected="0">
            <x v="369"/>
          </reference>
          <reference field="2" count="1" selected="0">
            <x v="34"/>
          </reference>
          <reference field="3" count="1" selected="0">
            <x v="0"/>
          </reference>
          <reference field="4" count="1">
            <x v="37"/>
          </reference>
        </references>
      </pivotArea>
    </format>
    <format dxfId="976">
      <pivotArea dataOnly="0" labelOnly="1" fieldPosition="0">
        <references count="5">
          <reference field="0" count="1" selected="0">
            <x v="21"/>
          </reference>
          <reference field="1" count="1" selected="0">
            <x v="374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975">
      <pivotArea dataOnly="0" labelOnly="1" fieldPosition="0">
        <references count="5">
          <reference field="0" count="1" selected="0">
            <x v="21"/>
          </reference>
          <reference field="1" count="1" selected="0">
            <x v="378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974">
      <pivotArea dataOnly="0" labelOnly="1" fieldPosition="0">
        <references count="5">
          <reference field="0" count="1" selected="0">
            <x v="21"/>
          </reference>
          <reference field="1" count="1" selected="0">
            <x v="38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973">
      <pivotArea dataOnly="0" labelOnly="1" fieldPosition="0">
        <references count="5">
          <reference field="0" count="1" selected="0">
            <x v="21"/>
          </reference>
          <reference field="1" count="1" selected="0">
            <x v="383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01"/>
          </reference>
        </references>
      </pivotArea>
    </format>
    <format dxfId="972">
      <pivotArea dataOnly="0" labelOnly="1" fieldPosition="0">
        <references count="5">
          <reference field="0" count="1" selected="0">
            <x v="21"/>
          </reference>
          <reference field="1" count="1" selected="0">
            <x v="39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129"/>
          </reference>
        </references>
      </pivotArea>
    </format>
    <format dxfId="971">
      <pivotArea dataOnly="0" labelOnly="1" fieldPosition="0">
        <references count="5">
          <reference field="0" count="1" selected="0">
            <x v="21"/>
          </reference>
          <reference field="1" count="1" selected="0">
            <x v="410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98"/>
          </reference>
        </references>
      </pivotArea>
    </format>
    <format dxfId="970">
      <pivotArea dataOnly="0" labelOnly="1" fieldPosition="0">
        <references count="5">
          <reference field="0" count="1" selected="0">
            <x v="21"/>
          </reference>
          <reference field="1" count="1" selected="0">
            <x v="426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969">
      <pivotArea dataOnly="0" labelOnly="1" fieldPosition="0">
        <references count="5">
          <reference field="0" count="1" selected="0">
            <x v="21"/>
          </reference>
          <reference field="1" count="1" selected="0">
            <x v="451"/>
          </reference>
          <reference field="2" count="1" selected="0">
            <x v="34"/>
          </reference>
          <reference field="3" count="1" selected="0">
            <x v="3"/>
          </reference>
          <reference field="4" count="1">
            <x v="51"/>
          </reference>
        </references>
      </pivotArea>
    </format>
    <format dxfId="968">
      <pivotArea collapsedLevelsAreSubtotals="1" fieldPosition="0">
        <references count="5">
          <reference field="0" count="1" selected="0">
            <x v="22"/>
          </reference>
          <reference field="1" count="1" selected="0">
            <x v="90"/>
          </reference>
          <reference field="2" count="1" selected="0">
            <x v="52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967">
      <pivotArea collapsedLevelsAreSubtotals="1" fieldPosition="0">
        <references count="5">
          <reference field="0" count="1" selected="0">
            <x v="22"/>
          </reference>
          <reference field="1" count="1" selected="0">
            <x v="134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28"/>
          </reference>
        </references>
      </pivotArea>
    </format>
    <format dxfId="966">
      <pivotArea collapsedLevelsAreSubtotals="1" fieldPosition="0">
        <references count="5">
          <reference field="0" count="1" selected="0">
            <x v="22"/>
          </reference>
          <reference field="1" count="1" selected="0">
            <x v="164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163"/>
          </reference>
        </references>
      </pivotArea>
    </format>
    <format dxfId="965">
      <pivotArea collapsedLevelsAreSubtotals="1" fieldPosition="0">
        <references count="5">
          <reference field="0" count="1" selected="0">
            <x v="22"/>
          </reference>
          <reference field="1" count="1" selected="0">
            <x v="193"/>
          </reference>
          <reference field="2" count="1" selected="0">
            <x v="52"/>
          </reference>
          <reference field="3" count="1" selected="0">
            <x v="4"/>
          </reference>
          <reference field="4" count="1">
            <x v="204"/>
          </reference>
        </references>
      </pivotArea>
    </format>
    <format dxfId="964">
      <pivotArea collapsedLevelsAreSubtotals="1" fieldPosition="0">
        <references count="5">
          <reference field="0" count="1" selected="0">
            <x v="22"/>
          </reference>
          <reference field="1" count="1" selected="0">
            <x v="222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52"/>
          </reference>
        </references>
      </pivotArea>
    </format>
    <format dxfId="963">
      <pivotArea collapsedLevelsAreSubtotals="1" fieldPosition="0">
        <references count="5">
          <reference field="0" count="1" selected="0">
            <x v="22"/>
          </reference>
          <reference field="1" count="1" selected="0">
            <x v="237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962">
      <pivotArea collapsedLevelsAreSubtotals="1" fieldPosition="0">
        <references count="5">
          <reference field="0" count="1" selected="0">
            <x v="22"/>
          </reference>
          <reference field="1" count="1" selected="0">
            <x v="246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9"/>
          </reference>
        </references>
      </pivotArea>
    </format>
    <format dxfId="961">
      <pivotArea collapsedLevelsAreSubtotals="1" fieldPosition="0">
        <references count="5">
          <reference field="0" count="1" selected="0">
            <x v="22"/>
          </reference>
          <reference field="1" count="1" selected="0">
            <x v="292"/>
          </reference>
          <reference field="2" count="1" selected="0">
            <x v="52"/>
          </reference>
          <reference field="3" count="1" selected="0">
            <x v="4"/>
          </reference>
          <reference field="4" count="1">
            <x v="192"/>
          </reference>
        </references>
      </pivotArea>
    </format>
    <format dxfId="960">
      <pivotArea collapsedLevelsAreSubtotals="1" fieldPosition="0">
        <references count="5">
          <reference field="0" count="1" selected="0">
            <x v="22"/>
          </reference>
          <reference field="1" count="1" selected="0">
            <x v="344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53"/>
          </reference>
        </references>
      </pivotArea>
    </format>
    <format dxfId="959">
      <pivotArea collapsedLevelsAreSubtotals="1" fieldPosition="0">
        <references count="5">
          <reference field="0" count="1" selected="0">
            <x v="22"/>
          </reference>
          <reference field="1" count="1" selected="0">
            <x v="352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958">
      <pivotArea collapsedLevelsAreSubtotals="1" fieldPosition="0">
        <references count="5">
          <reference field="0" count="1" selected="0">
            <x v="22"/>
          </reference>
          <reference field="1" count="1" selected="0">
            <x v="355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957">
      <pivotArea collapsedLevelsAreSubtotals="1" fieldPosition="0">
        <references count="5">
          <reference field="0" count="1" selected="0">
            <x v="22"/>
          </reference>
          <reference field="1" count="1" selected="0">
            <x v="406"/>
          </reference>
          <reference field="2" count="1" selected="0">
            <x v="52"/>
          </reference>
          <reference field="3" count="1" selected="0">
            <x v="4"/>
          </reference>
          <reference field="4" count="1">
            <x v="205"/>
          </reference>
        </references>
      </pivotArea>
    </format>
    <format dxfId="956">
      <pivotArea collapsedLevelsAreSubtotals="1" fieldPosition="0">
        <references count="5">
          <reference field="0" count="1" selected="0">
            <x v="22"/>
          </reference>
          <reference field="1" count="1" selected="0">
            <x v="419"/>
          </reference>
          <reference field="2" count="1" selected="0">
            <x v="52"/>
          </reference>
          <reference field="3" count="1" selected="0">
            <x v="0"/>
          </reference>
          <reference field="4" count="1">
            <x v="48"/>
          </reference>
        </references>
      </pivotArea>
    </format>
    <format dxfId="955">
      <pivotArea collapsedLevelsAreSubtotals="1" fieldPosition="0">
        <references count="2">
          <reference field="0" count="1" selected="0">
            <x v="22"/>
          </reference>
          <reference field="2" count="1" defaultSubtotal="1">
            <x v="52"/>
          </reference>
        </references>
      </pivotArea>
    </format>
    <format dxfId="954">
      <pivotArea dataOnly="0" labelOnly="1" fieldPosition="0">
        <references count="1">
          <reference field="0" count="1">
            <x v="22"/>
          </reference>
        </references>
      </pivotArea>
    </format>
    <format dxfId="953">
      <pivotArea dataOnly="0" labelOnly="1" fieldPosition="0">
        <references count="2">
          <reference field="0" count="1" selected="0">
            <x v="22"/>
          </reference>
          <reference field="2" count="1">
            <x v="52"/>
          </reference>
        </references>
      </pivotArea>
    </format>
    <format dxfId="952">
      <pivotArea dataOnly="0" labelOnly="1" fieldPosition="0">
        <references count="2">
          <reference field="0" count="1" selected="0">
            <x v="22"/>
          </reference>
          <reference field="2" count="1" defaultSubtotal="1">
            <x v="52"/>
          </reference>
        </references>
      </pivotArea>
    </format>
    <format dxfId="951">
      <pivotArea dataOnly="0" labelOnly="1" fieldPosition="0">
        <references count="3">
          <reference field="0" count="1" selected="0">
            <x v="22"/>
          </reference>
          <reference field="1" count="13">
            <x v="90"/>
            <x v="134"/>
            <x v="164"/>
            <x v="193"/>
            <x v="222"/>
            <x v="237"/>
            <x v="246"/>
            <x v="292"/>
            <x v="344"/>
            <x v="352"/>
            <x v="355"/>
            <x v="406"/>
            <x v="419"/>
          </reference>
          <reference field="2" count="1" selected="0">
            <x v="52"/>
          </reference>
        </references>
      </pivotArea>
    </format>
    <format dxfId="950">
      <pivotArea dataOnly="0" labelOnly="1" fieldPosition="0">
        <references count="4">
          <reference field="0" count="1" selected="0">
            <x v="22"/>
          </reference>
          <reference field="1" count="1" selected="0">
            <x v="90"/>
          </reference>
          <reference field="2" count="1" selected="0">
            <x v="52"/>
          </reference>
          <reference field="3" count="1">
            <x v="0"/>
          </reference>
        </references>
      </pivotArea>
    </format>
    <format dxfId="949">
      <pivotArea dataOnly="0" labelOnly="1" fieldPosition="0">
        <references count="4">
          <reference field="0" count="1" selected="0">
            <x v="22"/>
          </reference>
          <reference field="1" count="1" selected="0">
            <x v="134"/>
          </reference>
          <reference field="2" count="1" selected="0">
            <x v="52"/>
          </reference>
          <reference field="3" count="1">
            <x v="3"/>
          </reference>
        </references>
      </pivotArea>
    </format>
    <format dxfId="948">
      <pivotArea dataOnly="0" labelOnly="1" fieldPosition="0">
        <references count="4">
          <reference field="0" count="1" selected="0">
            <x v="22"/>
          </reference>
          <reference field="1" count="1" selected="0">
            <x v="193"/>
          </reference>
          <reference field="2" count="1" selected="0">
            <x v="52"/>
          </reference>
          <reference field="3" count="1">
            <x v="4"/>
          </reference>
        </references>
      </pivotArea>
    </format>
    <format dxfId="947">
      <pivotArea dataOnly="0" labelOnly="1" fieldPosition="0">
        <references count="4">
          <reference field="0" count="1" selected="0">
            <x v="22"/>
          </reference>
          <reference field="1" count="1" selected="0">
            <x v="222"/>
          </reference>
          <reference field="2" count="1" selected="0">
            <x v="52"/>
          </reference>
          <reference field="3" count="1">
            <x v="3"/>
          </reference>
        </references>
      </pivotArea>
    </format>
    <format dxfId="946">
      <pivotArea dataOnly="0" labelOnly="1" fieldPosition="0">
        <references count="4">
          <reference field="0" count="1" selected="0">
            <x v="22"/>
          </reference>
          <reference field="1" count="1" selected="0">
            <x v="292"/>
          </reference>
          <reference field="2" count="1" selected="0">
            <x v="52"/>
          </reference>
          <reference field="3" count="1">
            <x v="4"/>
          </reference>
        </references>
      </pivotArea>
    </format>
    <format dxfId="945">
      <pivotArea dataOnly="0" labelOnly="1" fieldPosition="0">
        <references count="4">
          <reference field="0" count="1" selected="0">
            <x v="22"/>
          </reference>
          <reference field="1" count="1" selected="0">
            <x v="344"/>
          </reference>
          <reference field="2" count="1" selected="0">
            <x v="52"/>
          </reference>
          <reference field="3" count="1">
            <x v="3"/>
          </reference>
        </references>
      </pivotArea>
    </format>
    <format dxfId="944">
      <pivotArea dataOnly="0" labelOnly="1" fieldPosition="0">
        <references count="4">
          <reference field="0" count="1" selected="0">
            <x v="22"/>
          </reference>
          <reference field="1" count="1" selected="0">
            <x v="406"/>
          </reference>
          <reference field="2" count="1" selected="0">
            <x v="52"/>
          </reference>
          <reference field="3" count="1">
            <x v="4"/>
          </reference>
        </references>
      </pivotArea>
    </format>
    <format dxfId="943">
      <pivotArea dataOnly="0" labelOnly="1" fieldPosition="0">
        <references count="4">
          <reference field="0" count="1" selected="0">
            <x v="22"/>
          </reference>
          <reference field="1" count="1" selected="0">
            <x v="419"/>
          </reference>
          <reference field="2" count="1" selected="0">
            <x v="52"/>
          </reference>
          <reference field="3" count="1">
            <x v="0"/>
          </reference>
        </references>
      </pivotArea>
    </format>
    <format dxfId="942">
      <pivotArea dataOnly="0" labelOnly="1" fieldPosition="0">
        <references count="5">
          <reference field="0" count="1" selected="0">
            <x v="22"/>
          </reference>
          <reference field="1" count="1" selected="0">
            <x v="90"/>
          </reference>
          <reference field="2" count="1" selected="0">
            <x v="52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941">
      <pivotArea dataOnly="0" labelOnly="1" fieldPosition="0">
        <references count="5">
          <reference field="0" count="1" selected="0">
            <x v="22"/>
          </reference>
          <reference field="1" count="1" selected="0">
            <x v="134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28"/>
          </reference>
        </references>
      </pivotArea>
    </format>
    <format dxfId="940">
      <pivotArea dataOnly="0" labelOnly="1" fieldPosition="0">
        <references count="5">
          <reference field="0" count="1" selected="0">
            <x v="22"/>
          </reference>
          <reference field="1" count="1" selected="0">
            <x v="164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163"/>
          </reference>
        </references>
      </pivotArea>
    </format>
    <format dxfId="939">
      <pivotArea dataOnly="0" labelOnly="1" fieldPosition="0">
        <references count="5">
          <reference field="0" count="1" selected="0">
            <x v="22"/>
          </reference>
          <reference field="1" count="1" selected="0">
            <x v="193"/>
          </reference>
          <reference field="2" count="1" selected="0">
            <x v="52"/>
          </reference>
          <reference field="3" count="1" selected="0">
            <x v="4"/>
          </reference>
          <reference field="4" count="1">
            <x v="204"/>
          </reference>
        </references>
      </pivotArea>
    </format>
    <format dxfId="938">
      <pivotArea dataOnly="0" labelOnly="1" fieldPosition="0">
        <references count="5">
          <reference field="0" count="1" selected="0">
            <x v="22"/>
          </reference>
          <reference field="1" count="1" selected="0">
            <x v="222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52"/>
          </reference>
        </references>
      </pivotArea>
    </format>
    <format dxfId="937">
      <pivotArea dataOnly="0" labelOnly="1" fieldPosition="0">
        <references count="5">
          <reference field="0" count="1" selected="0">
            <x v="22"/>
          </reference>
          <reference field="1" count="1" selected="0">
            <x v="237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936">
      <pivotArea dataOnly="0" labelOnly="1" fieldPosition="0">
        <references count="5">
          <reference field="0" count="1" selected="0">
            <x v="22"/>
          </reference>
          <reference field="1" count="1" selected="0">
            <x v="246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9"/>
          </reference>
        </references>
      </pivotArea>
    </format>
    <format dxfId="935">
      <pivotArea dataOnly="0" labelOnly="1" fieldPosition="0">
        <references count="5">
          <reference field="0" count="1" selected="0">
            <x v="22"/>
          </reference>
          <reference field="1" count="1" selected="0">
            <x v="292"/>
          </reference>
          <reference field="2" count="1" selected="0">
            <x v="52"/>
          </reference>
          <reference field="3" count="1" selected="0">
            <x v="4"/>
          </reference>
          <reference field="4" count="1">
            <x v="192"/>
          </reference>
        </references>
      </pivotArea>
    </format>
    <format dxfId="934">
      <pivotArea dataOnly="0" labelOnly="1" fieldPosition="0">
        <references count="5">
          <reference field="0" count="1" selected="0">
            <x v="22"/>
          </reference>
          <reference field="1" count="1" selected="0">
            <x v="344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53"/>
          </reference>
        </references>
      </pivotArea>
    </format>
    <format dxfId="933">
      <pivotArea dataOnly="0" labelOnly="1" fieldPosition="0">
        <references count="5">
          <reference field="0" count="1" selected="0">
            <x v="22"/>
          </reference>
          <reference field="1" count="1" selected="0">
            <x v="352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932">
      <pivotArea dataOnly="0" labelOnly="1" fieldPosition="0">
        <references count="5">
          <reference field="0" count="1" selected="0">
            <x v="22"/>
          </reference>
          <reference field="1" count="1" selected="0">
            <x v="355"/>
          </reference>
          <reference field="2" count="1" selected="0">
            <x v="52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931">
      <pivotArea dataOnly="0" labelOnly="1" fieldPosition="0">
        <references count="5">
          <reference field="0" count="1" selected="0">
            <x v="22"/>
          </reference>
          <reference field="1" count="1" selected="0">
            <x v="406"/>
          </reference>
          <reference field="2" count="1" selected="0">
            <x v="52"/>
          </reference>
          <reference field="3" count="1" selected="0">
            <x v="4"/>
          </reference>
          <reference field="4" count="1">
            <x v="205"/>
          </reference>
        </references>
      </pivotArea>
    </format>
    <format dxfId="930">
      <pivotArea dataOnly="0" labelOnly="1" fieldPosition="0">
        <references count="5">
          <reference field="0" count="1" selected="0">
            <x v="22"/>
          </reference>
          <reference field="1" count="1" selected="0">
            <x v="419"/>
          </reference>
          <reference field="2" count="1" selected="0">
            <x v="52"/>
          </reference>
          <reference field="3" count="1" selected="0">
            <x v="0"/>
          </reference>
          <reference field="4" count="1">
            <x v="48"/>
          </reference>
        </references>
      </pivotArea>
    </format>
    <format dxfId="929">
      <pivotArea collapsedLevelsAreSubtotals="1" fieldPosition="0">
        <references count="5">
          <reference field="0" count="1" selected="0">
            <x v="23"/>
          </reference>
          <reference field="1" count="1" selected="0">
            <x v="214"/>
          </reference>
          <reference field="2" count="1" selected="0">
            <x v="40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928">
      <pivotArea collapsedLevelsAreSubtotals="1" fieldPosition="0">
        <references count="2">
          <reference field="0" count="1" selected="0">
            <x v="23"/>
          </reference>
          <reference field="2" count="1" defaultSubtotal="1">
            <x v="40"/>
          </reference>
        </references>
      </pivotArea>
    </format>
    <format dxfId="927">
      <pivotArea dataOnly="0" labelOnly="1" fieldPosition="0">
        <references count="1">
          <reference field="0" count="1">
            <x v="23"/>
          </reference>
        </references>
      </pivotArea>
    </format>
    <format dxfId="926">
      <pivotArea dataOnly="0" labelOnly="1" fieldPosition="0">
        <references count="2">
          <reference field="0" count="1" selected="0">
            <x v="23"/>
          </reference>
          <reference field="2" count="1">
            <x v="40"/>
          </reference>
        </references>
      </pivotArea>
    </format>
    <format dxfId="925">
      <pivotArea dataOnly="0" labelOnly="1" fieldPosition="0">
        <references count="2">
          <reference field="0" count="1" selected="0">
            <x v="23"/>
          </reference>
          <reference field="2" count="1" defaultSubtotal="1">
            <x v="40"/>
          </reference>
        </references>
      </pivotArea>
    </format>
    <format dxfId="924">
      <pivotArea dataOnly="0" labelOnly="1" fieldPosition="0">
        <references count="3">
          <reference field="0" count="1" selected="0">
            <x v="23"/>
          </reference>
          <reference field="1" count="1">
            <x v="214"/>
          </reference>
          <reference field="2" count="1" selected="0">
            <x v="40"/>
          </reference>
        </references>
      </pivotArea>
    </format>
    <format dxfId="923">
      <pivotArea dataOnly="0" labelOnly="1" fieldPosition="0">
        <references count="4">
          <reference field="0" count="1" selected="0">
            <x v="23"/>
          </reference>
          <reference field="1" count="1" selected="0">
            <x v="214"/>
          </reference>
          <reference field="2" count="1" selected="0">
            <x v="40"/>
          </reference>
          <reference field="3" count="1">
            <x v="3"/>
          </reference>
        </references>
      </pivotArea>
    </format>
    <format dxfId="922">
      <pivotArea dataOnly="0" labelOnly="1" fieldPosition="0">
        <references count="5">
          <reference field="0" count="1" selected="0">
            <x v="23"/>
          </reference>
          <reference field="1" count="1" selected="0">
            <x v="214"/>
          </reference>
          <reference field="2" count="1" selected="0">
            <x v="40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921">
      <pivotArea collapsedLevelsAreSubtotals="1" fieldPosition="0">
        <references count="5">
          <reference field="0" count="1" selected="0">
            <x v="24"/>
          </reference>
          <reference field="1" count="1" selected="0">
            <x v="102"/>
          </reference>
          <reference field="2" count="1" selected="0">
            <x v="50"/>
          </reference>
          <reference field="3" count="1" selected="0">
            <x v="3"/>
          </reference>
          <reference field="4" count="1">
            <x v="17"/>
          </reference>
        </references>
      </pivotArea>
    </format>
    <format dxfId="920">
      <pivotArea collapsedLevelsAreSubtotals="1" fieldPosition="0">
        <references count="2">
          <reference field="0" count="1" selected="0">
            <x v="24"/>
          </reference>
          <reference field="2" count="1" defaultSubtotal="1">
            <x v="50"/>
          </reference>
        </references>
      </pivotArea>
    </format>
    <format dxfId="919">
      <pivotArea dataOnly="0" labelOnly="1" fieldPosition="0">
        <references count="1">
          <reference field="0" count="1">
            <x v="24"/>
          </reference>
        </references>
      </pivotArea>
    </format>
    <format dxfId="918">
      <pivotArea dataOnly="0" labelOnly="1" fieldPosition="0">
        <references count="2">
          <reference field="0" count="1" selected="0">
            <x v="24"/>
          </reference>
          <reference field="2" count="1">
            <x v="50"/>
          </reference>
        </references>
      </pivotArea>
    </format>
    <format dxfId="917">
      <pivotArea dataOnly="0" labelOnly="1" fieldPosition="0">
        <references count="2">
          <reference field="0" count="1" selected="0">
            <x v="24"/>
          </reference>
          <reference field="2" count="1" defaultSubtotal="1">
            <x v="50"/>
          </reference>
        </references>
      </pivotArea>
    </format>
    <format dxfId="916">
      <pivotArea dataOnly="0" labelOnly="1" fieldPosition="0">
        <references count="3">
          <reference field="0" count="1" selected="0">
            <x v="24"/>
          </reference>
          <reference field="1" count="1">
            <x v="102"/>
          </reference>
          <reference field="2" count="1" selected="0">
            <x v="50"/>
          </reference>
        </references>
      </pivotArea>
    </format>
    <format dxfId="915">
      <pivotArea dataOnly="0" labelOnly="1" fieldPosition="0">
        <references count="4">
          <reference field="0" count="1" selected="0">
            <x v="24"/>
          </reference>
          <reference field="1" count="1" selected="0">
            <x v="102"/>
          </reference>
          <reference field="2" count="1" selected="0">
            <x v="50"/>
          </reference>
          <reference field="3" count="1">
            <x v="3"/>
          </reference>
        </references>
      </pivotArea>
    </format>
    <format dxfId="914">
      <pivotArea dataOnly="0" labelOnly="1" fieldPosition="0">
        <references count="5">
          <reference field="0" count="1" selected="0">
            <x v="24"/>
          </reference>
          <reference field="1" count="1" selected="0">
            <x v="102"/>
          </reference>
          <reference field="2" count="1" selected="0">
            <x v="50"/>
          </reference>
          <reference field="3" count="1" selected="0">
            <x v="3"/>
          </reference>
          <reference field="4" count="1">
            <x v="17"/>
          </reference>
        </references>
      </pivotArea>
    </format>
    <format dxfId="913">
      <pivotArea collapsedLevelsAreSubtotals="1" fieldPosition="0">
        <references count="5">
          <reference field="0" count="1" selected="0">
            <x v="25"/>
          </reference>
          <reference field="1" count="1" selected="0">
            <x v="45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46"/>
          </reference>
        </references>
      </pivotArea>
    </format>
    <format dxfId="912">
      <pivotArea collapsedLevelsAreSubtotals="1" fieldPosition="0">
        <references count="5">
          <reference field="0" count="1" selected="0">
            <x v="25"/>
          </reference>
          <reference field="1" count="1" selected="0">
            <x v="61"/>
          </reference>
          <reference field="2" count="1" selected="0">
            <x v="49"/>
          </reference>
          <reference field="3" count="1" selected="0">
            <x v="0"/>
          </reference>
          <reference field="4" count="1">
            <x v="57"/>
          </reference>
        </references>
      </pivotArea>
    </format>
    <format dxfId="911">
      <pivotArea collapsedLevelsAreSubtotals="1" fieldPosition="0">
        <references count="5">
          <reference field="0" count="1" selected="0">
            <x v="25"/>
          </reference>
          <reference field="1" count="1" selected="0">
            <x v="216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44"/>
          </reference>
        </references>
      </pivotArea>
    </format>
    <format dxfId="910">
      <pivotArea collapsedLevelsAreSubtotals="1" fieldPosition="0">
        <references count="5">
          <reference field="0" count="1" selected="0">
            <x v="25"/>
          </reference>
          <reference field="1" count="1" selected="0">
            <x v="349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909">
      <pivotArea collapsedLevelsAreSubtotals="1" fieldPosition="0">
        <references count="5">
          <reference field="0" count="1" selected="0">
            <x v="25"/>
          </reference>
          <reference field="1" count="1" selected="0">
            <x v="397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09"/>
          </reference>
        </references>
      </pivotArea>
    </format>
    <format dxfId="908">
      <pivotArea collapsedLevelsAreSubtotals="1" fieldPosition="0">
        <references count="2">
          <reference field="0" count="1" selected="0">
            <x v="25"/>
          </reference>
          <reference field="2" count="1" defaultSubtotal="1">
            <x v="49"/>
          </reference>
        </references>
      </pivotArea>
    </format>
    <format dxfId="907">
      <pivotArea dataOnly="0" labelOnly="1" fieldPosition="0">
        <references count="1">
          <reference field="0" count="1">
            <x v="25"/>
          </reference>
        </references>
      </pivotArea>
    </format>
    <format dxfId="906">
      <pivotArea dataOnly="0" labelOnly="1" fieldPosition="0">
        <references count="2">
          <reference field="0" count="1" selected="0">
            <x v="25"/>
          </reference>
          <reference field="2" count="1">
            <x v="49"/>
          </reference>
        </references>
      </pivotArea>
    </format>
    <format dxfId="905">
      <pivotArea dataOnly="0" labelOnly="1" fieldPosition="0">
        <references count="2">
          <reference field="0" count="1" selected="0">
            <x v="25"/>
          </reference>
          <reference field="2" count="1" defaultSubtotal="1">
            <x v="49"/>
          </reference>
        </references>
      </pivotArea>
    </format>
    <format dxfId="904">
      <pivotArea dataOnly="0" labelOnly="1" fieldPosition="0">
        <references count="3">
          <reference field="0" count="1" selected="0">
            <x v="25"/>
          </reference>
          <reference field="1" count="5">
            <x v="45"/>
            <x v="61"/>
            <x v="216"/>
            <x v="349"/>
            <x v="397"/>
          </reference>
          <reference field="2" count="1" selected="0">
            <x v="49"/>
          </reference>
        </references>
      </pivotArea>
    </format>
    <format dxfId="903">
      <pivotArea dataOnly="0" labelOnly="1" fieldPosition="0">
        <references count="4">
          <reference field="0" count="1" selected="0">
            <x v="25"/>
          </reference>
          <reference field="1" count="1" selected="0">
            <x v="45"/>
          </reference>
          <reference field="2" count="1" selected="0">
            <x v="49"/>
          </reference>
          <reference field="3" count="1">
            <x v="3"/>
          </reference>
        </references>
      </pivotArea>
    </format>
    <format dxfId="902">
      <pivotArea dataOnly="0" labelOnly="1" fieldPosition="0">
        <references count="4">
          <reference field="0" count="1" selected="0">
            <x v="25"/>
          </reference>
          <reference field="1" count="1" selected="0">
            <x v="61"/>
          </reference>
          <reference field="2" count="1" selected="0">
            <x v="49"/>
          </reference>
          <reference field="3" count="1">
            <x v="0"/>
          </reference>
        </references>
      </pivotArea>
    </format>
    <format dxfId="901">
      <pivotArea dataOnly="0" labelOnly="1" fieldPosition="0">
        <references count="4">
          <reference field="0" count="1" selected="0">
            <x v="25"/>
          </reference>
          <reference field="1" count="1" selected="0">
            <x v="216"/>
          </reference>
          <reference field="2" count="1" selected="0">
            <x v="49"/>
          </reference>
          <reference field="3" count="1">
            <x v="3"/>
          </reference>
        </references>
      </pivotArea>
    </format>
    <format dxfId="900">
      <pivotArea dataOnly="0" labelOnly="1" fieldPosition="0">
        <references count="5">
          <reference field="0" count="1" selected="0">
            <x v="25"/>
          </reference>
          <reference field="1" count="1" selected="0">
            <x v="45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46"/>
          </reference>
        </references>
      </pivotArea>
    </format>
    <format dxfId="899">
      <pivotArea dataOnly="0" labelOnly="1" fieldPosition="0">
        <references count="5">
          <reference field="0" count="1" selected="0">
            <x v="25"/>
          </reference>
          <reference field="1" count="1" selected="0">
            <x v="61"/>
          </reference>
          <reference field="2" count="1" selected="0">
            <x v="49"/>
          </reference>
          <reference field="3" count="1" selected="0">
            <x v="0"/>
          </reference>
          <reference field="4" count="1">
            <x v="57"/>
          </reference>
        </references>
      </pivotArea>
    </format>
    <format dxfId="898">
      <pivotArea dataOnly="0" labelOnly="1" fieldPosition="0">
        <references count="5">
          <reference field="0" count="1" selected="0">
            <x v="25"/>
          </reference>
          <reference field="1" count="1" selected="0">
            <x v="216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44"/>
          </reference>
        </references>
      </pivotArea>
    </format>
    <format dxfId="897">
      <pivotArea dataOnly="0" labelOnly="1" fieldPosition="0">
        <references count="5">
          <reference field="0" count="1" selected="0">
            <x v="25"/>
          </reference>
          <reference field="1" count="1" selected="0">
            <x v="349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896">
      <pivotArea dataOnly="0" labelOnly="1" fieldPosition="0">
        <references count="5">
          <reference field="0" count="1" selected="0">
            <x v="25"/>
          </reference>
          <reference field="1" count="1" selected="0">
            <x v="397"/>
          </reference>
          <reference field="2" count="1" selected="0">
            <x v="49"/>
          </reference>
          <reference field="3" count="1" selected="0">
            <x v="3"/>
          </reference>
          <reference field="4" count="1">
            <x v="109"/>
          </reference>
        </references>
      </pivotArea>
    </format>
    <format dxfId="895">
      <pivotArea collapsedLevelsAreSubtotals="1" fieldPosition="0">
        <references count="5">
          <reference field="0" count="1" selected="0">
            <x v="26"/>
          </reference>
          <reference field="1" count="1" selected="0">
            <x v="83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1"/>
          </reference>
        </references>
      </pivotArea>
    </format>
    <format dxfId="894">
      <pivotArea collapsedLevelsAreSubtotals="1" fieldPosition="0">
        <references count="5">
          <reference field="0" count="1" selected="0">
            <x v="26"/>
          </reference>
          <reference field="1" count="1" selected="0">
            <x v="104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893">
      <pivotArea collapsedLevelsAreSubtotals="1" fieldPosition="0">
        <references count="5">
          <reference field="0" count="1" selected="0">
            <x v="26"/>
          </reference>
          <reference field="1" count="1" selected="0">
            <x v="105"/>
          </reference>
          <reference field="2" count="1" selected="0">
            <x v="39"/>
          </reference>
          <reference field="3" count="1" selected="0">
            <x v="4"/>
          </reference>
          <reference field="4" count="1">
            <x v="186"/>
          </reference>
        </references>
      </pivotArea>
    </format>
    <format dxfId="892">
      <pivotArea collapsedLevelsAreSubtotals="1" fieldPosition="0">
        <references count="5">
          <reference field="0" count="1" selected="0">
            <x v="26"/>
          </reference>
          <reference field="1" count="1" selected="0">
            <x v="106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61"/>
          </reference>
        </references>
      </pivotArea>
    </format>
    <format dxfId="891">
      <pivotArea collapsedLevelsAreSubtotals="1" fieldPosition="0">
        <references count="5">
          <reference field="0" count="1" selected="0">
            <x v="26"/>
          </reference>
          <reference field="1" count="1" selected="0">
            <x v="311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890">
      <pivotArea collapsedLevelsAreSubtotals="1" fieldPosition="0">
        <references count="5">
          <reference field="0" count="1" selected="0">
            <x v="26"/>
          </reference>
          <reference field="1" count="1" selected="0">
            <x v="336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0"/>
          </reference>
        </references>
      </pivotArea>
    </format>
    <format dxfId="889">
      <pivotArea collapsedLevelsAreSubtotals="1" fieldPosition="0">
        <references count="5">
          <reference field="0" count="1" selected="0">
            <x v="26"/>
          </reference>
          <reference field="1" count="1" selected="0">
            <x v="365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888">
      <pivotArea collapsedLevelsAreSubtotals="1" fieldPosition="0">
        <references count="5">
          <reference field="0" count="1" selected="0">
            <x v="26"/>
          </reference>
          <reference field="1" count="1" selected="0">
            <x v="416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887">
      <pivotArea collapsedLevelsAreSubtotals="1" fieldPosition="0">
        <references count="5">
          <reference field="0" count="1" selected="0">
            <x v="26"/>
          </reference>
          <reference field="1" count="1" selected="0">
            <x v="422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42"/>
          </reference>
        </references>
      </pivotArea>
    </format>
    <format dxfId="886">
      <pivotArea collapsedLevelsAreSubtotals="1" fieldPosition="0">
        <references count="5">
          <reference field="0" count="1" selected="0">
            <x v="26"/>
          </reference>
          <reference field="1" count="1" selected="0">
            <x v="448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43"/>
          </reference>
        </references>
      </pivotArea>
    </format>
    <format dxfId="885">
      <pivotArea collapsedLevelsAreSubtotals="1" fieldPosition="0">
        <references count="2">
          <reference field="0" count="1" selected="0">
            <x v="26"/>
          </reference>
          <reference field="2" count="1" defaultSubtotal="1">
            <x v="39"/>
          </reference>
        </references>
      </pivotArea>
    </format>
    <format dxfId="884">
      <pivotArea dataOnly="0" labelOnly="1" fieldPosition="0">
        <references count="1">
          <reference field="0" count="1">
            <x v="26"/>
          </reference>
        </references>
      </pivotArea>
    </format>
    <format dxfId="883">
      <pivotArea dataOnly="0" labelOnly="1" fieldPosition="0">
        <references count="2">
          <reference field="0" count="1" selected="0">
            <x v="26"/>
          </reference>
          <reference field="2" count="1">
            <x v="39"/>
          </reference>
        </references>
      </pivotArea>
    </format>
    <format dxfId="882">
      <pivotArea dataOnly="0" labelOnly="1" fieldPosition="0">
        <references count="2">
          <reference field="0" count="1" selected="0">
            <x v="26"/>
          </reference>
          <reference field="2" count="1" defaultSubtotal="1">
            <x v="39"/>
          </reference>
        </references>
      </pivotArea>
    </format>
    <format dxfId="881">
      <pivotArea dataOnly="0" labelOnly="1" fieldPosition="0">
        <references count="3">
          <reference field="0" count="1" selected="0">
            <x v="26"/>
          </reference>
          <reference field="1" count="10">
            <x v="83"/>
            <x v="104"/>
            <x v="105"/>
            <x v="106"/>
            <x v="311"/>
            <x v="336"/>
            <x v="365"/>
            <x v="416"/>
            <x v="422"/>
            <x v="448"/>
          </reference>
          <reference field="2" count="1" selected="0">
            <x v="39"/>
          </reference>
        </references>
      </pivotArea>
    </format>
    <format dxfId="880">
      <pivotArea dataOnly="0" labelOnly="1" fieldPosition="0">
        <references count="4">
          <reference field="0" count="1" selected="0">
            <x v="26"/>
          </reference>
          <reference field="1" count="1" selected="0">
            <x v="83"/>
          </reference>
          <reference field="2" count="1" selected="0">
            <x v="39"/>
          </reference>
          <reference field="3" count="1">
            <x v="3"/>
          </reference>
        </references>
      </pivotArea>
    </format>
    <format dxfId="879">
      <pivotArea dataOnly="0" labelOnly="1" fieldPosition="0">
        <references count="4">
          <reference field="0" count="1" selected="0">
            <x v="26"/>
          </reference>
          <reference field="1" count="1" selected="0">
            <x v="105"/>
          </reference>
          <reference field="2" count="1" selected="0">
            <x v="39"/>
          </reference>
          <reference field="3" count="1">
            <x v="4"/>
          </reference>
        </references>
      </pivotArea>
    </format>
    <format dxfId="878">
      <pivotArea dataOnly="0" labelOnly="1" fieldPosition="0">
        <references count="4">
          <reference field="0" count="1" selected="0">
            <x v="26"/>
          </reference>
          <reference field="1" count="1" selected="0">
            <x v="106"/>
          </reference>
          <reference field="2" count="1" selected="0">
            <x v="39"/>
          </reference>
          <reference field="3" count="1">
            <x v="0"/>
          </reference>
        </references>
      </pivotArea>
    </format>
    <format dxfId="877">
      <pivotArea dataOnly="0" labelOnly="1" fieldPosition="0">
        <references count="4">
          <reference field="0" count="1" selected="0">
            <x v="26"/>
          </reference>
          <reference field="1" count="1" selected="0">
            <x v="311"/>
          </reference>
          <reference field="2" count="1" selected="0">
            <x v="39"/>
          </reference>
          <reference field="3" count="1">
            <x v="3"/>
          </reference>
        </references>
      </pivotArea>
    </format>
    <format dxfId="876">
      <pivotArea dataOnly="0" labelOnly="1" fieldPosition="0">
        <references count="4">
          <reference field="0" count="1" selected="0">
            <x v="26"/>
          </reference>
          <reference field="1" count="1" selected="0">
            <x v="422"/>
          </reference>
          <reference field="2" count="1" selected="0">
            <x v="39"/>
          </reference>
          <reference field="3" count="1">
            <x v="0"/>
          </reference>
        </references>
      </pivotArea>
    </format>
    <format dxfId="875">
      <pivotArea dataOnly="0" labelOnly="1" fieldPosition="0">
        <references count="5">
          <reference field="0" count="1" selected="0">
            <x v="26"/>
          </reference>
          <reference field="1" count="1" selected="0">
            <x v="83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1"/>
          </reference>
        </references>
      </pivotArea>
    </format>
    <format dxfId="874">
      <pivotArea dataOnly="0" labelOnly="1" fieldPosition="0">
        <references count="5">
          <reference field="0" count="1" selected="0">
            <x v="26"/>
          </reference>
          <reference field="1" count="1" selected="0">
            <x v="104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873">
      <pivotArea dataOnly="0" labelOnly="1" fieldPosition="0">
        <references count="5">
          <reference field="0" count="1" selected="0">
            <x v="26"/>
          </reference>
          <reference field="1" count="1" selected="0">
            <x v="105"/>
          </reference>
          <reference field="2" count="1" selected="0">
            <x v="39"/>
          </reference>
          <reference field="3" count="1" selected="0">
            <x v="4"/>
          </reference>
          <reference field="4" count="1">
            <x v="186"/>
          </reference>
        </references>
      </pivotArea>
    </format>
    <format dxfId="872">
      <pivotArea dataOnly="0" labelOnly="1" fieldPosition="0">
        <references count="5">
          <reference field="0" count="1" selected="0">
            <x v="26"/>
          </reference>
          <reference field="1" count="1" selected="0">
            <x v="106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61"/>
          </reference>
        </references>
      </pivotArea>
    </format>
    <format dxfId="871">
      <pivotArea dataOnly="0" labelOnly="1" fieldPosition="0">
        <references count="5">
          <reference field="0" count="1" selected="0">
            <x v="26"/>
          </reference>
          <reference field="1" count="1" selected="0">
            <x v="311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870">
      <pivotArea dataOnly="0" labelOnly="1" fieldPosition="0">
        <references count="5">
          <reference field="0" count="1" selected="0">
            <x v="26"/>
          </reference>
          <reference field="1" count="1" selected="0">
            <x v="336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0"/>
          </reference>
        </references>
      </pivotArea>
    </format>
    <format dxfId="869">
      <pivotArea dataOnly="0" labelOnly="1" fieldPosition="0">
        <references count="5">
          <reference field="0" count="1" selected="0">
            <x v="26"/>
          </reference>
          <reference field="1" count="1" selected="0">
            <x v="365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868">
      <pivotArea dataOnly="0" labelOnly="1" fieldPosition="0">
        <references count="5">
          <reference field="0" count="1" selected="0">
            <x v="26"/>
          </reference>
          <reference field="1" count="1" selected="0">
            <x v="416"/>
          </reference>
          <reference field="2" count="1" selected="0">
            <x v="39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867">
      <pivotArea dataOnly="0" labelOnly="1" fieldPosition="0">
        <references count="5">
          <reference field="0" count="1" selected="0">
            <x v="26"/>
          </reference>
          <reference field="1" count="1" selected="0">
            <x v="422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42"/>
          </reference>
        </references>
      </pivotArea>
    </format>
    <format dxfId="866">
      <pivotArea dataOnly="0" labelOnly="1" fieldPosition="0">
        <references count="5">
          <reference field="0" count="1" selected="0">
            <x v="26"/>
          </reference>
          <reference field="1" count="1" selected="0">
            <x v="448"/>
          </reference>
          <reference field="2" count="1" selected="0">
            <x v="39"/>
          </reference>
          <reference field="3" count="1" selected="0">
            <x v="0"/>
          </reference>
          <reference field="4" count="1">
            <x v="43"/>
          </reference>
        </references>
      </pivotArea>
    </format>
    <format dxfId="865">
      <pivotArea collapsedLevelsAreSubtotals="1" fieldPosition="0">
        <references count="5">
          <reference field="0" count="1" selected="0">
            <x v="27"/>
          </reference>
          <reference field="1" count="1" selected="0">
            <x v="5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36"/>
          </reference>
        </references>
      </pivotArea>
    </format>
    <format dxfId="864">
      <pivotArea collapsedLevelsAreSubtotals="1" fieldPosition="0">
        <references count="5">
          <reference field="0" count="1" selected="0">
            <x v="27"/>
          </reference>
          <reference field="1" count="1" selected="0">
            <x v="6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863">
      <pivotArea collapsedLevelsAreSubtotals="1" fieldPosition="0">
        <references count="5">
          <reference field="0" count="1" selected="0">
            <x v="27"/>
          </reference>
          <reference field="1" count="1" selected="0">
            <x v="26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862">
      <pivotArea collapsedLevelsAreSubtotals="1" fieldPosition="0">
        <references count="5">
          <reference field="0" count="1" selected="0">
            <x v="27"/>
          </reference>
          <reference field="1" count="1" selected="0">
            <x v="7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861">
      <pivotArea collapsedLevelsAreSubtotals="1" fieldPosition="0">
        <references count="5">
          <reference field="0" count="1" selected="0">
            <x v="27"/>
          </reference>
          <reference field="1" count="1" selected="0">
            <x v="116"/>
          </reference>
          <reference field="2" count="1" selected="0">
            <x v="58"/>
          </reference>
          <reference field="3" count="1" selected="0">
            <x v="0"/>
          </reference>
          <reference field="4" count="1">
            <x v="158"/>
          </reference>
        </references>
      </pivotArea>
    </format>
    <format dxfId="860">
      <pivotArea collapsedLevelsAreSubtotals="1" fieldPosition="0">
        <references count="5">
          <reference field="0" count="1" selected="0">
            <x v="27"/>
          </reference>
          <reference field="1" count="1" selected="0">
            <x v="123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128"/>
          </reference>
        </references>
      </pivotArea>
    </format>
    <format dxfId="859">
      <pivotArea collapsedLevelsAreSubtotals="1" fieldPosition="0">
        <references count="5">
          <reference field="0" count="1" selected="0">
            <x v="27"/>
          </reference>
          <reference field="1" count="1" selected="0">
            <x v="160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207"/>
          </reference>
        </references>
      </pivotArea>
    </format>
    <format dxfId="858">
      <pivotArea collapsedLevelsAreSubtotals="1" fieldPosition="0">
        <references count="5">
          <reference field="0" count="1" selected="0">
            <x v="27"/>
          </reference>
          <reference field="1" count="1" selected="0">
            <x v="161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177"/>
          </reference>
        </references>
      </pivotArea>
    </format>
    <format dxfId="857">
      <pivotArea collapsedLevelsAreSubtotals="1" fieldPosition="0">
        <references count="5">
          <reference field="0" count="1" selected="0">
            <x v="27"/>
          </reference>
          <reference field="1" count="1" selected="0">
            <x v="198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856">
      <pivotArea collapsedLevelsAreSubtotals="1" fieldPosition="0">
        <references count="5">
          <reference field="0" count="1" selected="0">
            <x v="27"/>
          </reference>
          <reference field="1" count="1" selected="0">
            <x v="28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855">
      <pivotArea collapsedLevelsAreSubtotals="1" fieldPosition="0">
        <references count="5">
          <reference field="0" count="1" selected="0">
            <x v="27"/>
          </reference>
          <reference field="1" count="1" selected="0">
            <x v="284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854">
      <pivotArea collapsedLevelsAreSubtotals="1" fieldPosition="0">
        <references count="5">
          <reference field="0" count="1" selected="0">
            <x v="27"/>
          </reference>
          <reference field="1" count="1" selected="0">
            <x v="318"/>
          </reference>
          <reference field="2" count="1" selected="0">
            <x v="58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853">
      <pivotArea collapsedLevelsAreSubtotals="1" fieldPosition="0">
        <references count="5">
          <reference field="0" count="1" selected="0">
            <x v="27"/>
          </reference>
          <reference field="1" count="1" selected="0">
            <x v="34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78"/>
          </reference>
        </references>
      </pivotArea>
    </format>
    <format dxfId="852">
      <pivotArea collapsedLevelsAreSubtotals="1" fieldPosition="0">
        <references count="5">
          <reference field="0" count="1" selected="0">
            <x v="27"/>
          </reference>
          <reference field="1" count="1" selected="0">
            <x v="347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851">
      <pivotArea collapsedLevelsAreSubtotals="1" fieldPosition="0">
        <references count="5">
          <reference field="0" count="1" selected="0">
            <x v="27"/>
          </reference>
          <reference field="1" count="1" selected="0">
            <x v="36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850">
      <pivotArea collapsedLevelsAreSubtotals="1" fieldPosition="0">
        <references count="5">
          <reference field="0" count="1" selected="0">
            <x v="27"/>
          </reference>
          <reference field="1" count="1" selected="0">
            <x v="399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849">
      <pivotArea collapsedLevelsAreSubtotals="1" fieldPosition="0">
        <references count="5">
          <reference field="0" count="1" selected="0">
            <x v="27"/>
          </reference>
          <reference field="1" count="1" selected="0">
            <x v="417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206"/>
          </reference>
        </references>
      </pivotArea>
    </format>
    <format dxfId="848">
      <pivotArea collapsedLevelsAreSubtotals="1" fieldPosition="0">
        <references count="5">
          <reference field="0" count="1" selected="0">
            <x v="27"/>
          </reference>
          <reference field="1" count="1" selected="0">
            <x v="437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847">
      <pivotArea collapsedLevelsAreSubtotals="1" fieldPosition="0">
        <references count="2">
          <reference field="0" count="1" selected="0">
            <x v="27"/>
          </reference>
          <reference field="2" count="1" defaultSubtotal="1">
            <x v="58"/>
          </reference>
        </references>
      </pivotArea>
    </format>
    <format dxfId="846">
      <pivotArea dataOnly="0" labelOnly="1" fieldPosition="0">
        <references count="1">
          <reference field="0" count="1">
            <x v="27"/>
          </reference>
        </references>
      </pivotArea>
    </format>
    <format dxfId="845">
      <pivotArea dataOnly="0" labelOnly="1" fieldPosition="0">
        <references count="2">
          <reference field="0" count="1" selected="0">
            <x v="27"/>
          </reference>
          <reference field="2" count="1">
            <x v="58"/>
          </reference>
        </references>
      </pivotArea>
    </format>
    <format dxfId="844">
      <pivotArea dataOnly="0" labelOnly="1" fieldPosition="0">
        <references count="2">
          <reference field="0" count="1" selected="0">
            <x v="27"/>
          </reference>
          <reference field="2" count="1" defaultSubtotal="1">
            <x v="58"/>
          </reference>
        </references>
      </pivotArea>
    </format>
    <format dxfId="843">
      <pivotArea dataOnly="0" labelOnly="1" fieldPosition="0">
        <references count="3">
          <reference field="0" count="1" selected="0">
            <x v="27"/>
          </reference>
          <reference field="1" count="18">
            <x v="5"/>
            <x v="6"/>
            <x v="26"/>
            <x v="70"/>
            <x v="116"/>
            <x v="123"/>
            <x v="160"/>
            <x v="161"/>
            <x v="198"/>
            <x v="280"/>
            <x v="284"/>
            <x v="318"/>
            <x v="340"/>
            <x v="347"/>
            <x v="360"/>
            <x v="399"/>
            <x v="417"/>
            <x v="437"/>
          </reference>
          <reference field="2" count="1" selected="0">
            <x v="58"/>
          </reference>
        </references>
      </pivotArea>
    </format>
    <format dxfId="842">
      <pivotArea dataOnly="0" labelOnly="1" fieldPosition="0">
        <references count="4">
          <reference field="0" count="1" selected="0">
            <x v="27"/>
          </reference>
          <reference field="1" count="1" selected="0">
            <x v="5"/>
          </reference>
          <reference field="2" count="1" selected="0">
            <x v="58"/>
          </reference>
          <reference field="3" count="1">
            <x v="3"/>
          </reference>
        </references>
      </pivotArea>
    </format>
    <format dxfId="841">
      <pivotArea dataOnly="0" labelOnly="1" fieldPosition="0">
        <references count="4">
          <reference field="0" count="1" selected="0">
            <x v="27"/>
          </reference>
          <reference field="1" count="1" selected="0">
            <x v="116"/>
          </reference>
          <reference field="2" count="1" selected="0">
            <x v="58"/>
          </reference>
          <reference field="3" count="1">
            <x v="0"/>
          </reference>
        </references>
      </pivotArea>
    </format>
    <format dxfId="840">
      <pivotArea dataOnly="0" labelOnly="1" fieldPosition="0">
        <references count="4">
          <reference field="0" count="1" selected="0">
            <x v="27"/>
          </reference>
          <reference field="1" count="1" selected="0">
            <x v="123"/>
          </reference>
          <reference field="2" count="1" selected="0">
            <x v="58"/>
          </reference>
          <reference field="3" count="1">
            <x v="3"/>
          </reference>
        </references>
      </pivotArea>
    </format>
    <format dxfId="839">
      <pivotArea dataOnly="0" labelOnly="1" fieldPosition="0">
        <references count="4">
          <reference field="0" count="1" selected="0">
            <x v="27"/>
          </reference>
          <reference field="1" count="1" selected="0">
            <x v="160"/>
          </reference>
          <reference field="2" count="1" selected="0">
            <x v="58"/>
          </reference>
          <reference field="3" count="1">
            <x v="4"/>
          </reference>
        </references>
      </pivotArea>
    </format>
    <format dxfId="838">
      <pivotArea dataOnly="0" labelOnly="1" fieldPosition="0">
        <references count="4">
          <reference field="0" count="1" selected="0">
            <x v="27"/>
          </reference>
          <reference field="1" count="1" selected="0">
            <x v="198"/>
          </reference>
          <reference field="2" count="1" selected="0">
            <x v="58"/>
          </reference>
          <reference field="3" count="1">
            <x v="3"/>
          </reference>
        </references>
      </pivotArea>
    </format>
    <format dxfId="837">
      <pivotArea dataOnly="0" labelOnly="1" fieldPosition="0">
        <references count="4">
          <reference field="0" count="1" selected="0">
            <x v="27"/>
          </reference>
          <reference field="1" count="1" selected="0">
            <x v="318"/>
          </reference>
          <reference field="2" count="1" selected="0">
            <x v="58"/>
          </reference>
          <reference field="3" count="1">
            <x v="0"/>
          </reference>
        </references>
      </pivotArea>
    </format>
    <format dxfId="836">
      <pivotArea dataOnly="0" labelOnly="1" fieldPosition="0">
        <references count="4">
          <reference field="0" count="1" selected="0">
            <x v="27"/>
          </reference>
          <reference field="1" count="1" selected="0">
            <x v="340"/>
          </reference>
          <reference field="2" count="1" selected="0">
            <x v="58"/>
          </reference>
          <reference field="3" count="1">
            <x v="3"/>
          </reference>
        </references>
      </pivotArea>
    </format>
    <format dxfId="835">
      <pivotArea dataOnly="0" labelOnly="1" fieldPosition="0">
        <references count="4">
          <reference field="0" count="1" selected="0">
            <x v="27"/>
          </reference>
          <reference field="1" count="1" selected="0">
            <x v="417"/>
          </reference>
          <reference field="2" count="1" selected="0">
            <x v="58"/>
          </reference>
          <reference field="3" count="1">
            <x v="4"/>
          </reference>
        </references>
      </pivotArea>
    </format>
    <format dxfId="834">
      <pivotArea dataOnly="0" labelOnly="1" fieldPosition="0">
        <references count="4">
          <reference field="0" count="1" selected="0">
            <x v="27"/>
          </reference>
          <reference field="1" count="1" selected="0">
            <x v="437"/>
          </reference>
          <reference field="2" count="1" selected="0">
            <x v="58"/>
          </reference>
          <reference field="3" count="1">
            <x v="3"/>
          </reference>
        </references>
      </pivotArea>
    </format>
    <format dxfId="833">
      <pivotArea dataOnly="0" labelOnly="1" fieldPosition="0">
        <references count="5">
          <reference field="0" count="1" selected="0">
            <x v="27"/>
          </reference>
          <reference field="1" count="1" selected="0">
            <x v="5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36"/>
          </reference>
        </references>
      </pivotArea>
    </format>
    <format dxfId="832">
      <pivotArea dataOnly="0" labelOnly="1" fieldPosition="0">
        <references count="5">
          <reference field="0" count="1" selected="0">
            <x v="27"/>
          </reference>
          <reference field="1" count="1" selected="0">
            <x v="6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37"/>
          </reference>
        </references>
      </pivotArea>
    </format>
    <format dxfId="831">
      <pivotArea dataOnly="0" labelOnly="1" fieldPosition="0">
        <references count="5">
          <reference field="0" count="1" selected="0">
            <x v="27"/>
          </reference>
          <reference field="1" count="1" selected="0">
            <x v="26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830">
      <pivotArea dataOnly="0" labelOnly="1" fieldPosition="0">
        <references count="5">
          <reference field="0" count="1" selected="0">
            <x v="27"/>
          </reference>
          <reference field="1" count="1" selected="0">
            <x v="7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829">
      <pivotArea dataOnly="0" labelOnly="1" fieldPosition="0">
        <references count="5">
          <reference field="0" count="1" selected="0">
            <x v="27"/>
          </reference>
          <reference field="1" count="1" selected="0">
            <x v="116"/>
          </reference>
          <reference field="2" count="1" selected="0">
            <x v="58"/>
          </reference>
          <reference field="3" count="1" selected="0">
            <x v="0"/>
          </reference>
          <reference field="4" count="1">
            <x v="158"/>
          </reference>
        </references>
      </pivotArea>
    </format>
    <format dxfId="828">
      <pivotArea dataOnly="0" labelOnly="1" fieldPosition="0">
        <references count="5">
          <reference field="0" count="1" selected="0">
            <x v="27"/>
          </reference>
          <reference field="1" count="1" selected="0">
            <x v="123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128"/>
          </reference>
        </references>
      </pivotArea>
    </format>
    <format dxfId="827">
      <pivotArea dataOnly="0" labelOnly="1" fieldPosition="0">
        <references count="5">
          <reference field="0" count="1" selected="0">
            <x v="27"/>
          </reference>
          <reference field="1" count="1" selected="0">
            <x v="160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207"/>
          </reference>
        </references>
      </pivotArea>
    </format>
    <format dxfId="826">
      <pivotArea dataOnly="0" labelOnly="1" fieldPosition="0">
        <references count="5">
          <reference field="0" count="1" selected="0">
            <x v="27"/>
          </reference>
          <reference field="1" count="1" selected="0">
            <x v="161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177"/>
          </reference>
        </references>
      </pivotArea>
    </format>
    <format dxfId="825">
      <pivotArea dataOnly="0" labelOnly="1" fieldPosition="0">
        <references count="5">
          <reference field="0" count="1" selected="0">
            <x v="27"/>
          </reference>
          <reference field="1" count="1" selected="0">
            <x v="198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824">
      <pivotArea dataOnly="0" labelOnly="1" fieldPosition="0">
        <references count="5">
          <reference field="0" count="1" selected="0">
            <x v="27"/>
          </reference>
          <reference field="1" count="1" selected="0">
            <x v="28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823">
      <pivotArea dataOnly="0" labelOnly="1" fieldPosition="0">
        <references count="5">
          <reference field="0" count="1" selected="0">
            <x v="27"/>
          </reference>
          <reference field="1" count="1" selected="0">
            <x v="284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822">
      <pivotArea dataOnly="0" labelOnly="1" fieldPosition="0">
        <references count="5">
          <reference field="0" count="1" selected="0">
            <x v="27"/>
          </reference>
          <reference field="1" count="1" selected="0">
            <x v="318"/>
          </reference>
          <reference field="2" count="1" selected="0">
            <x v="58"/>
          </reference>
          <reference field="3" count="1" selected="0">
            <x v="0"/>
          </reference>
          <reference field="4" count="1">
            <x v="47"/>
          </reference>
        </references>
      </pivotArea>
    </format>
    <format dxfId="821">
      <pivotArea dataOnly="0" labelOnly="1" fieldPosition="0">
        <references count="5">
          <reference field="0" count="1" selected="0">
            <x v="27"/>
          </reference>
          <reference field="1" count="1" selected="0">
            <x v="34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78"/>
          </reference>
        </references>
      </pivotArea>
    </format>
    <format dxfId="820">
      <pivotArea dataOnly="0" labelOnly="1" fieldPosition="0">
        <references count="5">
          <reference field="0" count="1" selected="0">
            <x v="27"/>
          </reference>
          <reference field="1" count="1" selected="0">
            <x v="347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819">
      <pivotArea dataOnly="0" labelOnly="1" fieldPosition="0">
        <references count="5">
          <reference field="0" count="1" selected="0">
            <x v="27"/>
          </reference>
          <reference field="1" count="1" selected="0">
            <x v="360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818">
      <pivotArea dataOnly="0" labelOnly="1" fieldPosition="0">
        <references count="5">
          <reference field="0" count="1" selected="0">
            <x v="27"/>
          </reference>
          <reference field="1" count="1" selected="0">
            <x v="399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817">
      <pivotArea dataOnly="0" labelOnly="1" fieldPosition="0">
        <references count="5">
          <reference field="0" count="1" selected="0">
            <x v="27"/>
          </reference>
          <reference field="1" count="1" selected="0">
            <x v="417"/>
          </reference>
          <reference field="2" count="1" selected="0">
            <x v="58"/>
          </reference>
          <reference field="3" count="1" selected="0">
            <x v="4"/>
          </reference>
          <reference field="4" count="1">
            <x v="206"/>
          </reference>
        </references>
      </pivotArea>
    </format>
    <format dxfId="816">
      <pivotArea dataOnly="0" labelOnly="1" fieldPosition="0">
        <references count="5">
          <reference field="0" count="1" selected="0">
            <x v="27"/>
          </reference>
          <reference field="1" count="1" selected="0">
            <x v="437"/>
          </reference>
          <reference field="2" count="1" selected="0">
            <x v="5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815">
      <pivotArea collapsedLevelsAreSubtotals="1" fieldPosition="0">
        <references count="5">
          <reference field="0" count="1" selected="0">
            <x v="28"/>
          </reference>
          <reference field="1" count="1" selected="0">
            <x v="382"/>
          </reference>
          <reference field="2" count="1" selected="0">
            <x v="6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814">
      <pivotArea collapsedLevelsAreSubtotals="1" fieldPosition="0">
        <references count="2">
          <reference field="0" count="1" selected="0">
            <x v="28"/>
          </reference>
          <reference field="2" count="1" defaultSubtotal="1">
            <x v="65"/>
          </reference>
        </references>
      </pivotArea>
    </format>
    <format dxfId="813">
      <pivotArea dataOnly="0" labelOnly="1" fieldPosition="0">
        <references count="1">
          <reference field="0" count="1">
            <x v="28"/>
          </reference>
        </references>
      </pivotArea>
    </format>
    <format dxfId="812">
      <pivotArea dataOnly="0" labelOnly="1" fieldPosition="0">
        <references count="2">
          <reference field="0" count="1" selected="0">
            <x v="28"/>
          </reference>
          <reference field="2" count="1">
            <x v="65"/>
          </reference>
        </references>
      </pivotArea>
    </format>
    <format dxfId="811">
      <pivotArea dataOnly="0" labelOnly="1" fieldPosition="0">
        <references count="2">
          <reference field="0" count="1" selected="0">
            <x v="28"/>
          </reference>
          <reference field="2" count="1" defaultSubtotal="1">
            <x v="65"/>
          </reference>
        </references>
      </pivotArea>
    </format>
    <format dxfId="810">
      <pivotArea dataOnly="0" labelOnly="1" fieldPosition="0">
        <references count="3">
          <reference field="0" count="1" selected="0">
            <x v="28"/>
          </reference>
          <reference field="1" count="1">
            <x v="382"/>
          </reference>
          <reference field="2" count="1" selected="0">
            <x v="65"/>
          </reference>
        </references>
      </pivotArea>
    </format>
    <format dxfId="809">
      <pivotArea dataOnly="0" labelOnly="1" fieldPosition="0">
        <references count="4">
          <reference field="0" count="1" selected="0">
            <x v="28"/>
          </reference>
          <reference field="1" count="1" selected="0">
            <x v="382"/>
          </reference>
          <reference field="2" count="1" selected="0">
            <x v="65"/>
          </reference>
          <reference field="3" count="1">
            <x v="3"/>
          </reference>
        </references>
      </pivotArea>
    </format>
    <format dxfId="808">
      <pivotArea dataOnly="0" labelOnly="1" fieldPosition="0">
        <references count="5">
          <reference field="0" count="1" selected="0">
            <x v="28"/>
          </reference>
          <reference field="1" count="1" selected="0">
            <x v="382"/>
          </reference>
          <reference field="2" count="1" selected="0">
            <x v="6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807">
      <pivotArea collapsedLevelsAreSubtotals="1" fieldPosition="0">
        <references count="5">
          <reference field="0" count="1" selected="0">
            <x v="29"/>
          </reference>
          <reference field="1" count="1" selected="0">
            <x v="165"/>
          </reference>
          <reference field="2" count="1" selected="0">
            <x v="35"/>
          </reference>
          <reference field="3" count="1" selected="0">
            <x v="4"/>
          </reference>
          <reference field="4" count="1">
            <x v="210"/>
          </reference>
        </references>
      </pivotArea>
    </format>
    <format dxfId="806">
      <pivotArea collapsedLevelsAreSubtotals="1" fieldPosition="0">
        <references count="5">
          <reference field="0" count="1" selected="0">
            <x v="29"/>
          </reference>
          <reference field="1" count="1" selected="0">
            <x v="338"/>
          </reference>
          <reference field="2" count="1" selected="0">
            <x v="35"/>
          </reference>
          <reference field="3" count="1" selected="0">
            <x v="4"/>
          </reference>
          <reference field="4" count="1">
            <x v="206"/>
          </reference>
        </references>
      </pivotArea>
    </format>
    <format dxfId="805">
      <pivotArea collapsedLevelsAreSubtotals="1" fieldPosition="0">
        <references count="5">
          <reference field="0" count="1" selected="0">
            <x v="29"/>
          </reference>
          <reference field="1" count="1" selected="0">
            <x v="418"/>
          </reference>
          <reference field="2" count="1" selected="0">
            <x v="35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804">
      <pivotArea collapsedLevelsAreSubtotals="1" fieldPosition="0">
        <references count="2">
          <reference field="0" count="1" selected="0">
            <x v="29"/>
          </reference>
          <reference field="2" count="1" defaultSubtotal="1">
            <x v="35"/>
          </reference>
        </references>
      </pivotArea>
    </format>
    <format dxfId="803">
      <pivotArea dataOnly="0" labelOnly="1" fieldPosition="0">
        <references count="1">
          <reference field="0" count="1">
            <x v="29"/>
          </reference>
        </references>
      </pivotArea>
    </format>
    <format dxfId="802">
      <pivotArea dataOnly="0" labelOnly="1" fieldPosition="0">
        <references count="2">
          <reference field="0" count="1" selected="0">
            <x v="29"/>
          </reference>
          <reference field="2" count="1">
            <x v="35"/>
          </reference>
        </references>
      </pivotArea>
    </format>
    <format dxfId="801">
      <pivotArea dataOnly="0" labelOnly="1" fieldPosition="0">
        <references count="2">
          <reference field="0" count="1" selected="0">
            <x v="29"/>
          </reference>
          <reference field="2" count="1" defaultSubtotal="1">
            <x v="35"/>
          </reference>
        </references>
      </pivotArea>
    </format>
    <format dxfId="800">
      <pivotArea dataOnly="0" labelOnly="1" fieldPosition="0">
        <references count="3">
          <reference field="0" count="1" selected="0">
            <x v="29"/>
          </reference>
          <reference field="1" count="3">
            <x v="165"/>
            <x v="338"/>
            <x v="418"/>
          </reference>
          <reference field="2" count="1" selected="0">
            <x v="35"/>
          </reference>
        </references>
      </pivotArea>
    </format>
    <format dxfId="799">
      <pivotArea dataOnly="0" labelOnly="1" fieldPosition="0">
        <references count="4">
          <reference field="0" count="1" selected="0">
            <x v="29"/>
          </reference>
          <reference field="1" count="1" selected="0">
            <x v="165"/>
          </reference>
          <reference field="2" count="1" selected="0">
            <x v="35"/>
          </reference>
          <reference field="3" count="1">
            <x v="4"/>
          </reference>
        </references>
      </pivotArea>
    </format>
    <format dxfId="798">
      <pivotArea dataOnly="0" labelOnly="1" fieldPosition="0">
        <references count="4">
          <reference field="0" count="1" selected="0">
            <x v="29"/>
          </reference>
          <reference field="1" count="1" selected="0">
            <x v="418"/>
          </reference>
          <reference field="2" count="1" selected="0">
            <x v="35"/>
          </reference>
          <reference field="3" count="1">
            <x v="3"/>
          </reference>
        </references>
      </pivotArea>
    </format>
    <format dxfId="797">
      <pivotArea dataOnly="0" labelOnly="1" fieldPosition="0">
        <references count="5">
          <reference field="0" count="1" selected="0">
            <x v="29"/>
          </reference>
          <reference field="1" count="1" selected="0">
            <x v="165"/>
          </reference>
          <reference field="2" count="1" selected="0">
            <x v="35"/>
          </reference>
          <reference field="3" count="1" selected="0">
            <x v="4"/>
          </reference>
          <reference field="4" count="1">
            <x v="210"/>
          </reference>
        </references>
      </pivotArea>
    </format>
    <format dxfId="796">
      <pivotArea dataOnly="0" labelOnly="1" fieldPosition="0">
        <references count="5">
          <reference field="0" count="1" selected="0">
            <x v="29"/>
          </reference>
          <reference field="1" count="1" selected="0">
            <x v="338"/>
          </reference>
          <reference field="2" count="1" selected="0">
            <x v="35"/>
          </reference>
          <reference field="3" count="1" selected="0">
            <x v="4"/>
          </reference>
          <reference field="4" count="1">
            <x v="206"/>
          </reference>
        </references>
      </pivotArea>
    </format>
    <format dxfId="795">
      <pivotArea dataOnly="0" labelOnly="1" fieldPosition="0">
        <references count="5">
          <reference field="0" count="1" selected="0">
            <x v="29"/>
          </reference>
          <reference field="1" count="1" selected="0">
            <x v="418"/>
          </reference>
          <reference field="2" count="1" selected="0">
            <x v="35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794">
      <pivotArea collapsedLevelsAreSubtotals="1" fieldPosition="0">
        <references count="5">
          <reference field="0" count="1" selected="0">
            <x v="30"/>
          </reference>
          <reference field="1" count="1" selected="0">
            <x v="57"/>
          </reference>
          <reference field="2" count="1" selected="0">
            <x v="10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793">
      <pivotArea collapsedLevelsAreSubtotals="1" fieldPosition="0">
        <references count="5">
          <reference field="0" count="1" selected="0">
            <x v="30"/>
          </reference>
          <reference field="1" count="1" selected="0">
            <x v="260"/>
          </reference>
          <reference field="2" count="1" selected="0">
            <x v="10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792">
      <pivotArea collapsedLevelsAreSubtotals="1" fieldPosition="0">
        <references count="2">
          <reference field="0" count="1" selected="0">
            <x v="30"/>
          </reference>
          <reference field="2" count="1" defaultSubtotal="1">
            <x v="10"/>
          </reference>
        </references>
      </pivotArea>
    </format>
    <format dxfId="791">
      <pivotArea dataOnly="0" labelOnly="1" fieldPosition="0">
        <references count="1">
          <reference field="0" count="1">
            <x v="30"/>
          </reference>
        </references>
      </pivotArea>
    </format>
    <format dxfId="790">
      <pivotArea dataOnly="0" labelOnly="1" fieldPosition="0">
        <references count="2">
          <reference field="0" count="1" selected="0">
            <x v="30"/>
          </reference>
          <reference field="2" count="1">
            <x v="10"/>
          </reference>
        </references>
      </pivotArea>
    </format>
    <format dxfId="789">
      <pivotArea dataOnly="0" labelOnly="1" fieldPosition="0">
        <references count="2">
          <reference field="0" count="1" selected="0">
            <x v="30"/>
          </reference>
          <reference field="2" count="1" defaultSubtotal="1">
            <x v="10"/>
          </reference>
        </references>
      </pivotArea>
    </format>
    <format dxfId="788">
      <pivotArea dataOnly="0" labelOnly="1" fieldPosition="0">
        <references count="3">
          <reference field="0" count="1" selected="0">
            <x v="30"/>
          </reference>
          <reference field="1" count="2">
            <x v="57"/>
            <x v="260"/>
          </reference>
          <reference field="2" count="1" selected="0">
            <x v="10"/>
          </reference>
        </references>
      </pivotArea>
    </format>
    <format dxfId="787">
      <pivotArea dataOnly="0" labelOnly="1" fieldPosition="0">
        <references count="4">
          <reference field="0" count="1" selected="0">
            <x v="30"/>
          </reference>
          <reference field="1" count="1" selected="0">
            <x v="57"/>
          </reference>
          <reference field="2" count="1" selected="0">
            <x v="10"/>
          </reference>
          <reference field="3" count="1">
            <x v="3"/>
          </reference>
        </references>
      </pivotArea>
    </format>
    <format dxfId="786">
      <pivotArea dataOnly="0" labelOnly="1" fieldPosition="0">
        <references count="5">
          <reference field="0" count="1" selected="0">
            <x v="30"/>
          </reference>
          <reference field="1" count="1" selected="0">
            <x v="57"/>
          </reference>
          <reference field="2" count="1" selected="0">
            <x v="10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785">
      <pivotArea dataOnly="0" labelOnly="1" fieldPosition="0">
        <references count="5">
          <reference field="0" count="1" selected="0">
            <x v="30"/>
          </reference>
          <reference field="1" count="1" selected="0">
            <x v="260"/>
          </reference>
          <reference field="2" count="1" selected="0">
            <x v="10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784">
      <pivotArea collapsedLevelsAreSubtotals="1" fieldPosition="0">
        <references count="5">
          <reference field="0" count="1" selected="0">
            <x v="31"/>
          </reference>
          <reference field="1" count="1" selected="0">
            <x v="11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783">
      <pivotArea collapsedLevelsAreSubtotals="1" fieldPosition="0">
        <references count="5">
          <reference field="0" count="1" selected="0">
            <x v="31"/>
          </reference>
          <reference field="1" count="1" selected="0">
            <x v="67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165"/>
          </reference>
        </references>
      </pivotArea>
    </format>
    <format dxfId="782">
      <pivotArea collapsedLevelsAreSubtotals="1" fieldPosition="0">
        <references count="5">
          <reference field="0" count="1" selected="0">
            <x v="31"/>
          </reference>
          <reference field="1" count="1" selected="0">
            <x v="427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781">
      <pivotArea collapsedLevelsAreSubtotals="1" fieldPosition="0">
        <references count="5">
          <reference field="0" count="1" selected="0">
            <x v="31"/>
          </reference>
          <reference field="1" count="1" selected="0">
            <x v="447"/>
          </reference>
          <reference field="2" count="1" selected="0">
            <x v="38"/>
          </reference>
          <reference field="3" count="1" selected="0">
            <x v="4"/>
          </reference>
          <reference field="4" count="1">
            <x v="188"/>
          </reference>
        </references>
      </pivotArea>
    </format>
    <format dxfId="780">
      <pivotArea collapsedLevelsAreSubtotals="1" fieldPosition="0">
        <references count="2">
          <reference field="0" count="1" selected="0">
            <x v="31"/>
          </reference>
          <reference field="2" count="1" defaultSubtotal="1">
            <x v="38"/>
          </reference>
        </references>
      </pivotArea>
    </format>
    <format dxfId="779">
      <pivotArea dataOnly="0" labelOnly="1" fieldPosition="0">
        <references count="1">
          <reference field="0" count="1">
            <x v="31"/>
          </reference>
        </references>
      </pivotArea>
    </format>
    <format dxfId="778">
      <pivotArea dataOnly="0" labelOnly="1" fieldPosition="0">
        <references count="2">
          <reference field="0" count="1" selected="0">
            <x v="31"/>
          </reference>
          <reference field="2" count="1">
            <x v="38"/>
          </reference>
        </references>
      </pivotArea>
    </format>
    <format dxfId="777">
      <pivotArea dataOnly="0" labelOnly="1" fieldPosition="0">
        <references count="2">
          <reference field="0" count="1" selected="0">
            <x v="31"/>
          </reference>
          <reference field="2" count="1" defaultSubtotal="1">
            <x v="38"/>
          </reference>
        </references>
      </pivotArea>
    </format>
    <format dxfId="776">
      <pivotArea dataOnly="0" labelOnly="1" fieldPosition="0">
        <references count="3">
          <reference field="0" count="1" selected="0">
            <x v="31"/>
          </reference>
          <reference field="1" count="4">
            <x v="11"/>
            <x v="67"/>
            <x v="427"/>
            <x v="447"/>
          </reference>
          <reference field="2" count="1" selected="0">
            <x v="38"/>
          </reference>
        </references>
      </pivotArea>
    </format>
    <format dxfId="775">
      <pivotArea dataOnly="0" labelOnly="1" fieldPosition="0">
        <references count="4">
          <reference field="0" count="1" selected="0">
            <x v="31"/>
          </reference>
          <reference field="1" count="1" selected="0">
            <x v="11"/>
          </reference>
          <reference field="2" count="1" selected="0">
            <x v="38"/>
          </reference>
          <reference field="3" count="1">
            <x v="3"/>
          </reference>
        </references>
      </pivotArea>
    </format>
    <format dxfId="774">
      <pivotArea dataOnly="0" labelOnly="1" fieldPosition="0">
        <references count="4">
          <reference field="0" count="1" selected="0">
            <x v="31"/>
          </reference>
          <reference field="1" count="1" selected="0">
            <x v="447"/>
          </reference>
          <reference field="2" count="1" selected="0">
            <x v="38"/>
          </reference>
          <reference field="3" count="1">
            <x v="4"/>
          </reference>
        </references>
      </pivotArea>
    </format>
    <format dxfId="773">
      <pivotArea dataOnly="0" labelOnly="1" fieldPosition="0">
        <references count="5">
          <reference field="0" count="1" selected="0">
            <x v="31"/>
          </reference>
          <reference field="1" count="1" selected="0">
            <x v="11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772">
      <pivotArea dataOnly="0" labelOnly="1" fieldPosition="0">
        <references count="5">
          <reference field="0" count="1" selected="0">
            <x v="31"/>
          </reference>
          <reference field="1" count="1" selected="0">
            <x v="67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165"/>
          </reference>
        </references>
      </pivotArea>
    </format>
    <format dxfId="771">
      <pivotArea dataOnly="0" labelOnly="1" fieldPosition="0">
        <references count="5">
          <reference field="0" count="1" selected="0">
            <x v="31"/>
          </reference>
          <reference field="1" count="1" selected="0">
            <x v="427"/>
          </reference>
          <reference field="2" count="1" selected="0">
            <x v="3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770">
      <pivotArea dataOnly="0" labelOnly="1" fieldPosition="0">
        <references count="5">
          <reference field="0" count="1" selected="0">
            <x v="31"/>
          </reference>
          <reference field="1" count="1" selected="0">
            <x v="447"/>
          </reference>
          <reference field="2" count="1" selected="0">
            <x v="38"/>
          </reference>
          <reference field="3" count="1" selected="0">
            <x v="4"/>
          </reference>
          <reference field="4" count="1">
            <x v="188"/>
          </reference>
        </references>
      </pivotArea>
    </format>
    <format dxfId="769">
      <pivotArea collapsedLevelsAreSubtotals="1" fieldPosition="0">
        <references count="5">
          <reference field="0" count="1" selected="0">
            <x v="32"/>
          </reference>
          <reference field="1" count="1" selected="0">
            <x v="431"/>
          </reference>
          <reference field="2" count="1" selected="0">
            <x v="1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768">
      <pivotArea collapsedLevelsAreSubtotals="1" fieldPosition="0">
        <references count="2">
          <reference field="0" count="1" selected="0">
            <x v="32"/>
          </reference>
          <reference field="2" count="1" defaultSubtotal="1">
            <x v="18"/>
          </reference>
        </references>
      </pivotArea>
    </format>
    <format dxfId="767">
      <pivotArea dataOnly="0" labelOnly="1" fieldPosition="0">
        <references count="1">
          <reference field="0" count="1">
            <x v="32"/>
          </reference>
        </references>
      </pivotArea>
    </format>
    <format dxfId="766">
      <pivotArea dataOnly="0" labelOnly="1" fieldPosition="0">
        <references count="2">
          <reference field="0" count="1" selected="0">
            <x v="32"/>
          </reference>
          <reference field="2" count="1">
            <x v="18"/>
          </reference>
        </references>
      </pivotArea>
    </format>
    <format dxfId="765">
      <pivotArea dataOnly="0" labelOnly="1" fieldPosition="0">
        <references count="2">
          <reference field="0" count="1" selected="0">
            <x v="32"/>
          </reference>
          <reference field="2" count="1" defaultSubtotal="1">
            <x v="18"/>
          </reference>
        </references>
      </pivotArea>
    </format>
    <format dxfId="764">
      <pivotArea dataOnly="0" labelOnly="1" fieldPosition="0">
        <references count="3">
          <reference field="0" count="1" selected="0">
            <x v="32"/>
          </reference>
          <reference field="1" count="1">
            <x v="431"/>
          </reference>
          <reference field="2" count="1" selected="0">
            <x v="18"/>
          </reference>
        </references>
      </pivotArea>
    </format>
    <format dxfId="763">
      <pivotArea dataOnly="0" labelOnly="1" fieldPosition="0">
        <references count="4">
          <reference field="0" count="1" selected="0">
            <x v="32"/>
          </reference>
          <reference field="1" count="1" selected="0">
            <x v="431"/>
          </reference>
          <reference field="2" count="1" selected="0">
            <x v="18"/>
          </reference>
          <reference field="3" count="1">
            <x v="3"/>
          </reference>
        </references>
      </pivotArea>
    </format>
    <format dxfId="762">
      <pivotArea dataOnly="0" labelOnly="1" fieldPosition="0">
        <references count="5">
          <reference field="0" count="1" selected="0">
            <x v="32"/>
          </reference>
          <reference field="1" count="1" selected="0">
            <x v="431"/>
          </reference>
          <reference field="2" count="1" selected="0">
            <x v="1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761">
      <pivotArea collapsedLevelsAreSubtotals="1" fieldPosition="0">
        <references count="5">
          <reference field="0" count="1" selected="0">
            <x v="33"/>
          </reference>
          <reference field="1" count="1" selected="0">
            <x v="47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760">
      <pivotArea collapsedLevelsAreSubtotals="1" fieldPosition="0">
        <references count="5">
          <reference field="0" count="1" selected="0">
            <x v="33"/>
          </reference>
          <reference field="1" count="1" selected="0">
            <x v="74"/>
          </reference>
          <reference field="2" count="1" selected="0">
            <x v="57"/>
          </reference>
          <reference field="3" count="1" selected="0">
            <x v="0"/>
          </reference>
          <reference field="4" count="1">
            <x v="49"/>
          </reference>
        </references>
      </pivotArea>
    </format>
    <format dxfId="759">
      <pivotArea collapsedLevelsAreSubtotals="1" fieldPosition="0">
        <references count="5">
          <reference field="0" count="1" selected="0">
            <x v="33"/>
          </reference>
          <reference field="1" count="1" selected="0">
            <x v="168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758">
      <pivotArea collapsedLevelsAreSubtotals="1" fieldPosition="0">
        <references count="5">
          <reference field="0" count="1" selected="0">
            <x v="33"/>
          </reference>
          <reference field="1" count="1" selected="0">
            <x v="209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757">
      <pivotArea collapsedLevelsAreSubtotals="1" fieldPosition="0">
        <references count="2">
          <reference field="0" count="1" selected="0">
            <x v="33"/>
          </reference>
          <reference field="2" count="1" defaultSubtotal="1">
            <x v="57"/>
          </reference>
        </references>
      </pivotArea>
    </format>
    <format dxfId="756">
      <pivotArea dataOnly="0" labelOnly="1" fieldPosition="0">
        <references count="1">
          <reference field="0" count="1">
            <x v="33"/>
          </reference>
        </references>
      </pivotArea>
    </format>
    <format dxfId="755">
      <pivotArea dataOnly="0" labelOnly="1" fieldPosition="0">
        <references count="2">
          <reference field="0" count="1" selected="0">
            <x v="33"/>
          </reference>
          <reference field="2" count="1">
            <x v="57"/>
          </reference>
        </references>
      </pivotArea>
    </format>
    <format dxfId="754">
      <pivotArea dataOnly="0" labelOnly="1" fieldPosition="0">
        <references count="2">
          <reference field="0" count="1" selected="0">
            <x v="33"/>
          </reference>
          <reference field="2" count="1" defaultSubtotal="1">
            <x v="57"/>
          </reference>
        </references>
      </pivotArea>
    </format>
    <format dxfId="753">
      <pivotArea dataOnly="0" labelOnly="1" fieldPosition="0">
        <references count="3">
          <reference field="0" count="1" selected="0">
            <x v="33"/>
          </reference>
          <reference field="1" count="4">
            <x v="47"/>
            <x v="74"/>
            <x v="168"/>
            <x v="209"/>
          </reference>
          <reference field="2" count="1" selected="0">
            <x v="57"/>
          </reference>
        </references>
      </pivotArea>
    </format>
    <format dxfId="752">
      <pivotArea dataOnly="0" labelOnly="1" fieldPosition="0">
        <references count="4">
          <reference field="0" count="1" selected="0">
            <x v="33"/>
          </reference>
          <reference field="1" count="1" selected="0">
            <x v="47"/>
          </reference>
          <reference field="2" count="1" selected="0">
            <x v="57"/>
          </reference>
          <reference field="3" count="1">
            <x v="3"/>
          </reference>
        </references>
      </pivotArea>
    </format>
    <format dxfId="751">
      <pivotArea dataOnly="0" labelOnly="1" fieldPosition="0">
        <references count="4">
          <reference field="0" count="1" selected="0">
            <x v="33"/>
          </reference>
          <reference field="1" count="1" selected="0">
            <x v="74"/>
          </reference>
          <reference field="2" count="1" selected="0">
            <x v="57"/>
          </reference>
          <reference field="3" count="1">
            <x v="0"/>
          </reference>
        </references>
      </pivotArea>
    </format>
    <format dxfId="750">
      <pivotArea dataOnly="0" labelOnly="1" fieldPosition="0">
        <references count="4">
          <reference field="0" count="1" selected="0">
            <x v="33"/>
          </reference>
          <reference field="1" count="1" selected="0">
            <x v="168"/>
          </reference>
          <reference field="2" count="1" selected="0">
            <x v="57"/>
          </reference>
          <reference field="3" count="1">
            <x v="3"/>
          </reference>
        </references>
      </pivotArea>
    </format>
    <format dxfId="749">
      <pivotArea dataOnly="0" labelOnly="1" fieldPosition="0">
        <references count="5">
          <reference field="0" count="1" selected="0">
            <x v="33"/>
          </reference>
          <reference field="1" count="1" selected="0">
            <x v="47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748">
      <pivotArea dataOnly="0" labelOnly="1" fieldPosition="0">
        <references count="5">
          <reference field="0" count="1" selected="0">
            <x v="33"/>
          </reference>
          <reference field="1" count="1" selected="0">
            <x v="74"/>
          </reference>
          <reference field="2" count="1" selected="0">
            <x v="57"/>
          </reference>
          <reference field="3" count="1" selected="0">
            <x v="0"/>
          </reference>
          <reference field="4" count="1">
            <x v="49"/>
          </reference>
        </references>
      </pivotArea>
    </format>
    <format dxfId="747">
      <pivotArea dataOnly="0" labelOnly="1" fieldPosition="0">
        <references count="5">
          <reference field="0" count="1" selected="0">
            <x v="33"/>
          </reference>
          <reference field="1" count="1" selected="0">
            <x v="168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746">
      <pivotArea dataOnly="0" labelOnly="1" fieldPosition="0">
        <references count="5">
          <reference field="0" count="1" selected="0">
            <x v="33"/>
          </reference>
          <reference field="1" count="1" selected="0">
            <x v="209"/>
          </reference>
          <reference field="2" count="1" selected="0">
            <x v="5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745">
      <pivotArea collapsedLevelsAreSubtotals="1" fieldPosition="0">
        <references count="5">
          <reference field="0" count="1" selected="0">
            <x v="34"/>
          </reference>
          <reference field="1" count="1" selected="0">
            <x v="44"/>
          </reference>
          <reference field="2" count="1" selected="0">
            <x v="55"/>
          </reference>
          <reference field="3" count="1" selected="0">
            <x v="0"/>
          </reference>
          <reference field="4" count="1">
            <x v="29"/>
          </reference>
        </references>
      </pivotArea>
    </format>
    <format dxfId="744">
      <pivotArea collapsedLevelsAreSubtotals="1" fieldPosition="0">
        <references count="5">
          <reference field="0" count="1" selected="0">
            <x v="34"/>
          </reference>
          <reference field="1" count="1" selected="0">
            <x v="109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106"/>
          </reference>
        </references>
      </pivotArea>
    </format>
    <format dxfId="743">
      <pivotArea collapsedLevelsAreSubtotals="1" fieldPosition="0">
        <references count="5">
          <reference field="0" count="1" selected="0">
            <x v="34"/>
          </reference>
          <reference field="1" count="1" selected="0">
            <x v="296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742">
      <pivotArea collapsedLevelsAreSubtotals="1" fieldPosition="0">
        <references count="5">
          <reference field="0" count="1" selected="0">
            <x v="34"/>
          </reference>
          <reference field="1" count="1" selected="0">
            <x v="301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8"/>
          </reference>
        </references>
      </pivotArea>
    </format>
    <format dxfId="741">
      <pivotArea collapsedLevelsAreSubtotals="1" fieldPosition="0">
        <references count="2">
          <reference field="0" count="1" selected="0">
            <x v="34"/>
          </reference>
          <reference field="2" count="1" defaultSubtotal="1">
            <x v="55"/>
          </reference>
        </references>
      </pivotArea>
    </format>
    <format dxfId="740">
      <pivotArea dataOnly="0" labelOnly="1" fieldPosition="0">
        <references count="1">
          <reference field="0" count="1">
            <x v="34"/>
          </reference>
        </references>
      </pivotArea>
    </format>
    <format dxfId="739">
      <pivotArea dataOnly="0" labelOnly="1" fieldPosition="0">
        <references count="2">
          <reference field="0" count="1" selected="0">
            <x v="34"/>
          </reference>
          <reference field="2" count="1">
            <x v="55"/>
          </reference>
        </references>
      </pivotArea>
    </format>
    <format dxfId="738">
      <pivotArea dataOnly="0" labelOnly="1" fieldPosition="0">
        <references count="2">
          <reference field="0" count="1" selected="0">
            <x v="34"/>
          </reference>
          <reference field="2" count="1" defaultSubtotal="1">
            <x v="55"/>
          </reference>
        </references>
      </pivotArea>
    </format>
    <format dxfId="737">
      <pivotArea dataOnly="0" labelOnly="1" fieldPosition="0">
        <references count="3">
          <reference field="0" count="1" selected="0">
            <x v="34"/>
          </reference>
          <reference field="1" count="4">
            <x v="44"/>
            <x v="109"/>
            <x v="296"/>
            <x v="301"/>
          </reference>
          <reference field="2" count="1" selected="0">
            <x v="55"/>
          </reference>
        </references>
      </pivotArea>
    </format>
    <format dxfId="736">
      <pivotArea dataOnly="0" labelOnly="1" fieldPosition="0">
        <references count="4">
          <reference field="0" count="1" selected="0">
            <x v="34"/>
          </reference>
          <reference field="1" count="1" selected="0">
            <x v="44"/>
          </reference>
          <reference field="2" count="1" selected="0">
            <x v="55"/>
          </reference>
          <reference field="3" count="1">
            <x v="0"/>
          </reference>
        </references>
      </pivotArea>
    </format>
    <format dxfId="735">
      <pivotArea dataOnly="0" labelOnly="1" fieldPosition="0">
        <references count="4">
          <reference field="0" count="1" selected="0">
            <x v="34"/>
          </reference>
          <reference field="1" count="1" selected="0">
            <x v="109"/>
          </reference>
          <reference field="2" count="1" selected="0">
            <x v="55"/>
          </reference>
          <reference field="3" count="1">
            <x v="3"/>
          </reference>
        </references>
      </pivotArea>
    </format>
    <format dxfId="734">
      <pivotArea dataOnly="0" labelOnly="1" fieldPosition="0">
        <references count="5">
          <reference field="0" count="1" selected="0">
            <x v="34"/>
          </reference>
          <reference field="1" count="1" selected="0">
            <x v="44"/>
          </reference>
          <reference field="2" count="1" selected="0">
            <x v="55"/>
          </reference>
          <reference field="3" count="1" selected="0">
            <x v="0"/>
          </reference>
          <reference field="4" count="1">
            <x v="29"/>
          </reference>
        </references>
      </pivotArea>
    </format>
    <format dxfId="733">
      <pivotArea dataOnly="0" labelOnly="1" fieldPosition="0">
        <references count="5">
          <reference field="0" count="1" selected="0">
            <x v="34"/>
          </reference>
          <reference field="1" count="1" selected="0">
            <x v="109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106"/>
          </reference>
        </references>
      </pivotArea>
    </format>
    <format dxfId="732">
      <pivotArea dataOnly="0" labelOnly="1" fieldPosition="0">
        <references count="5">
          <reference field="0" count="1" selected="0">
            <x v="34"/>
          </reference>
          <reference field="1" count="1" selected="0">
            <x v="296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731">
      <pivotArea dataOnly="0" labelOnly="1" fieldPosition="0">
        <references count="5">
          <reference field="0" count="1" selected="0">
            <x v="34"/>
          </reference>
          <reference field="1" count="1" selected="0">
            <x v="301"/>
          </reference>
          <reference field="2" count="1" selected="0">
            <x v="55"/>
          </reference>
          <reference field="3" count="1" selected="0">
            <x v="3"/>
          </reference>
          <reference field="4" count="1">
            <x v="8"/>
          </reference>
        </references>
      </pivotArea>
    </format>
    <format dxfId="730">
      <pivotArea collapsedLevelsAreSubtotals="1" fieldPosition="0">
        <references count="5">
          <reference field="0" count="1" selected="0">
            <x v="35"/>
          </reference>
          <reference field="1" count="1" selected="0">
            <x v="320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92"/>
          </reference>
        </references>
      </pivotArea>
    </format>
    <format dxfId="729">
      <pivotArea collapsedLevelsAreSubtotals="1" fieldPosition="0">
        <references count="5">
          <reference field="0" count="1" selected="0">
            <x v="35"/>
          </reference>
          <reference field="1" count="1" selected="0">
            <x v="343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53"/>
          </reference>
        </references>
      </pivotArea>
    </format>
    <format dxfId="728">
      <pivotArea collapsedLevelsAreSubtotals="1" fieldPosition="0">
        <references count="5">
          <reference field="0" count="1" selected="0">
            <x v="35"/>
          </reference>
          <reference field="1" count="1" selected="0">
            <x v="395"/>
          </reference>
          <reference field="2" count="1" selected="0">
            <x v="61"/>
          </reference>
          <reference field="3" count="1" selected="0">
            <x v="0"/>
          </reference>
          <reference field="4" count="1">
            <x v="74"/>
          </reference>
        </references>
      </pivotArea>
    </format>
    <format dxfId="727">
      <pivotArea collapsedLevelsAreSubtotals="1" fieldPosition="0">
        <references count="5">
          <reference field="0" count="1" selected="0">
            <x v="35"/>
          </reference>
          <reference field="1" count="1" selected="0">
            <x v="438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118"/>
          </reference>
        </references>
      </pivotArea>
    </format>
    <format dxfId="726">
      <pivotArea collapsedLevelsAreSubtotals="1" fieldPosition="0">
        <references count="2">
          <reference field="0" count="1" selected="0">
            <x v="35"/>
          </reference>
          <reference field="2" count="1" defaultSubtotal="1">
            <x v="61"/>
          </reference>
        </references>
      </pivotArea>
    </format>
    <format dxfId="725">
      <pivotArea dataOnly="0" labelOnly="1" fieldPosition="0">
        <references count="1">
          <reference field="0" count="1">
            <x v="35"/>
          </reference>
        </references>
      </pivotArea>
    </format>
    <format dxfId="724">
      <pivotArea dataOnly="0" labelOnly="1" fieldPosition="0">
        <references count="2">
          <reference field="0" count="1" selected="0">
            <x v="35"/>
          </reference>
          <reference field="2" count="1">
            <x v="61"/>
          </reference>
        </references>
      </pivotArea>
    </format>
    <format dxfId="723">
      <pivotArea dataOnly="0" labelOnly="1" fieldPosition="0">
        <references count="2">
          <reference field="0" count="1" selected="0">
            <x v="35"/>
          </reference>
          <reference field="2" count="1" defaultSubtotal="1">
            <x v="61"/>
          </reference>
        </references>
      </pivotArea>
    </format>
    <format dxfId="722">
      <pivotArea dataOnly="0" labelOnly="1" fieldPosition="0">
        <references count="3">
          <reference field="0" count="1" selected="0">
            <x v="35"/>
          </reference>
          <reference field="1" count="4">
            <x v="320"/>
            <x v="343"/>
            <x v="395"/>
            <x v="438"/>
          </reference>
          <reference field="2" count="1" selected="0">
            <x v="61"/>
          </reference>
        </references>
      </pivotArea>
    </format>
    <format dxfId="721">
      <pivotArea dataOnly="0" labelOnly="1" fieldPosition="0">
        <references count="4">
          <reference field="0" count="1" selected="0">
            <x v="35"/>
          </reference>
          <reference field="1" count="1" selected="0">
            <x v="320"/>
          </reference>
          <reference field="2" count="1" selected="0">
            <x v="61"/>
          </reference>
          <reference field="3" count="1">
            <x v="3"/>
          </reference>
        </references>
      </pivotArea>
    </format>
    <format dxfId="720">
      <pivotArea dataOnly="0" labelOnly="1" fieldPosition="0">
        <references count="4">
          <reference field="0" count="1" selected="0">
            <x v="35"/>
          </reference>
          <reference field="1" count="1" selected="0">
            <x v="395"/>
          </reference>
          <reference field="2" count="1" selected="0">
            <x v="61"/>
          </reference>
          <reference field="3" count="1">
            <x v="0"/>
          </reference>
        </references>
      </pivotArea>
    </format>
    <format dxfId="719">
      <pivotArea dataOnly="0" labelOnly="1" fieldPosition="0">
        <references count="4">
          <reference field="0" count="1" selected="0">
            <x v="35"/>
          </reference>
          <reference field="1" count="1" selected="0">
            <x v="438"/>
          </reference>
          <reference field="2" count="1" selected="0">
            <x v="61"/>
          </reference>
          <reference field="3" count="1">
            <x v="3"/>
          </reference>
        </references>
      </pivotArea>
    </format>
    <format dxfId="718">
      <pivotArea dataOnly="0" labelOnly="1" fieldPosition="0">
        <references count="5">
          <reference field="0" count="1" selected="0">
            <x v="35"/>
          </reference>
          <reference field="1" count="1" selected="0">
            <x v="320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92"/>
          </reference>
        </references>
      </pivotArea>
    </format>
    <format dxfId="717">
      <pivotArea dataOnly="0" labelOnly="1" fieldPosition="0">
        <references count="5">
          <reference field="0" count="1" selected="0">
            <x v="35"/>
          </reference>
          <reference field="1" count="1" selected="0">
            <x v="343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53"/>
          </reference>
        </references>
      </pivotArea>
    </format>
    <format dxfId="716">
      <pivotArea dataOnly="0" labelOnly="1" fieldPosition="0">
        <references count="5">
          <reference field="0" count="1" selected="0">
            <x v="35"/>
          </reference>
          <reference field="1" count="1" selected="0">
            <x v="395"/>
          </reference>
          <reference field="2" count="1" selected="0">
            <x v="61"/>
          </reference>
          <reference field="3" count="1" selected="0">
            <x v="0"/>
          </reference>
          <reference field="4" count="1">
            <x v="74"/>
          </reference>
        </references>
      </pivotArea>
    </format>
    <format dxfId="715">
      <pivotArea dataOnly="0" labelOnly="1" fieldPosition="0">
        <references count="5">
          <reference field="0" count="1" selected="0">
            <x v="35"/>
          </reference>
          <reference field="1" count="1" selected="0">
            <x v="438"/>
          </reference>
          <reference field="2" count="1" selected="0">
            <x v="61"/>
          </reference>
          <reference field="3" count="1" selected="0">
            <x v="3"/>
          </reference>
          <reference field="4" count="1">
            <x v="118"/>
          </reference>
        </references>
      </pivotArea>
    </format>
    <format dxfId="714">
      <pivotArea collapsedLevelsAreSubtotals="1" fieldPosition="0">
        <references count="5">
          <reference field="0" count="1" selected="0">
            <x v="36"/>
          </reference>
          <reference field="1" count="1" selected="0">
            <x v="195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68"/>
          </reference>
        </references>
      </pivotArea>
    </format>
    <format dxfId="713">
      <pivotArea collapsedLevelsAreSubtotals="1" fieldPosition="0">
        <references count="5">
          <reference field="0" count="1" selected="0">
            <x v="36"/>
          </reference>
          <reference field="1" count="1" selected="0">
            <x v="226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63"/>
          </reference>
        </references>
      </pivotArea>
    </format>
    <format dxfId="712">
      <pivotArea collapsedLevelsAreSubtotals="1" fieldPosition="0">
        <references count="5">
          <reference field="0" count="1" selected="0">
            <x v="36"/>
          </reference>
          <reference field="1" count="1" selected="0">
            <x v="337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711">
      <pivotArea collapsedLevelsAreSubtotals="1" fieldPosition="0">
        <references count="2">
          <reference field="0" count="1" selected="0">
            <x v="36"/>
          </reference>
          <reference field="2" count="1" defaultSubtotal="1">
            <x v="19"/>
          </reference>
        </references>
      </pivotArea>
    </format>
    <format dxfId="710">
      <pivotArea dataOnly="0" labelOnly="1" fieldPosition="0">
        <references count="1">
          <reference field="0" count="1">
            <x v="36"/>
          </reference>
        </references>
      </pivotArea>
    </format>
    <format dxfId="709">
      <pivotArea dataOnly="0" labelOnly="1" fieldPosition="0">
        <references count="2">
          <reference field="0" count="1" selected="0">
            <x v="36"/>
          </reference>
          <reference field="2" count="1">
            <x v="19"/>
          </reference>
        </references>
      </pivotArea>
    </format>
    <format dxfId="708">
      <pivotArea dataOnly="0" labelOnly="1" fieldPosition="0">
        <references count="2">
          <reference field="0" count="1" selected="0">
            <x v="36"/>
          </reference>
          <reference field="2" count="1" defaultSubtotal="1">
            <x v="19"/>
          </reference>
        </references>
      </pivotArea>
    </format>
    <format dxfId="707">
      <pivotArea dataOnly="0" labelOnly="1" fieldPosition="0">
        <references count="3">
          <reference field="0" count="1" selected="0">
            <x v="36"/>
          </reference>
          <reference field="1" count="3">
            <x v="195"/>
            <x v="226"/>
            <x v="337"/>
          </reference>
          <reference field="2" count="1" selected="0">
            <x v="19"/>
          </reference>
        </references>
      </pivotArea>
    </format>
    <format dxfId="706">
      <pivotArea dataOnly="0" labelOnly="1" fieldPosition="0">
        <references count="4">
          <reference field="0" count="1" selected="0">
            <x v="36"/>
          </reference>
          <reference field="1" count="1" selected="0">
            <x v="195"/>
          </reference>
          <reference field="2" count="1" selected="0">
            <x v="19"/>
          </reference>
          <reference field="3" count="1">
            <x v="3"/>
          </reference>
        </references>
      </pivotArea>
    </format>
    <format dxfId="705">
      <pivotArea dataOnly="0" labelOnly="1" fieldPosition="0">
        <references count="5">
          <reference field="0" count="1" selected="0">
            <x v="36"/>
          </reference>
          <reference field="1" count="1" selected="0">
            <x v="195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68"/>
          </reference>
        </references>
      </pivotArea>
    </format>
    <format dxfId="704">
      <pivotArea dataOnly="0" labelOnly="1" fieldPosition="0">
        <references count="5">
          <reference field="0" count="1" selected="0">
            <x v="36"/>
          </reference>
          <reference field="1" count="1" selected="0">
            <x v="226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63"/>
          </reference>
        </references>
      </pivotArea>
    </format>
    <format dxfId="703">
      <pivotArea dataOnly="0" labelOnly="1" fieldPosition="0">
        <references count="5">
          <reference field="0" count="1" selected="0">
            <x v="36"/>
          </reference>
          <reference field="1" count="1" selected="0">
            <x v="337"/>
          </reference>
          <reference field="2" count="1" selected="0">
            <x v="19"/>
          </reference>
          <reference field="3" count="1" selected="0">
            <x v="3"/>
          </reference>
          <reference field="4" count="1">
            <x v="131"/>
          </reference>
        </references>
      </pivotArea>
    </format>
    <format dxfId="702">
      <pivotArea collapsedLevelsAreSubtotals="1" fieldPosition="0">
        <references count="5">
          <reference field="0" count="1" selected="0">
            <x v="37"/>
          </reference>
          <reference field="1" count="1" selected="0">
            <x v="63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701">
      <pivotArea collapsedLevelsAreSubtotals="1" fieldPosition="0">
        <references count="5">
          <reference field="0" count="1" selected="0">
            <x v="37"/>
          </reference>
          <reference field="1" count="1" selected="0">
            <x v="151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36"/>
          </reference>
        </references>
      </pivotArea>
    </format>
    <format dxfId="700">
      <pivotArea collapsedLevelsAreSubtotals="1" fieldPosition="0">
        <references count="5">
          <reference field="0" count="1" selected="0">
            <x v="37"/>
          </reference>
          <reference field="1" count="1" selected="0">
            <x v="152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59"/>
          </reference>
        </references>
      </pivotArea>
    </format>
    <format dxfId="699">
      <pivotArea collapsedLevelsAreSubtotals="1" fieldPosition="0">
        <references count="5">
          <reference field="0" count="1" selected="0">
            <x v="37"/>
          </reference>
          <reference field="1" count="1" selected="0">
            <x v="153"/>
          </reference>
          <reference field="2" count="1" selected="0">
            <x v="3"/>
          </reference>
          <reference field="3" count="1" selected="0">
            <x v="7"/>
          </reference>
          <reference field="4" count="1">
            <x v="9"/>
          </reference>
        </references>
      </pivotArea>
    </format>
    <format dxfId="698">
      <pivotArea collapsedLevelsAreSubtotals="1" fieldPosition="0">
        <references count="5">
          <reference field="0" count="1" selected="0">
            <x v="37"/>
          </reference>
          <reference field="1" count="1" selected="0">
            <x v="234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27"/>
          </reference>
        </references>
      </pivotArea>
    </format>
    <format dxfId="697">
      <pivotArea collapsedLevelsAreSubtotals="1" fieldPosition="0">
        <references count="5">
          <reference field="0" count="1" selected="0">
            <x v="37"/>
          </reference>
          <reference field="1" count="1" selected="0">
            <x v="310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696">
      <pivotArea collapsedLevelsAreSubtotals="1" fieldPosition="0">
        <references count="5">
          <reference field="0" count="1" selected="0">
            <x v="37"/>
          </reference>
          <reference field="1" count="1" selected="0">
            <x v="323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26"/>
          </reference>
        </references>
      </pivotArea>
    </format>
    <format dxfId="695">
      <pivotArea collapsedLevelsAreSubtotals="1" fieldPosition="0">
        <references count="5">
          <reference field="0" count="1" selected="0">
            <x v="37"/>
          </reference>
          <reference field="1" count="1" selected="0">
            <x v="379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94">
      <pivotArea collapsedLevelsAreSubtotals="1" fieldPosition="0">
        <references count="5">
          <reference field="0" count="1" selected="0">
            <x v="37"/>
          </reference>
          <reference field="1" count="1" selected="0">
            <x v="424"/>
          </reference>
          <reference field="2" count="1" selected="0">
            <x v="3"/>
          </reference>
          <reference field="3" count="1" selected="0">
            <x v="0"/>
          </reference>
          <reference field="4" count="1">
            <x v="121"/>
          </reference>
        </references>
      </pivotArea>
    </format>
    <format dxfId="693">
      <pivotArea collapsedLevelsAreSubtotals="1" fieldPosition="0">
        <references count="5">
          <reference field="0" count="1" selected="0">
            <x v="37"/>
          </reference>
          <reference field="1" count="1" selected="0">
            <x v="425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62"/>
          </reference>
        </references>
      </pivotArea>
    </format>
    <format dxfId="692">
      <pivotArea collapsedLevelsAreSubtotals="1" fieldPosition="0">
        <references count="5">
          <reference field="0" count="1" selected="0">
            <x v="37"/>
          </reference>
          <reference field="1" count="1" selected="0">
            <x v="428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691">
      <pivotArea collapsedLevelsAreSubtotals="1" fieldPosition="0">
        <references count="2">
          <reference field="0" count="1" selected="0">
            <x v="37"/>
          </reference>
          <reference field="2" count="1" defaultSubtotal="1">
            <x v="3"/>
          </reference>
        </references>
      </pivotArea>
    </format>
    <format dxfId="690">
      <pivotArea dataOnly="0" labelOnly="1" fieldPosition="0">
        <references count="1">
          <reference field="0" count="1">
            <x v="37"/>
          </reference>
        </references>
      </pivotArea>
    </format>
    <format dxfId="689">
      <pivotArea dataOnly="0" labelOnly="1" fieldPosition="0">
        <references count="2">
          <reference field="0" count="1" selected="0">
            <x v="37"/>
          </reference>
          <reference field="2" count="1">
            <x v="3"/>
          </reference>
        </references>
      </pivotArea>
    </format>
    <format dxfId="688">
      <pivotArea dataOnly="0" labelOnly="1" fieldPosition="0">
        <references count="2">
          <reference field="0" count="1" selected="0">
            <x v="37"/>
          </reference>
          <reference field="2" count="1" defaultSubtotal="1">
            <x v="3"/>
          </reference>
        </references>
      </pivotArea>
    </format>
    <format dxfId="687">
      <pivotArea dataOnly="0" labelOnly="1" fieldPosition="0">
        <references count="3">
          <reference field="0" count="1" selected="0">
            <x v="37"/>
          </reference>
          <reference field="1" count="11">
            <x v="63"/>
            <x v="151"/>
            <x v="152"/>
            <x v="153"/>
            <x v="234"/>
            <x v="310"/>
            <x v="323"/>
            <x v="379"/>
            <x v="424"/>
            <x v="425"/>
            <x v="428"/>
          </reference>
          <reference field="2" count="1" selected="0">
            <x v="3"/>
          </reference>
        </references>
      </pivotArea>
    </format>
    <format dxfId="686">
      <pivotArea dataOnly="0" labelOnly="1" fieldPosition="0">
        <references count="4">
          <reference field="0" count="1" selected="0">
            <x v="37"/>
          </reference>
          <reference field="1" count="1" selected="0">
            <x v="63"/>
          </reference>
          <reference field="2" count="1" selected="0">
            <x v="3"/>
          </reference>
          <reference field="3" count="1">
            <x v="3"/>
          </reference>
        </references>
      </pivotArea>
    </format>
    <format dxfId="685">
      <pivotArea dataOnly="0" labelOnly="1" fieldPosition="0">
        <references count="4">
          <reference field="0" count="1" selected="0">
            <x v="37"/>
          </reference>
          <reference field="1" count="1" selected="0">
            <x v="153"/>
          </reference>
          <reference field="2" count="1" selected="0">
            <x v="3"/>
          </reference>
          <reference field="3" count="1">
            <x v="7"/>
          </reference>
        </references>
      </pivotArea>
    </format>
    <format dxfId="684">
      <pivotArea dataOnly="0" labelOnly="1" fieldPosition="0">
        <references count="4">
          <reference field="0" count="1" selected="0">
            <x v="37"/>
          </reference>
          <reference field="1" count="1" selected="0">
            <x v="234"/>
          </reference>
          <reference field="2" count="1" selected="0">
            <x v="3"/>
          </reference>
          <reference field="3" count="1">
            <x v="3"/>
          </reference>
        </references>
      </pivotArea>
    </format>
    <format dxfId="683">
      <pivotArea dataOnly="0" labelOnly="1" fieldPosition="0">
        <references count="4">
          <reference field="0" count="1" selected="0">
            <x v="37"/>
          </reference>
          <reference field="1" count="1" selected="0">
            <x v="424"/>
          </reference>
          <reference field="2" count="1" selected="0">
            <x v="3"/>
          </reference>
          <reference field="3" count="1">
            <x v="0"/>
          </reference>
        </references>
      </pivotArea>
    </format>
    <format dxfId="682">
      <pivotArea dataOnly="0" labelOnly="1" fieldPosition="0">
        <references count="4">
          <reference field="0" count="1" selected="0">
            <x v="37"/>
          </reference>
          <reference field="1" count="1" selected="0">
            <x v="425"/>
          </reference>
          <reference field="2" count="1" selected="0">
            <x v="3"/>
          </reference>
          <reference field="3" count="1">
            <x v="3"/>
          </reference>
        </references>
      </pivotArea>
    </format>
    <format dxfId="681">
      <pivotArea dataOnly="0" labelOnly="1" fieldPosition="0">
        <references count="5">
          <reference field="0" count="1" selected="0">
            <x v="37"/>
          </reference>
          <reference field="1" count="1" selected="0">
            <x v="63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680">
      <pivotArea dataOnly="0" labelOnly="1" fieldPosition="0">
        <references count="5">
          <reference field="0" count="1" selected="0">
            <x v="37"/>
          </reference>
          <reference field="1" count="1" selected="0">
            <x v="151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36"/>
          </reference>
        </references>
      </pivotArea>
    </format>
    <format dxfId="679">
      <pivotArea dataOnly="0" labelOnly="1" fieldPosition="0">
        <references count="5">
          <reference field="0" count="1" selected="0">
            <x v="37"/>
          </reference>
          <reference field="1" count="1" selected="0">
            <x v="152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59"/>
          </reference>
        </references>
      </pivotArea>
    </format>
    <format dxfId="678">
      <pivotArea dataOnly="0" labelOnly="1" fieldPosition="0">
        <references count="5">
          <reference field="0" count="1" selected="0">
            <x v="37"/>
          </reference>
          <reference field="1" count="1" selected="0">
            <x v="153"/>
          </reference>
          <reference field="2" count="1" selected="0">
            <x v="3"/>
          </reference>
          <reference field="3" count="1" selected="0">
            <x v="7"/>
          </reference>
          <reference field="4" count="1">
            <x v="9"/>
          </reference>
        </references>
      </pivotArea>
    </format>
    <format dxfId="677">
      <pivotArea dataOnly="0" labelOnly="1" fieldPosition="0">
        <references count="5">
          <reference field="0" count="1" selected="0">
            <x v="37"/>
          </reference>
          <reference field="1" count="1" selected="0">
            <x v="234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27"/>
          </reference>
        </references>
      </pivotArea>
    </format>
    <format dxfId="676">
      <pivotArea dataOnly="0" labelOnly="1" fieldPosition="0">
        <references count="5">
          <reference field="0" count="1" selected="0">
            <x v="37"/>
          </reference>
          <reference field="1" count="1" selected="0">
            <x v="310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675">
      <pivotArea dataOnly="0" labelOnly="1" fieldPosition="0">
        <references count="5">
          <reference field="0" count="1" selected="0">
            <x v="37"/>
          </reference>
          <reference field="1" count="1" selected="0">
            <x v="323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126"/>
          </reference>
        </references>
      </pivotArea>
    </format>
    <format dxfId="674">
      <pivotArea dataOnly="0" labelOnly="1" fieldPosition="0">
        <references count="5">
          <reference field="0" count="1" selected="0">
            <x v="37"/>
          </reference>
          <reference field="1" count="1" selected="0">
            <x v="379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73">
      <pivotArea dataOnly="0" labelOnly="1" fieldPosition="0">
        <references count="5">
          <reference field="0" count="1" selected="0">
            <x v="37"/>
          </reference>
          <reference field="1" count="1" selected="0">
            <x v="424"/>
          </reference>
          <reference field="2" count="1" selected="0">
            <x v="3"/>
          </reference>
          <reference field="3" count="1" selected="0">
            <x v="0"/>
          </reference>
          <reference field="4" count="1">
            <x v="121"/>
          </reference>
        </references>
      </pivotArea>
    </format>
    <format dxfId="672">
      <pivotArea dataOnly="0" labelOnly="1" fieldPosition="0">
        <references count="5">
          <reference field="0" count="1" selected="0">
            <x v="37"/>
          </reference>
          <reference field="1" count="1" selected="0">
            <x v="425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62"/>
          </reference>
        </references>
      </pivotArea>
    </format>
    <format dxfId="671">
      <pivotArea dataOnly="0" labelOnly="1" fieldPosition="0">
        <references count="5">
          <reference field="0" count="1" selected="0">
            <x v="37"/>
          </reference>
          <reference field="1" count="1" selected="0">
            <x v="428"/>
          </reference>
          <reference field="2" count="1" selected="0">
            <x v="3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670">
      <pivotArea collapsedLevelsAreSubtotals="1" fieldPosition="0">
        <references count="5">
          <reference field="0" count="1" selected="0">
            <x v="38"/>
          </reference>
          <reference field="1" count="1" selected="0">
            <x v="0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669">
      <pivotArea collapsedLevelsAreSubtotals="1" fieldPosition="0">
        <references count="5">
          <reference field="0" count="1" selected="0">
            <x v="38"/>
          </reference>
          <reference field="1" count="1" selected="0">
            <x v="1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668">
      <pivotArea collapsedLevelsAreSubtotals="1" fieldPosition="0">
        <references count="5">
          <reference field="0" count="1" selected="0">
            <x v="38"/>
          </reference>
          <reference field="1" count="1" selected="0">
            <x v="30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208"/>
          </reference>
        </references>
      </pivotArea>
    </format>
    <format dxfId="667">
      <pivotArea collapsedLevelsAreSubtotals="1" fieldPosition="0">
        <references count="5">
          <reference field="0" count="1" selected="0">
            <x v="38"/>
          </reference>
          <reference field="1" count="1" selected="0">
            <x v="31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43"/>
          </reference>
        </references>
      </pivotArea>
    </format>
    <format dxfId="666">
      <pivotArea collapsedLevelsAreSubtotals="1" fieldPosition="0">
        <references count="5">
          <reference field="0" count="1" selected="0">
            <x v="38"/>
          </reference>
          <reference field="1" count="1" selected="0">
            <x v="3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2"/>
          </reference>
        </references>
      </pivotArea>
    </format>
    <format dxfId="665">
      <pivotArea collapsedLevelsAreSubtotals="1" fieldPosition="0">
        <references count="5">
          <reference field="0" count="1" selected="0">
            <x v="38"/>
          </reference>
          <reference field="1" count="1" selected="0">
            <x v="34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176"/>
          </reference>
        </references>
      </pivotArea>
    </format>
    <format dxfId="664">
      <pivotArea collapsedLevelsAreSubtotals="1" fieldPosition="0">
        <references count="5">
          <reference field="0" count="1" selected="0">
            <x v="38"/>
          </reference>
          <reference field="1" count="1" selected="0">
            <x v="5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69"/>
          </reference>
        </references>
      </pivotArea>
    </format>
    <format dxfId="663">
      <pivotArea collapsedLevelsAreSubtotals="1" fieldPosition="0">
        <references count="5">
          <reference field="0" count="1" selected="0">
            <x v="38"/>
          </reference>
          <reference field="1" count="1" selected="0">
            <x v="5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9"/>
          </reference>
        </references>
      </pivotArea>
    </format>
    <format dxfId="662">
      <pivotArea collapsedLevelsAreSubtotals="1" fieldPosition="0">
        <references count="5">
          <reference field="0" count="1" selected="0">
            <x v="38"/>
          </reference>
          <reference field="1" count="1" selected="0">
            <x v="8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661">
      <pivotArea collapsedLevelsAreSubtotals="1" fieldPosition="0">
        <references count="5">
          <reference field="0" count="1" selected="0">
            <x v="38"/>
          </reference>
          <reference field="1" count="1" selected="0">
            <x v="9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00"/>
          </reference>
        </references>
      </pivotArea>
    </format>
    <format dxfId="660">
      <pivotArea collapsedLevelsAreSubtotals="1" fieldPosition="0">
        <references count="5">
          <reference field="0" count="1" selected="0">
            <x v="38"/>
          </reference>
          <reference field="1" count="1" selected="0">
            <x v="9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1"/>
          </reference>
        </references>
      </pivotArea>
    </format>
    <format dxfId="659">
      <pivotArea collapsedLevelsAreSubtotals="1" fieldPosition="0">
        <references count="5">
          <reference field="0" count="1" selected="0">
            <x v="38"/>
          </reference>
          <reference field="1" count="1" selected="0">
            <x v="10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75"/>
          </reference>
        </references>
      </pivotArea>
    </format>
    <format dxfId="658">
      <pivotArea collapsedLevelsAreSubtotals="1" fieldPosition="0">
        <references count="5">
          <reference field="0" count="1" selected="0">
            <x v="38"/>
          </reference>
          <reference field="1" count="1" selected="0">
            <x v="10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70"/>
          </reference>
        </references>
      </pivotArea>
    </format>
    <format dxfId="657">
      <pivotArea collapsedLevelsAreSubtotals="1" fieldPosition="0">
        <references count="5">
          <reference field="0" count="1" selected="0">
            <x v="38"/>
          </reference>
          <reference field="1" count="1" selected="0">
            <x v="10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71"/>
          </reference>
        </references>
      </pivotArea>
    </format>
    <format dxfId="656">
      <pivotArea collapsedLevelsAreSubtotals="1" fieldPosition="0">
        <references count="5">
          <reference field="0" count="1" selected="0">
            <x v="38"/>
          </reference>
          <reference field="1" count="1" selected="0">
            <x v="20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55">
      <pivotArea collapsedLevelsAreSubtotals="1" fieldPosition="0">
        <references count="5">
          <reference field="0" count="1" selected="0">
            <x v="38"/>
          </reference>
          <reference field="1" count="1" selected="0">
            <x v="20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6"/>
          </reference>
        </references>
      </pivotArea>
    </format>
    <format dxfId="654">
      <pivotArea collapsedLevelsAreSubtotals="1" fieldPosition="0">
        <references count="5">
          <reference field="0" count="1" selected="0">
            <x v="38"/>
          </reference>
          <reference field="1" count="1" selected="0">
            <x v="22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93"/>
          </reference>
        </references>
      </pivotArea>
    </format>
    <format dxfId="653">
      <pivotArea collapsedLevelsAreSubtotals="1" fieldPosition="0">
        <references count="5">
          <reference field="0" count="1" selected="0">
            <x v="38"/>
          </reference>
          <reference field="1" count="1" selected="0">
            <x v="266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1"/>
          </reference>
        </references>
      </pivotArea>
    </format>
    <format dxfId="652">
      <pivotArea collapsedLevelsAreSubtotals="1" fieldPosition="0">
        <references count="5">
          <reference field="0" count="1" selected="0">
            <x v="38"/>
          </reference>
          <reference field="1" count="1" selected="0">
            <x v="30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651">
      <pivotArea collapsedLevelsAreSubtotals="1" fieldPosition="0">
        <references count="5">
          <reference field="0" count="1" selected="0">
            <x v="38"/>
          </reference>
          <reference field="1" count="1" selected="0">
            <x v="32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71"/>
          </reference>
        </references>
      </pivotArea>
    </format>
    <format dxfId="650">
      <pivotArea collapsedLevelsAreSubtotals="1" fieldPosition="0">
        <references count="5">
          <reference field="0" count="1" selected="0">
            <x v="38"/>
          </reference>
          <reference field="1" count="1" selected="0">
            <x v="35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49">
      <pivotArea collapsedLevelsAreSubtotals="1" fieldPosition="0">
        <references count="5">
          <reference field="0" count="1" selected="0">
            <x v="38"/>
          </reference>
          <reference field="1" count="1" selected="0">
            <x v="35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48">
      <pivotArea collapsedLevelsAreSubtotals="1" fieldPosition="0">
        <references count="5">
          <reference field="0" count="1" selected="0">
            <x v="38"/>
          </reference>
          <reference field="1" count="1" selected="0">
            <x v="371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2"/>
          </reference>
        </references>
      </pivotArea>
    </format>
    <format dxfId="647">
      <pivotArea collapsedLevelsAreSubtotals="1" fieldPosition="0">
        <references count="5">
          <reference field="0" count="1" selected="0">
            <x v="38"/>
          </reference>
          <reference field="1" count="1" selected="0">
            <x v="390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6"/>
          </reference>
        </references>
      </pivotArea>
    </format>
    <format dxfId="646">
      <pivotArea collapsedLevelsAreSubtotals="1" fieldPosition="0">
        <references count="5">
          <reference field="0" count="1" selected="0">
            <x v="38"/>
          </reference>
          <reference field="1" count="1" selected="0">
            <x v="407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196"/>
          </reference>
        </references>
      </pivotArea>
    </format>
    <format dxfId="645">
      <pivotArea collapsedLevelsAreSubtotals="1" fieldPosition="0">
        <references count="5">
          <reference field="0" count="1" selected="0">
            <x v="38"/>
          </reference>
          <reference field="1" count="1" selected="0">
            <x v="40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1"/>
          </reference>
        </references>
      </pivotArea>
    </format>
    <format dxfId="644">
      <pivotArea collapsedLevelsAreSubtotals="1" fieldPosition="0">
        <references count="5">
          <reference field="0" count="1" selected="0">
            <x v="38"/>
          </reference>
          <reference field="1" count="1" selected="0">
            <x v="409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23"/>
          </reference>
        </references>
      </pivotArea>
    </format>
    <format dxfId="643">
      <pivotArea collapsedLevelsAreSubtotals="1" fieldPosition="0">
        <references count="5">
          <reference field="0" count="1" selected="0">
            <x v="38"/>
          </reference>
          <reference field="1" count="1" selected="0">
            <x v="41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"/>
          </reference>
        </references>
      </pivotArea>
    </format>
    <format dxfId="642">
      <pivotArea collapsedLevelsAreSubtotals="1" fieldPosition="0">
        <references count="5">
          <reference field="0" count="1" selected="0">
            <x v="38"/>
          </reference>
          <reference field="1" count="1" selected="0">
            <x v="41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4"/>
          </reference>
        </references>
      </pivotArea>
    </format>
    <format dxfId="641">
      <pivotArea collapsedLevelsAreSubtotals="1" fieldPosition="0">
        <references count="5">
          <reference field="0" count="1" selected="0">
            <x v="38"/>
          </reference>
          <reference field="1" count="1" selected="0">
            <x v="41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5"/>
          </reference>
        </references>
      </pivotArea>
    </format>
    <format dxfId="640">
      <pivotArea collapsedLevelsAreSubtotals="1" fieldPosition="0">
        <references count="5">
          <reference field="0" count="1" selected="0">
            <x v="38"/>
          </reference>
          <reference field="1" count="1" selected="0">
            <x v="44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39">
      <pivotArea collapsedLevelsAreSubtotals="1" fieldPosition="0">
        <references count="5">
          <reference field="0" count="1" selected="0">
            <x v="38"/>
          </reference>
          <reference field="1" count="1" selected="0">
            <x v="44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638">
      <pivotArea collapsedLevelsAreSubtotals="1" fieldPosition="0">
        <references count="2">
          <reference field="0" count="1" selected="0">
            <x v="38"/>
          </reference>
          <reference field="2" count="1" defaultSubtotal="1">
            <x v="62"/>
          </reference>
        </references>
      </pivotArea>
    </format>
    <format dxfId="637">
      <pivotArea dataOnly="0" labelOnly="1" fieldPosition="0">
        <references count="1">
          <reference field="0" count="1">
            <x v="38"/>
          </reference>
        </references>
      </pivotArea>
    </format>
    <format dxfId="636">
      <pivotArea dataOnly="0" labelOnly="1" fieldPosition="0">
        <references count="2">
          <reference field="0" count="1" selected="0">
            <x v="38"/>
          </reference>
          <reference field="2" count="1">
            <x v="62"/>
          </reference>
        </references>
      </pivotArea>
    </format>
    <format dxfId="635">
      <pivotArea dataOnly="0" labelOnly="1" fieldPosition="0">
        <references count="2">
          <reference field="0" count="1" selected="0">
            <x v="38"/>
          </reference>
          <reference field="2" count="1" defaultSubtotal="1">
            <x v="62"/>
          </reference>
        </references>
      </pivotArea>
    </format>
    <format dxfId="634">
      <pivotArea dataOnly="0" labelOnly="1" fieldPosition="0">
        <references count="3">
          <reference field="0" count="1" selected="0">
            <x v="38"/>
          </reference>
          <reference field="1" count="32">
            <x v="0"/>
            <x v="18"/>
            <x v="30"/>
            <x v="31"/>
            <x v="33"/>
            <x v="34"/>
            <x v="53"/>
            <x v="55"/>
            <x v="87"/>
            <x v="92"/>
            <x v="95"/>
            <x v="103"/>
            <x v="107"/>
            <x v="108"/>
            <x v="204"/>
            <x v="207"/>
            <x v="223"/>
            <x v="266"/>
            <x v="304"/>
            <x v="322"/>
            <x v="353"/>
            <x v="354"/>
            <x v="371"/>
            <x v="390"/>
            <x v="407"/>
            <x v="408"/>
            <x v="409"/>
            <x v="413"/>
            <x v="414"/>
            <x v="415"/>
            <x v="442"/>
            <x v="444"/>
          </reference>
          <reference field="2" count="1" selected="0">
            <x v="62"/>
          </reference>
        </references>
      </pivotArea>
    </format>
    <format dxfId="633">
      <pivotArea dataOnly="0" labelOnly="1" fieldPosition="0">
        <references count="4">
          <reference field="0" count="1" selected="0">
            <x v="38"/>
          </reference>
          <reference field="1" count="1" selected="0">
            <x v="0"/>
          </reference>
          <reference field="2" count="1" selected="0">
            <x v="62"/>
          </reference>
          <reference field="3" count="1">
            <x v="3"/>
          </reference>
        </references>
      </pivotArea>
    </format>
    <format dxfId="632">
      <pivotArea dataOnly="0" labelOnly="1" fieldPosition="0">
        <references count="4">
          <reference field="0" count="1" selected="0">
            <x v="38"/>
          </reference>
          <reference field="1" count="1" selected="0">
            <x v="30"/>
          </reference>
          <reference field="2" count="1" selected="0">
            <x v="62"/>
          </reference>
          <reference field="3" count="1">
            <x v="4"/>
          </reference>
        </references>
      </pivotArea>
    </format>
    <format dxfId="631">
      <pivotArea dataOnly="0" labelOnly="1" fieldPosition="0">
        <references count="4">
          <reference field="0" count="1" selected="0">
            <x v="38"/>
          </reference>
          <reference field="1" count="1" selected="0">
            <x v="31"/>
          </reference>
          <reference field="2" count="1" selected="0">
            <x v="62"/>
          </reference>
          <reference field="3" count="1">
            <x v="3"/>
          </reference>
        </references>
      </pivotArea>
    </format>
    <format dxfId="630">
      <pivotArea dataOnly="0" labelOnly="1" fieldPosition="0">
        <references count="4">
          <reference field="0" count="1" selected="0">
            <x v="38"/>
          </reference>
          <reference field="1" count="1" selected="0">
            <x v="34"/>
          </reference>
          <reference field="2" count="1" selected="0">
            <x v="62"/>
          </reference>
          <reference field="3" count="1">
            <x v="4"/>
          </reference>
        </references>
      </pivotArea>
    </format>
    <format dxfId="629">
      <pivotArea dataOnly="0" labelOnly="1" fieldPosition="0">
        <references count="4">
          <reference field="0" count="1" selected="0">
            <x v="38"/>
          </reference>
          <reference field="1" count="1" selected="0">
            <x v="53"/>
          </reference>
          <reference field="2" count="1" selected="0">
            <x v="62"/>
          </reference>
          <reference field="3" count="1">
            <x v="3"/>
          </reference>
        </references>
      </pivotArea>
    </format>
    <format dxfId="628">
      <pivotArea dataOnly="0" labelOnly="1" fieldPosition="0">
        <references count="4">
          <reference field="0" count="1" selected="0">
            <x v="38"/>
          </reference>
          <reference field="1" count="1" selected="0">
            <x v="407"/>
          </reference>
          <reference field="2" count="1" selected="0">
            <x v="62"/>
          </reference>
          <reference field="3" count="1">
            <x v="4"/>
          </reference>
        </references>
      </pivotArea>
    </format>
    <format dxfId="627">
      <pivotArea dataOnly="0" labelOnly="1" fieldPosition="0">
        <references count="4">
          <reference field="0" count="1" selected="0">
            <x v="38"/>
          </reference>
          <reference field="1" count="1" selected="0">
            <x v="408"/>
          </reference>
          <reference field="2" count="1" selected="0">
            <x v="62"/>
          </reference>
          <reference field="3" count="1">
            <x v="3"/>
          </reference>
        </references>
      </pivotArea>
    </format>
    <format dxfId="626">
      <pivotArea dataOnly="0" labelOnly="1" fieldPosition="0">
        <references count="5">
          <reference field="0" count="1" selected="0">
            <x v="38"/>
          </reference>
          <reference field="1" count="1" selected="0">
            <x v="0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625">
      <pivotArea dataOnly="0" labelOnly="1" fieldPosition="0">
        <references count="5">
          <reference field="0" count="1" selected="0">
            <x v="38"/>
          </reference>
          <reference field="1" count="1" selected="0">
            <x v="1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624">
      <pivotArea dataOnly="0" labelOnly="1" fieldPosition="0">
        <references count="5">
          <reference field="0" count="1" selected="0">
            <x v="38"/>
          </reference>
          <reference field="1" count="1" selected="0">
            <x v="30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208"/>
          </reference>
        </references>
      </pivotArea>
    </format>
    <format dxfId="623">
      <pivotArea dataOnly="0" labelOnly="1" fieldPosition="0">
        <references count="5">
          <reference field="0" count="1" selected="0">
            <x v="38"/>
          </reference>
          <reference field="1" count="1" selected="0">
            <x v="31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43"/>
          </reference>
        </references>
      </pivotArea>
    </format>
    <format dxfId="622">
      <pivotArea dataOnly="0" labelOnly="1" fieldPosition="0">
        <references count="5">
          <reference field="0" count="1" selected="0">
            <x v="38"/>
          </reference>
          <reference field="1" count="1" selected="0">
            <x v="3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2"/>
          </reference>
        </references>
      </pivotArea>
    </format>
    <format dxfId="621">
      <pivotArea dataOnly="0" labelOnly="1" fieldPosition="0">
        <references count="5">
          <reference field="0" count="1" selected="0">
            <x v="38"/>
          </reference>
          <reference field="1" count="1" selected="0">
            <x v="34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176"/>
          </reference>
        </references>
      </pivotArea>
    </format>
    <format dxfId="620">
      <pivotArea dataOnly="0" labelOnly="1" fieldPosition="0">
        <references count="5">
          <reference field="0" count="1" selected="0">
            <x v="38"/>
          </reference>
          <reference field="1" count="1" selected="0">
            <x v="5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69"/>
          </reference>
        </references>
      </pivotArea>
    </format>
    <format dxfId="619">
      <pivotArea dataOnly="0" labelOnly="1" fieldPosition="0">
        <references count="5">
          <reference field="0" count="1" selected="0">
            <x v="38"/>
          </reference>
          <reference field="1" count="1" selected="0">
            <x v="5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9"/>
          </reference>
        </references>
      </pivotArea>
    </format>
    <format dxfId="618">
      <pivotArea dataOnly="0" labelOnly="1" fieldPosition="0">
        <references count="5">
          <reference field="0" count="1" selected="0">
            <x v="38"/>
          </reference>
          <reference field="1" count="1" selected="0">
            <x v="8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617">
      <pivotArea dataOnly="0" labelOnly="1" fieldPosition="0">
        <references count="5">
          <reference field="0" count="1" selected="0">
            <x v="38"/>
          </reference>
          <reference field="1" count="1" selected="0">
            <x v="9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00"/>
          </reference>
        </references>
      </pivotArea>
    </format>
    <format dxfId="616">
      <pivotArea dataOnly="0" labelOnly="1" fieldPosition="0">
        <references count="5">
          <reference field="0" count="1" selected="0">
            <x v="38"/>
          </reference>
          <reference field="1" count="1" selected="0">
            <x v="9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1"/>
          </reference>
        </references>
      </pivotArea>
    </format>
    <format dxfId="615">
      <pivotArea dataOnly="0" labelOnly="1" fieldPosition="0">
        <references count="5">
          <reference field="0" count="1" selected="0">
            <x v="38"/>
          </reference>
          <reference field="1" count="1" selected="0">
            <x v="10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75"/>
          </reference>
        </references>
      </pivotArea>
    </format>
    <format dxfId="614">
      <pivotArea dataOnly="0" labelOnly="1" fieldPosition="0">
        <references count="5">
          <reference field="0" count="1" selected="0">
            <x v="38"/>
          </reference>
          <reference field="1" count="1" selected="0">
            <x v="10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70"/>
          </reference>
        </references>
      </pivotArea>
    </format>
    <format dxfId="613">
      <pivotArea dataOnly="0" labelOnly="1" fieldPosition="0">
        <references count="5">
          <reference field="0" count="1" selected="0">
            <x v="38"/>
          </reference>
          <reference field="1" count="1" selected="0">
            <x v="10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71"/>
          </reference>
        </references>
      </pivotArea>
    </format>
    <format dxfId="612">
      <pivotArea dataOnly="0" labelOnly="1" fieldPosition="0">
        <references count="5">
          <reference field="0" count="1" selected="0">
            <x v="38"/>
          </reference>
          <reference field="1" count="1" selected="0">
            <x v="20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611">
      <pivotArea dataOnly="0" labelOnly="1" fieldPosition="0">
        <references count="5">
          <reference field="0" count="1" selected="0">
            <x v="38"/>
          </reference>
          <reference field="1" count="1" selected="0">
            <x v="207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6"/>
          </reference>
        </references>
      </pivotArea>
    </format>
    <format dxfId="610">
      <pivotArea dataOnly="0" labelOnly="1" fieldPosition="0">
        <references count="5">
          <reference field="0" count="1" selected="0">
            <x v="38"/>
          </reference>
          <reference field="1" count="1" selected="0">
            <x v="22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93"/>
          </reference>
        </references>
      </pivotArea>
    </format>
    <format dxfId="609">
      <pivotArea dataOnly="0" labelOnly="1" fieldPosition="0">
        <references count="5">
          <reference field="0" count="1" selected="0">
            <x v="38"/>
          </reference>
          <reference field="1" count="1" selected="0">
            <x v="266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1"/>
          </reference>
        </references>
      </pivotArea>
    </format>
    <format dxfId="608">
      <pivotArea dataOnly="0" labelOnly="1" fieldPosition="0">
        <references count="5">
          <reference field="0" count="1" selected="0">
            <x v="38"/>
          </reference>
          <reference field="1" count="1" selected="0">
            <x v="30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607">
      <pivotArea dataOnly="0" labelOnly="1" fieldPosition="0">
        <references count="5">
          <reference field="0" count="1" selected="0">
            <x v="38"/>
          </reference>
          <reference field="1" count="1" selected="0">
            <x v="32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71"/>
          </reference>
        </references>
      </pivotArea>
    </format>
    <format dxfId="606">
      <pivotArea dataOnly="0" labelOnly="1" fieldPosition="0">
        <references count="5">
          <reference field="0" count="1" selected="0">
            <x v="38"/>
          </reference>
          <reference field="1" count="1" selected="0">
            <x v="35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05">
      <pivotArea dataOnly="0" labelOnly="1" fieldPosition="0">
        <references count="5">
          <reference field="0" count="1" selected="0">
            <x v="38"/>
          </reference>
          <reference field="1" count="1" selected="0">
            <x v="35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04">
      <pivotArea dataOnly="0" labelOnly="1" fieldPosition="0">
        <references count="5">
          <reference field="0" count="1" selected="0">
            <x v="38"/>
          </reference>
          <reference field="1" count="1" selected="0">
            <x v="371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2"/>
          </reference>
        </references>
      </pivotArea>
    </format>
    <format dxfId="603">
      <pivotArea dataOnly="0" labelOnly="1" fieldPosition="0">
        <references count="5">
          <reference field="0" count="1" selected="0">
            <x v="38"/>
          </reference>
          <reference field="1" count="1" selected="0">
            <x v="390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6"/>
          </reference>
        </references>
      </pivotArea>
    </format>
    <format dxfId="602">
      <pivotArea dataOnly="0" labelOnly="1" fieldPosition="0">
        <references count="5">
          <reference field="0" count="1" selected="0">
            <x v="38"/>
          </reference>
          <reference field="1" count="1" selected="0">
            <x v="407"/>
          </reference>
          <reference field="2" count="1" selected="0">
            <x v="62"/>
          </reference>
          <reference field="3" count="1" selected="0">
            <x v="4"/>
          </reference>
          <reference field="4" count="1">
            <x v="196"/>
          </reference>
        </references>
      </pivotArea>
    </format>
    <format dxfId="601">
      <pivotArea dataOnly="0" labelOnly="1" fieldPosition="0">
        <references count="5">
          <reference field="0" count="1" selected="0">
            <x v="38"/>
          </reference>
          <reference field="1" count="1" selected="0">
            <x v="408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51"/>
          </reference>
        </references>
      </pivotArea>
    </format>
    <format dxfId="600">
      <pivotArea dataOnly="0" labelOnly="1" fieldPosition="0">
        <references count="5">
          <reference field="0" count="1" selected="0">
            <x v="38"/>
          </reference>
          <reference field="1" count="1" selected="0">
            <x v="409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23"/>
          </reference>
        </references>
      </pivotArea>
    </format>
    <format dxfId="599">
      <pivotArea dataOnly="0" labelOnly="1" fieldPosition="0">
        <references count="5">
          <reference field="0" count="1" selected="0">
            <x v="38"/>
          </reference>
          <reference field="1" count="1" selected="0">
            <x v="413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2"/>
          </reference>
        </references>
      </pivotArea>
    </format>
    <format dxfId="598">
      <pivotArea dataOnly="0" labelOnly="1" fieldPosition="0">
        <references count="5">
          <reference field="0" count="1" selected="0">
            <x v="38"/>
          </reference>
          <reference field="1" count="1" selected="0">
            <x v="41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84"/>
          </reference>
        </references>
      </pivotArea>
    </format>
    <format dxfId="597">
      <pivotArea dataOnly="0" labelOnly="1" fieldPosition="0">
        <references count="5">
          <reference field="0" count="1" selected="0">
            <x v="38"/>
          </reference>
          <reference field="1" count="1" selected="0">
            <x v="415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115"/>
          </reference>
        </references>
      </pivotArea>
    </format>
    <format dxfId="596">
      <pivotArea dataOnly="0" labelOnly="1" fieldPosition="0">
        <references count="5">
          <reference field="0" count="1" selected="0">
            <x v="38"/>
          </reference>
          <reference field="1" count="1" selected="0">
            <x v="442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595">
      <pivotArea dataOnly="0" labelOnly="1" fieldPosition="0">
        <references count="5">
          <reference field="0" count="1" selected="0">
            <x v="38"/>
          </reference>
          <reference field="1" count="1" selected="0">
            <x v="444"/>
          </reference>
          <reference field="2" count="1" selected="0">
            <x v="62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594">
      <pivotArea collapsedLevelsAreSubtotals="1" fieldPosition="0">
        <references count="5">
          <reference field="0" count="1" selected="0">
            <x v="39"/>
          </reference>
          <reference field="1" count="1" selected="0">
            <x v="4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70"/>
          </reference>
        </references>
      </pivotArea>
    </format>
    <format dxfId="593">
      <pivotArea collapsedLevelsAreSubtotals="1" fieldPosition="0">
        <references count="5">
          <reference field="0" count="1" selected="0">
            <x v="39"/>
          </reference>
          <reference field="1" count="1" selected="0">
            <x v="76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592">
      <pivotArea collapsedLevelsAreSubtotals="1" fieldPosition="0">
        <references count="5">
          <reference field="0" count="1" selected="0">
            <x v="39"/>
          </reference>
          <reference field="1" count="1" selected="0">
            <x v="130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91">
      <pivotArea collapsedLevelsAreSubtotals="1" fieldPosition="0">
        <references count="5">
          <reference field="0" count="1" selected="0">
            <x v="39"/>
          </reference>
          <reference field="1" count="1" selected="0">
            <x v="188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197"/>
          </reference>
        </references>
      </pivotArea>
    </format>
    <format dxfId="590">
      <pivotArea collapsedLevelsAreSubtotals="1" fieldPosition="0">
        <references count="5">
          <reference field="0" count="1" selected="0">
            <x v="39"/>
          </reference>
          <reference field="1" count="1" selected="0">
            <x v="224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41"/>
          </reference>
        </references>
      </pivotArea>
    </format>
    <format dxfId="589">
      <pivotArea collapsedLevelsAreSubtotals="1" fieldPosition="0">
        <references count="5">
          <reference field="0" count="1" selected="0">
            <x v="39"/>
          </reference>
          <reference field="1" count="1" selected="0">
            <x v="314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208"/>
          </reference>
        </references>
      </pivotArea>
    </format>
    <format dxfId="588">
      <pivotArea collapsedLevelsAreSubtotals="1" fieldPosition="0">
        <references count="5">
          <reference field="0" count="1" selected="0">
            <x v="39"/>
          </reference>
          <reference field="1" count="1" selected="0">
            <x v="321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72"/>
          </reference>
        </references>
      </pivotArea>
    </format>
    <format dxfId="587">
      <pivotArea collapsedLevelsAreSubtotals="1" fieldPosition="0">
        <references count="5">
          <reference field="0" count="1" selected="0">
            <x v="39"/>
          </reference>
          <reference field="1" count="1" selected="0">
            <x v="339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201"/>
          </reference>
        </references>
      </pivotArea>
    </format>
    <format dxfId="586">
      <pivotArea collapsedLevelsAreSubtotals="1" fieldPosition="0">
        <references count="5">
          <reference field="0" count="1" selected="0">
            <x v="39"/>
          </reference>
          <reference field="1" count="1" selected="0">
            <x v="402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54"/>
          </reference>
        </references>
      </pivotArea>
    </format>
    <format dxfId="585">
      <pivotArea collapsedLevelsAreSubtotals="1" fieldPosition="0">
        <references count="2">
          <reference field="0" count="1" selected="0">
            <x v="39"/>
          </reference>
          <reference field="2" count="1" defaultSubtotal="1">
            <x v="51"/>
          </reference>
        </references>
      </pivotArea>
    </format>
    <format dxfId="584">
      <pivotArea dataOnly="0" labelOnly="1" fieldPosition="0">
        <references count="1">
          <reference field="0" count="1">
            <x v="39"/>
          </reference>
        </references>
      </pivotArea>
    </format>
    <format dxfId="583">
      <pivotArea dataOnly="0" labelOnly="1" fieldPosition="0">
        <references count="2">
          <reference field="0" count="1" selected="0">
            <x v="39"/>
          </reference>
          <reference field="2" count="1">
            <x v="51"/>
          </reference>
        </references>
      </pivotArea>
    </format>
    <format dxfId="582">
      <pivotArea dataOnly="0" labelOnly="1" fieldPosition="0">
        <references count="2">
          <reference field="0" count="1" selected="0">
            <x v="39"/>
          </reference>
          <reference field="2" count="1" defaultSubtotal="1">
            <x v="51"/>
          </reference>
        </references>
      </pivotArea>
    </format>
    <format dxfId="581">
      <pivotArea dataOnly="0" labelOnly="1" fieldPosition="0">
        <references count="3">
          <reference field="0" count="1" selected="0">
            <x v="39"/>
          </reference>
          <reference field="1" count="9">
            <x v="4"/>
            <x v="76"/>
            <x v="130"/>
            <x v="188"/>
            <x v="224"/>
            <x v="314"/>
            <x v="321"/>
            <x v="339"/>
            <x v="402"/>
          </reference>
          <reference field="2" count="1" selected="0">
            <x v="51"/>
          </reference>
        </references>
      </pivotArea>
    </format>
    <format dxfId="580">
      <pivotArea dataOnly="0" labelOnly="1" fieldPosition="0">
        <references count="4">
          <reference field="0" count="1" selected="0">
            <x v="39"/>
          </reference>
          <reference field="1" count="1" selected="0">
            <x v="4"/>
          </reference>
          <reference field="2" count="1" selected="0">
            <x v="51"/>
          </reference>
          <reference field="3" count="1">
            <x v="3"/>
          </reference>
        </references>
      </pivotArea>
    </format>
    <format dxfId="579">
      <pivotArea dataOnly="0" labelOnly="1" fieldPosition="0">
        <references count="4">
          <reference field="0" count="1" selected="0">
            <x v="39"/>
          </reference>
          <reference field="1" count="1" selected="0">
            <x v="188"/>
          </reference>
          <reference field="2" count="1" selected="0">
            <x v="51"/>
          </reference>
          <reference field="3" count="1">
            <x v="4"/>
          </reference>
        </references>
      </pivotArea>
    </format>
    <format dxfId="578">
      <pivotArea dataOnly="0" labelOnly="1" fieldPosition="0">
        <references count="4">
          <reference field="0" count="1" selected="0">
            <x v="39"/>
          </reference>
          <reference field="1" count="1" selected="0">
            <x v="224"/>
          </reference>
          <reference field="2" count="1" selected="0">
            <x v="51"/>
          </reference>
          <reference field="3" count="1">
            <x v="3"/>
          </reference>
        </references>
      </pivotArea>
    </format>
    <format dxfId="577">
      <pivotArea dataOnly="0" labelOnly="1" fieldPosition="0">
        <references count="4">
          <reference field="0" count="1" selected="0">
            <x v="39"/>
          </reference>
          <reference field="1" count="1" selected="0">
            <x v="314"/>
          </reference>
          <reference field="2" count="1" selected="0">
            <x v="51"/>
          </reference>
          <reference field="3" count="1">
            <x v="4"/>
          </reference>
        </references>
      </pivotArea>
    </format>
    <format dxfId="576">
      <pivotArea dataOnly="0" labelOnly="1" fieldPosition="0">
        <references count="4">
          <reference field="0" count="1" selected="0">
            <x v="39"/>
          </reference>
          <reference field="1" count="1" selected="0">
            <x v="321"/>
          </reference>
          <reference field="2" count="1" selected="0">
            <x v="51"/>
          </reference>
          <reference field="3" count="1">
            <x v="3"/>
          </reference>
        </references>
      </pivotArea>
    </format>
    <format dxfId="575">
      <pivotArea dataOnly="0" labelOnly="1" fieldPosition="0">
        <references count="4">
          <reference field="0" count="1" selected="0">
            <x v="39"/>
          </reference>
          <reference field="1" count="1" selected="0">
            <x v="339"/>
          </reference>
          <reference field="2" count="1" selected="0">
            <x v="51"/>
          </reference>
          <reference field="3" count="1">
            <x v="4"/>
          </reference>
        </references>
      </pivotArea>
    </format>
    <format dxfId="574">
      <pivotArea dataOnly="0" labelOnly="1" fieldPosition="0">
        <references count="4">
          <reference field="0" count="1" selected="0">
            <x v="39"/>
          </reference>
          <reference field="1" count="1" selected="0">
            <x v="402"/>
          </reference>
          <reference field="2" count="1" selected="0">
            <x v="51"/>
          </reference>
          <reference field="3" count="1">
            <x v="3"/>
          </reference>
        </references>
      </pivotArea>
    </format>
    <format dxfId="573">
      <pivotArea dataOnly="0" labelOnly="1" fieldPosition="0">
        <references count="5">
          <reference field="0" count="1" selected="0">
            <x v="39"/>
          </reference>
          <reference field="1" count="1" selected="0">
            <x v="4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70"/>
          </reference>
        </references>
      </pivotArea>
    </format>
    <format dxfId="572">
      <pivotArea dataOnly="0" labelOnly="1" fieldPosition="0">
        <references count="5">
          <reference field="0" count="1" selected="0">
            <x v="39"/>
          </reference>
          <reference field="1" count="1" selected="0">
            <x v="76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571">
      <pivotArea dataOnly="0" labelOnly="1" fieldPosition="0">
        <references count="5">
          <reference field="0" count="1" selected="0">
            <x v="39"/>
          </reference>
          <reference field="1" count="1" selected="0">
            <x v="130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70">
      <pivotArea dataOnly="0" labelOnly="1" fieldPosition="0">
        <references count="5">
          <reference field="0" count="1" selected="0">
            <x v="39"/>
          </reference>
          <reference field="1" count="1" selected="0">
            <x v="188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197"/>
          </reference>
        </references>
      </pivotArea>
    </format>
    <format dxfId="569">
      <pivotArea dataOnly="0" labelOnly="1" fieldPosition="0">
        <references count="5">
          <reference field="0" count="1" selected="0">
            <x v="39"/>
          </reference>
          <reference field="1" count="1" selected="0">
            <x v="224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41"/>
          </reference>
        </references>
      </pivotArea>
    </format>
    <format dxfId="568">
      <pivotArea dataOnly="0" labelOnly="1" fieldPosition="0">
        <references count="5">
          <reference field="0" count="1" selected="0">
            <x v="39"/>
          </reference>
          <reference field="1" count="1" selected="0">
            <x v="314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208"/>
          </reference>
        </references>
      </pivotArea>
    </format>
    <format dxfId="567">
      <pivotArea dataOnly="0" labelOnly="1" fieldPosition="0">
        <references count="5">
          <reference field="0" count="1" selected="0">
            <x v="39"/>
          </reference>
          <reference field="1" count="1" selected="0">
            <x v="321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172"/>
          </reference>
        </references>
      </pivotArea>
    </format>
    <format dxfId="566">
      <pivotArea dataOnly="0" labelOnly="1" fieldPosition="0">
        <references count="5">
          <reference field="0" count="1" selected="0">
            <x v="39"/>
          </reference>
          <reference field="1" count="1" selected="0">
            <x v="339"/>
          </reference>
          <reference field="2" count="1" selected="0">
            <x v="51"/>
          </reference>
          <reference field="3" count="1" selected="0">
            <x v="4"/>
          </reference>
          <reference field="4" count="1">
            <x v="201"/>
          </reference>
        </references>
      </pivotArea>
    </format>
    <format dxfId="565">
      <pivotArea dataOnly="0" labelOnly="1" fieldPosition="0">
        <references count="5">
          <reference field="0" count="1" selected="0">
            <x v="39"/>
          </reference>
          <reference field="1" count="1" selected="0">
            <x v="402"/>
          </reference>
          <reference field="2" count="1" selected="0">
            <x v="51"/>
          </reference>
          <reference field="3" count="1" selected="0">
            <x v="3"/>
          </reference>
          <reference field="4" count="1">
            <x v="54"/>
          </reference>
        </references>
      </pivotArea>
    </format>
    <format dxfId="564">
      <pivotArea collapsedLevelsAreSubtotals="1" fieldPosition="0">
        <references count="5">
          <reference field="0" count="1" selected="0">
            <x v="40"/>
          </reference>
          <reference field="1" count="1" selected="0">
            <x v="15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8"/>
          </reference>
        </references>
      </pivotArea>
    </format>
    <format dxfId="563">
      <pivotArea collapsedLevelsAreSubtotals="1" fieldPosition="0">
        <references count="5">
          <reference field="0" count="1" selected="0">
            <x v="40"/>
          </reference>
          <reference field="1" count="1" selected="0">
            <x v="17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87"/>
          </reference>
        </references>
      </pivotArea>
    </format>
    <format dxfId="562">
      <pivotArea collapsedLevelsAreSubtotals="1" fieldPosition="0">
        <references count="5">
          <reference field="0" count="1" selected="0">
            <x v="40"/>
          </reference>
          <reference field="1" count="1" selected="0">
            <x v="1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561">
      <pivotArea collapsedLevelsAreSubtotals="1" fieldPosition="0">
        <references count="5">
          <reference field="0" count="1" selected="0">
            <x v="40"/>
          </reference>
          <reference field="1" count="1" selected="0">
            <x v="2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96"/>
          </reference>
        </references>
      </pivotArea>
    </format>
    <format dxfId="560">
      <pivotArea collapsedLevelsAreSubtotals="1" fieldPosition="0">
        <references count="5">
          <reference field="0" count="1" selected="0">
            <x v="40"/>
          </reference>
          <reference field="1" count="1" selected="0">
            <x v="38"/>
          </reference>
          <reference field="2" count="1" selected="0">
            <x v="28"/>
          </reference>
          <reference field="3" count="1" selected="0">
            <x v="0"/>
          </reference>
          <reference field="4" count="1">
            <x v="167"/>
          </reference>
        </references>
      </pivotArea>
    </format>
    <format dxfId="559">
      <pivotArea collapsedLevelsAreSubtotals="1" fieldPosition="0">
        <references count="5">
          <reference field="0" count="1" selected="0">
            <x v="40"/>
          </reference>
          <reference field="1" count="1" selected="0">
            <x v="81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30"/>
          </reference>
        </references>
      </pivotArea>
    </format>
    <format dxfId="558">
      <pivotArea collapsedLevelsAreSubtotals="1" fieldPosition="0">
        <references count="5">
          <reference field="0" count="1" selected="0">
            <x v="40"/>
          </reference>
          <reference field="1" count="1" selected="0">
            <x v="12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557">
      <pivotArea collapsedLevelsAreSubtotals="1" fieldPosition="0">
        <references count="5">
          <reference field="0" count="1" selected="0">
            <x v="40"/>
          </reference>
          <reference field="1" count="1" selected="0">
            <x v="122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60"/>
          </reference>
        </references>
      </pivotArea>
    </format>
    <format dxfId="556">
      <pivotArea collapsedLevelsAreSubtotals="1" fieldPosition="0">
        <references count="5">
          <reference field="0" count="1" selected="0">
            <x v="40"/>
          </reference>
          <reference field="1" count="1" selected="0">
            <x v="138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55"/>
          </reference>
        </references>
      </pivotArea>
    </format>
    <format dxfId="555">
      <pivotArea collapsedLevelsAreSubtotals="1" fieldPosition="0">
        <references count="5">
          <reference field="0" count="1" selected="0">
            <x v="40"/>
          </reference>
          <reference field="1" count="1" selected="0">
            <x v="14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554">
      <pivotArea collapsedLevelsAreSubtotals="1" fieldPosition="0">
        <references count="5">
          <reference field="0" count="1" selected="0">
            <x v="40"/>
          </reference>
          <reference field="1" count="1" selected="0">
            <x v="185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45"/>
          </reference>
        </references>
      </pivotArea>
    </format>
    <format dxfId="553">
      <pivotArea collapsedLevelsAreSubtotals="1" fieldPosition="0">
        <references count="5">
          <reference field="0" count="1" selected="0">
            <x v="40"/>
          </reference>
          <reference field="1" count="1" selected="0">
            <x v="232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52">
      <pivotArea collapsedLevelsAreSubtotals="1" fieldPosition="0">
        <references count="5">
          <reference field="0" count="1" selected="0">
            <x v="40"/>
          </reference>
          <reference field="1" count="1" selected="0">
            <x v="23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551">
      <pivotArea collapsedLevelsAreSubtotals="1" fieldPosition="0">
        <references count="5">
          <reference field="0" count="1" selected="0">
            <x v="40"/>
          </reference>
          <reference field="1" count="1" selected="0">
            <x v="24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50">
      <pivotArea collapsedLevelsAreSubtotals="1" fieldPosition="0">
        <references count="5">
          <reference field="0" count="1" selected="0">
            <x v="40"/>
          </reference>
          <reference field="1" count="1" selected="0">
            <x v="261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97"/>
          </reference>
        </references>
      </pivotArea>
    </format>
    <format dxfId="549">
      <pivotArea collapsedLevelsAreSubtotals="1" fieldPosition="0">
        <references count="5">
          <reference field="0" count="1" selected="0">
            <x v="40"/>
          </reference>
          <reference field="1" count="1" selected="0">
            <x v="27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548">
      <pivotArea collapsedLevelsAreSubtotals="1" fieldPosition="0">
        <references count="5">
          <reference field="0" count="1" selected="0">
            <x v="40"/>
          </reference>
          <reference field="1" count="1" selected="0">
            <x v="277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34"/>
          </reference>
        </references>
      </pivotArea>
    </format>
    <format dxfId="547">
      <pivotArea collapsedLevelsAreSubtotals="1" fieldPosition="0">
        <references count="5">
          <reference field="0" count="1" selected="0">
            <x v="40"/>
          </reference>
          <reference field="1" count="1" selected="0">
            <x v="27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3"/>
          </reference>
        </references>
      </pivotArea>
    </format>
    <format dxfId="546">
      <pivotArea collapsedLevelsAreSubtotals="1" fieldPosition="0">
        <references count="5">
          <reference field="0" count="1" selected="0">
            <x v="40"/>
          </reference>
          <reference field="1" count="1" selected="0">
            <x v="31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545">
      <pivotArea collapsedLevelsAreSubtotals="1" fieldPosition="0">
        <references count="5">
          <reference field="0" count="1" selected="0">
            <x v="40"/>
          </reference>
          <reference field="1" count="1" selected="0">
            <x v="328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544">
      <pivotArea collapsedLevelsAreSubtotals="1" fieldPosition="0">
        <references count="5">
          <reference field="0" count="1" selected="0">
            <x v="40"/>
          </reference>
          <reference field="1" count="1" selected="0">
            <x v="36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14"/>
          </reference>
        </references>
      </pivotArea>
    </format>
    <format dxfId="543">
      <pivotArea collapsedLevelsAreSubtotals="1" fieldPosition="0">
        <references count="5">
          <reference field="0" count="1" selected="0">
            <x v="40"/>
          </reference>
          <reference field="1" count="1" selected="0">
            <x v="375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542">
      <pivotArea collapsedLevelsAreSubtotals="1" fieldPosition="0">
        <references count="5">
          <reference field="0" count="1" selected="0">
            <x v="40"/>
          </reference>
          <reference field="1" count="1" selected="0">
            <x v="384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541">
      <pivotArea collapsedLevelsAreSubtotals="1" fieldPosition="0">
        <references count="5">
          <reference field="0" count="1" selected="0">
            <x v="40"/>
          </reference>
          <reference field="1" count="1" selected="0">
            <x v="38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1"/>
          </reference>
        </references>
      </pivotArea>
    </format>
    <format dxfId="540">
      <pivotArea collapsedLevelsAreSubtotals="1" fieldPosition="0">
        <references count="5">
          <reference field="0" count="1" selected="0">
            <x v="40"/>
          </reference>
          <reference field="1" count="1" selected="0">
            <x v="394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20"/>
          </reference>
        </references>
      </pivotArea>
    </format>
    <format dxfId="539">
      <pivotArea collapsedLevelsAreSubtotals="1" fieldPosition="0">
        <references count="5">
          <reference field="0" count="1" selected="0">
            <x v="40"/>
          </reference>
          <reference field="1" count="1" selected="0">
            <x v="44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48"/>
          </reference>
        </references>
      </pivotArea>
    </format>
    <format dxfId="538">
      <pivotArea collapsedLevelsAreSubtotals="1" fieldPosition="0">
        <references count="5">
          <reference field="0" count="1" selected="0">
            <x v="40"/>
          </reference>
          <reference field="1" count="1" selected="0">
            <x v="44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203"/>
          </reference>
        </references>
      </pivotArea>
    </format>
    <format dxfId="537">
      <pivotArea collapsedLevelsAreSubtotals="1" fieldPosition="0">
        <references count="2">
          <reference field="0" count="1" selected="0">
            <x v="40"/>
          </reference>
          <reference field="2" count="1" defaultSubtotal="1">
            <x v="28"/>
          </reference>
        </references>
      </pivotArea>
    </format>
    <format dxfId="536">
      <pivotArea dataOnly="0" labelOnly="1" fieldPosition="0">
        <references count="1">
          <reference field="0" count="1">
            <x v="40"/>
          </reference>
        </references>
      </pivotArea>
    </format>
    <format dxfId="535">
      <pivotArea dataOnly="0" labelOnly="1" fieldPosition="0">
        <references count="2">
          <reference field="0" count="1" selected="0">
            <x v="40"/>
          </reference>
          <reference field="2" count="1">
            <x v="28"/>
          </reference>
        </references>
      </pivotArea>
    </format>
    <format dxfId="534">
      <pivotArea dataOnly="0" labelOnly="1" fieldPosition="0">
        <references count="2">
          <reference field="0" count="1" selected="0">
            <x v="40"/>
          </reference>
          <reference field="2" count="1" defaultSubtotal="1">
            <x v="28"/>
          </reference>
        </references>
      </pivotArea>
    </format>
    <format dxfId="533">
      <pivotArea dataOnly="0" labelOnly="1" fieldPosition="0">
        <references count="3">
          <reference field="0" count="1" selected="0">
            <x v="40"/>
          </reference>
          <reference field="1" count="27">
            <x v="15"/>
            <x v="17"/>
            <x v="19"/>
            <x v="29"/>
            <x v="38"/>
            <x v="81"/>
            <x v="120"/>
            <x v="122"/>
            <x v="138"/>
            <x v="149"/>
            <x v="185"/>
            <x v="232"/>
            <x v="239"/>
            <x v="240"/>
            <x v="261"/>
            <x v="270"/>
            <x v="277"/>
            <x v="279"/>
            <x v="316"/>
            <x v="328"/>
            <x v="366"/>
            <x v="375"/>
            <x v="384"/>
            <x v="389"/>
            <x v="394"/>
            <x v="446"/>
            <x v="449"/>
          </reference>
          <reference field="2" count="1" selected="0">
            <x v="28"/>
          </reference>
        </references>
      </pivotArea>
    </format>
    <format dxfId="532">
      <pivotArea dataOnly="0" labelOnly="1" fieldPosition="0">
        <references count="4">
          <reference field="0" count="1" selected="0">
            <x v="40"/>
          </reference>
          <reference field="1" count="1" selected="0">
            <x v="15"/>
          </reference>
          <reference field="2" count="1" selected="0">
            <x v="28"/>
          </reference>
          <reference field="3" count="1">
            <x v="4"/>
          </reference>
        </references>
      </pivotArea>
    </format>
    <format dxfId="531">
      <pivotArea dataOnly="0" labelOnly="1" fieldPosition="0">
        <references count="4">
          <reference field="0" count="1" selected="0">
            <x v="40"/>
          </reference>
          <reference field="1" count="1" selected="0">
            <x v="17"/>
          </reference>
          <reference field="2" count="1" selected="0">
            <x v="28"/>
          </reference>
          <reference field="3" count="1">
            <x v="3"/>
          </reference>
        </references>
      </pivotArea>
    </format>
    <format dxfId="530">
      <pivotArea dataOnly="0" labelOnly="1" fieldPosition="0">
        <references count="4">
          <reference field="0" count="1" selected="0">
            <x v="40"/>
          </reference>
          <reference field="1" count="1" selected="0">
            <x v="38"/>
          </reference>
          <reference field="2" count="1" selected="0">
            <x v="28"/>
          </reference>
          <reference field="3" count="1">
            <x v="0"/>
          </reference>
        </references>
      </pivotArea>
    </format>
    <format dxfId="529">
      <pivotArea dataOnly="0" labelOnly="1" fieldPosition="0">
        <references count="4">
          <reference field="0" count="1" selected="0">
            <x v="40"/>
          </reference>
          <reference field="1" count="1" selected="0">
            <x v="81"/>
          </reference>
          <reference field="2" count="1" selected="0">
            <x v="28"/>
          </reference>
          <reference field="3" count="1">
            <x v="3"/>
          </reference>
        </references>
      </pivotArea>
    </format>
    <format dxfId="528">
      <pivotArea dataOnly="0" labelOnly="1" fieldPosition="0">
        <references count="4">
          <reference field="0" count="1" selected="0">
            <x v="40"/>
          </reference>
          <reference field="1" count="1" selected="0">
            <x v="138"/>
          </reference>
          <reference field="2" count="1" selected="0">
            <x v="28"/>
          </reference>
          <reference field="3" count="1">
            <x v="4"/>
          </reference>
        </references>
      </pivotArea>
    </format>
    <format dxfId="527">
      <pivotArea dataOnly="0" labelOnly="1" fieldPosition="0">
        <references count="4">
          <reference field="0" count="1" selected="0">
            <x v="40"/>
          </reference>
          <reference field="1" count="1" selected="0">
            <x v="149"/>
          </reference>
          <reference field="2" count="1" selected="0">
            <x v="28"/>
          </reference>
          <reference field="3" count="1">
            <x v="3"/>
          </reference>
        </references>
      </pivotArea>
    </format>
    <format dxfId="526">
      <pivotArea dataOnly="0" labelOnly="1" fieldPosition="0">
        <references count="4">
          <reference field="0" count="1" selected="0">
            <x v="40"/>
          </reference>
          <reference field="1" count="1" selected="0">
            <x v="279"/>
          </reference>
          <reference field="2" count="1" selected="0">
            <x v="28"/>
          </reference>
          <reference field="3" count="1">
            <x v="4"/>
          </reference>
        </references>
      </pivotArea>
    </format>
    <format dxfId="525">
      <pivotArea dataOnly="0" labelOnly="1" fieldPosition="0">
        <references count="4">
          <reference field="0" count="1" selected="0">
            <x v="40"/>
          </reference>
          <reference field="1" count="1" selected="0">
            <x v="316"/>
          </reference>
          <reference field="2" count="1" selected="0">
            <x v="28"/>
          </reference>
          <reference field="3" count="1">
            <x v="3"/>
          </reference>
        </references>
      </pivotArea>
    </format>
    <format dxfId="524">
      <pivotArea dataOnly="0" labelOnly="1" fieldPosition="0">
        <references count="4">
          <reference field="0" count="1" selected="0">
            <x v="40"/>
          </reference>
          <reference field="1" count="1" selected="0">
            <x v="389"/>
          </reference>
          <reference field="2" count="1" selected="0">
            <x v="28"/>
          </reference>
          <reference field="3" count="1">
            <x v="4"/>
          </reference>
        </references>
      </pivotArea>
    </format>
    <format dxfId="523">
      <pivotArea dataOnly="0" labelOnly="1" fieldPosition="0">
        <references count="4">
          <reference field="0" count="1" selected="0">
            <x v="40"/>
          </reference>
          <reference field="1" count="1" selected="0">
            <x v="394"/>
          </reference>
          <reference field="2" count="1" selected="0">
            <x v="28"/>
          </reference>
          <reference field="3" count="1">
            <x v="3"/>
          </reference>
        </references>
      </pivotArea>
    </format>
    <format dxfId="522">
      <pivotArea dataOnly="0" labelOnly="1" fieldPosition="0">
        <references count="4">
          <reference field="0" count="1" selected="0">
            <x v="40"/>
          </reference>
          <reference field="1" count="1" selected="0">
            <x v="449"/>
          </reference>
          <reference field="2" count="1" selected="0">
            <x v="28"/>
          </reference>
          <reference field="3" count="1">
            <x v="4"/>
          </reference>
        </references>
      </pivotArea>
    </format>
    <format dxfId="521">
      <pivotArea dataOnly="0" labelOnly="1" fieldPosition="0">
        <references count="5">
          <reference field="0" count="1" selected="0">
            <x v="40"/>
          </reference>
          <reference field="1" count="1" selected="0">
            <x v="15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8"/>
          </reference>
        </references>
      </pivotArea>
    </format>
    <format dxfId="520">
      <pivotArea dataOnly="0" labelOnly="1" fieldPosition="0">
        <references count="5">
          <reference field="0" count="1" selected="0">
            <x v="40"/>
          </reference>
          <reference field="1" count="1" selected="0">
            <x v="17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87"/>
          </reference>
        </references>
      </pivotArea>
    </format>
    <format dxfId="519">
      <pivotArea dataOnly="0" labelOnly="1" fieldPosition="0">
        <references count="5">
          <reference field="0" count="1" selected="0">
            <x v="40"/>
          </reference>
          <reference field="1" count="1" selected="0">
            <x v="1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518">
      <pivotArea dataOnly="0" labelOnly="1" fieldPosition="0">
        <references count="5">
          <reference field="0" count="1" selected="0">
            <x v="40"/>
          </reference>
          <reference field="1" count="1" selected="0">
            <x v="2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96"/>
          </reference>
        </references>
      </pivotArea>
    </format>
    <format dxfId="517">
      <pivotArea dataOnly="0" labelOnly="1" fieldPosition="0">
        <references count="5">
          <reference field="0" count="1" selected="0">
            <x v="40"/>
          </reference>
          <reference field="1" count="1" selected="0">
            <x v="38"/>
          </reference>
          <reference field="2" count="1" selected="0">
            <x v="28"/>
          </reference>
          <reference field="3" count="1" selected="0">
            <x v="0"/>
          </reference>
          <reference field="4" count="1">
            <x v="167"/>
          </reference>
        </references>
      </pivotArea>
    </format>
    <format dxfId="516">
      <pivotArea dataOnly="0" labelOnly="1" fieldPosition="0">
        <references count="5">
          <reference field="0" count="1" selected="0">
            <x v="40"/>
          </reference>
          <reference field="1" count="1" selected="0">
            <x v="81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30"/>
          </reference>
        </references>
      </pivotArea>
    </format>
    <format dxfId="515">
      <pivotArea dataOnly="0" labelOnly="1" fieldPosition="0">
        <references count="5">
          <reference field="0" count="1" selected="0">
            <x v="40"/>
          </reference>
          <reference field="1" count="1" selected="0">
            <x v="12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514">
      <pivotArea dataOnly="0" labelOnly="1" fieldPosition="0">
        <references count="5">
          <reference field="0" count="1" selected="0">
            <x v="40"/>
          </reference>
          <reference field="1" count="1" selected="0">
            <x v="122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60"/>
          </reference>
        </references>
      </pivotArea>
    </format>
    <format dxfId="513">
      <pivotArea dataOnly="0" labelOnly="1" fieldPosition="0">
        <references count="5">
          <reference field="0" count="1" selected="0">
            <x v="40"/>
          </reference>
          <reference field="1" count="1" selected="0">
            <x v="138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55"/>
          </reference>
        </references>
      </pivotArea>
    </format>
    <format dxfId="512">
      <pivotArea dataOnly="0" labelOnly="1" fieldPosition="0">
        <references count="5">
          <reference field="0" count="1" selected="0">
            <x v="40"/>
          </reference>
          <reference field="1" count="1" selected="0">
            <x v="14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511">
      <pivotArea dataOnly="0" labelOnly="1" fieldPosition="0">
        <references count="5">
          <reference field="0" count="1" selected="0">
            <x v="40"/>
          </reference>
          <reference field="1" count="1" selected="0">
            <x v="185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45"/>
          </reference>
        </references>
      </pivotArea>
    </format>
    <format dxfId="510">
      <pivotArea dataOnly="0" labelOnly="1" fieldPosition="0">
        <references count="5">
          <reference field="0" count="1" selected="0">
            <x v="40"/>
          </reference>
          <reference field="1" count="1" selected="0">
            <x v="232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09">
      <pivotArea dataOnly="0" labelOnly="1" fieldPosition="0">
        <references count="5">
          <reference field="0" count="1" selected="0">
            <x v="40"/>
          </reference>
          <reference field="1" count="1" selected="0">
            <x v="239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508">
      <pivotArea dataOnly="0" labelOnly="1" fieldPosition="0">
        <references count="5">
          <reference field="0" count="1" selected="0">
            <x v="40"/>
          </reference>
          <reference field="1" count="1" selected="0">
            <x v="24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507">
      <pivotArea dataOnly="0" labelOnly="1" fieldPosition="0">
        <references count="5">
          <reference field="0" count="1" selected="0">
            <x v="40"/>
          </reference>
          <reference field="1" count="1" selected="0">
            <x v="261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97"/>
          </reference>
        </references>
      </pivotArea>
    </format>
    <format dxfId="506">
      <pivotArea dataOnly="0" labelOnly="1" fieldPosition="0">
        <references count="5">
          <reference field="0" count="1" selected="0">
            <x v="40"/>
          </reference>
          <reference field="1" count="1" selected="0">
            <x v="270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505">
      <pivotArea dataOnly="0" labelOnly="1" fieldPosition="0">
        <references count="5">
          <reference field="0" count="1" selected="0">
            <x v="40"/>
          </reference>
          <reference field="1" count="1" selected="0">
            <x v="277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34"/>
          </reference>
        </references>
      </pivotArea>
    </format>
    <format dxfId="504">
      <pivotArea dataOnly="0" labelOnly="1" fieldPosition="0">
        <references count="5">
          <reference field="0" count="1" selected="0">
            <x v="40"/>
          </reference>
          <reference field="1" count="1" selected="0">
            <x v="27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3"/>
          </reference>
        </references>
      </pivotArea>
    </format>
    <format dxfId="503">
      <pivotArea dataOnly="0" labelOnly="1" fieldPosition="0">
        <references count="5">
          <reference field="0" count="1" selected="0">
            <x v="40"/>
          </reference>
          <reference field="1" count="1" selected="0">
            <x v="31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502">
      <pivotArea dataOnly="0" labelOnly="1" fieldPosition="0">
        <references count="5">
          <reference field="0" count="1" selected="0">
            <x v="40"/>
          </reference>
          <reference field="1" count="1" selected="0">
            <x v="328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501">
      <pivotArea dataOnly="0" labelOnly="1" fieldPosition="0">
        <references count="5">
          <reference field="0" count="1" selected="0">
            <x v="40"/>
          </reference>
          <reference field="1" count="1" selected="0">
            <x v="36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14"/>
          </reference>
        </references>
      </pivotArea>
    </format>
    <format dxfId="500">
      <pivotArea dataOnly="0" labelOnly="1" fieldPosition="0">
        <references count="5">
          <reference field="0" count="1" selected="0">
            <x v="40"/>
          </reference>
          <reference field="1" count="1" selected="0">
            <x v="375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99">
      <pivotArea dataOnly="0" labelOnly="1" fieldPosition="0">
        <references count="5">
          <reference field="0" count="1" selected="0">
            <x v="40"/>
          </reference>
          <reference field="1" count="1" selected="0">
            <x v="384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498">
      <pivotArea dataOnly="0" labelOnly="1" fieldPosition="0">
        <references count="5">
          <reference field="0" count="1" selected="0">
            <x v="40"/>
          </reference>
          <reference field="1" count="1" selected="0">
            <x v="38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191"/>
          </reference>
        </references>
      </pivotArea>
    </format>
    <format dxfId="497">
      <pivotArea dataOnly="0" labelOnly="1" fieldPosition="0">
        <references count="5">
          <reference field="0" count="1" selected="0">
            <x v="40"/>
          </reference>
          <reference field="1" count="1" selected="0">
            <x v="394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20"/>
          </reference>
        </references>
      </pivotArea>
    </format>
    <format dxfId="496">
      <pivotArea dataOnly="0" labelOnly="1" fieldPosition="0">
        <references count="5">
          <reference field="0" count="1" selected="0">
            <x v="40"/>
          </reference>
          <reference field="1" count="1" selected="0">
            <x v="446"/>
          </reference>
          <reference field="2" count="1" selected="0">
            <x v="28"/>
          </reference>
          <reference field="3" count="1" selected="0">
            <x v="3"/>
          </reference>
          <reference field="4" count="1">
            <x v="148"/>
          </reference>
        </references>
      </pivotArea>
    </format>
    <format dxfId="495">
      <pivotArea dataOnly="0" labelOnly="1" fieldPosition="0">
        <references count="5">
          <reference field="0" count="1" selected="0">
            <x v="40"/>
          </reference>
          <reference field="1" count="1" selected="0">
            <x v="449"/>
          </reference>
          <reference field="2" count="1" selected="0">
            <x v="28"/>
          </reference>
          <reference field="3" count="1" selected="0">
            <x v="4"/>
          </reference>
          <reference field="4" count="1">
            <x v="203"/>
          </reference>
        </references>
      </pivotArea>
    </format>
    <format dxfId="494">
      <pivotArea collapsedLevelsAreSubtotals="1" fieldPosition="0">
        <references count="5">
          <reference field="0" count="1" selected="0">
            <x v="41"/>
          </reference>
          <reference field="1" count="1" selected="0">
            <x v="1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53"/>
          </reference>
        </references>
      </pivotArea>
    </format>
    <format dxfId="493">
      <pivotArea collapsedLevelsAreSubtotals="1" fieldPosition="0">
        <references count="5">
          <reference field="0" count="1" selected="0">
            <x v="41"/>
          </reference>
          <reference field="1" count="1" selected="0">
            <x v="48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17"/>
          </reference>
        </references>
      </pivotArea>
    </format>
    <format dxfId="492">
      <pivotArea collapsedLevelsAreSubtotals="1" fieldPosition="0">
        <references count="5">
          <reference field="0" count="1" selected="0">
            <x v="41"/>
          </reference>
          <reference field="1" count="1" selected="0">
            <x v="89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91">
      <pivotArea collapsedLevelsAreSubtotals="1" fieldPosition="0">
        <references count="5">
          <reference field="0" count="1" selected="0">
            <x v="41"/>
          </reference>
          <reference field="1" count="1" selected="0">
            <x v="208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02"/>
          </reference>
        </references>
      </pivotArea>
    </format>
    <format dxfId="490">
      <pivotArea collapsedLevelsAreSubtotals="1" fieldPosition="0">
        <references count="5">
          <reference field="0" count="1" selected="0">
            <x v="41"/>
          </reference>
          <reference field="1" count="1" selected="0">
            <x v="213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11"/>
          </reference>
        </references>
      </pivotArea>
    </format>
    <format dxfId="489">
      <pivotArea collapsedLevelsAreSubtotals="1" fieldPosition="0">
        <references count="5">
          <reference field="0" count="1" selected="0">
            <x v="41"/>
          </reference>
          <reference field="1" count="1" selected="0">
            <x v="225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488">
      <pivotArea collapsedLevelsAreSubtotals="1" fieldPosition="0">
        <references count="5">
          <reference field="0" count="1" selected="0">
            <x v="41"/>
          </reference>
          <reference field="1" count="1" selected="0">
            <x v="227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66"/>
          </reference>
        </references>
      </pivotArea>
    </format>
    <format dxfId="487">
      <pivotArea collapsedLevelsAreSubtotals="1" fieldPosition="0">
        <references count="5">
          <reference field="0" count="1" selected="0">
            <x v="41"/>
          </reference>
          <reference field="1" count="1" selected="0">
            <x v="236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86">
      <pivotArea collapsedLevelsAreSubtotals="1" fieldPosition="0">
        <references count="5">
          <reference field="0" count="1" selected="0">
            <x v="41"/>
          </reference>
          <reference field="1" count="1" selected="0">
            <x v="348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195"/>
          </reference>
        </references>
      </pivotArea>
    </format>
    <format dxfId="485">
      <pivotArea collapsedLevelsAreSubtotals="1" fieldPosition="0">
        <references count="5">
          <reference field="0" count="1" selected="0">
            <x v="41"/>
          </reference>
          <reference field="1" count="1" selected="0">
            <x v="357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84">
      <pivotArea collapsedLevelsAreSubtotals="1" fieldPosition="0">
        <references count="5">
          <reference field="0" count="1" selected="0">
            <x v="41"/>
          </reference>
          <reference field="1" count="1" selected="0">
            <x v="404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83">
      <pivotArea collapsedLevelsAreSubtotals="1" fieldPosition="0">
        <references count="5">
          <reference field="0" count="1" selected="0">
            <x v="41"/>
          </reference>
          <reference field="1" count="1" selected="0">
            <x v="405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67"/>
          </reference>
        </references>
      </pivotArea>
    </format>
    <format dxfId="482">
      <pivotArea collapsedLevelsAreSubtotals="1" fieldPosition="0">
        <references count="5">
          <reference field="0" count="1" selected="0">
            <x v="41"/>
          </reference>
          <reference field="1" count="1" selected="0">
            <x v="439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13"/>
          </reference>
        </references>
      </pivotArea>
    </format>
    <format dxfId="481">
      <pivotArea collapsedLevelsAreSubtotals="1" fieldPosition="0">
        <references count="5">
          <reference field="0" count="1" selected="0">
            <x v="41"/>
          </reference>
          <reference field="1" count="1" selected="0">
            <x v="443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80">
      <pivotArea collapsedLevelsAreSubtotals="1" fieldPosition="0">
        <references count="2">
          <reference field="0" count="1" selected="0">
            <x v="41"/>
          </reference>
          <reference field="2" count="1" defaultSubtotal="1">
            <x v="53"/>
          </reference>
        </references>
      </pivotArea>
    </format>
    <format dxfId="479">
      <pivotArea dataOnly="0" labelOnly="1" fieldPosition="0">
        <references count="1">
          <reference field="0" count="1">
            <x v="41"/>
          </reference>
        </references>
      </pivotArea>
    </format>
    <format dxfId="478">
      <pivotArea dataOnly="0" labelOnly="1" fieldPosition="0">
        <references count="2">
          <reference field="0" count="1" selected="0">
            <x v="41"/>
          </reference>
          <reference field="2" count="1">
            <x v="53"/>
          </reference>
        </references>
      </pivotArea>
    </format>
    <format dxfId="477">
      <pivotArea dataOnly="0" labelOnly="1" fieldPosition="0">
        <references count="2">
          <reference field="0" count="1" selected="0">
            <x v="41"/>
          </reference>
          <reference field="2" count="1" defaultSubtotal="1">
            <x v="53"/>
          </reference>
        </references>
      </pivotArea>
    </format>
    <format dxfId="476">
      <pivotArea dataOnly="0" labelOnly="1" fieldPosition="0">
        <references count="3">
          <reference field="0" count="1" selected="0">
            <x v="41"/>
          </reference>
          <reference field="1" count="14">
            <x v="1"/>
            <x v="48"/>
            <x v="89"/>
            <x v="208"/>
            <x v="213"/>
            <x v="225"/>
            <x v="227"/>
            <x v="236"/>
            <x v="348"/>
            <x v="357"/>
            <x v="404"/>
            <x v="405"/>
            <x v="439"/>
            <x v="443"/>
          </reference>
          <reference field="2" count="1" selected="0">
            <x v="53"/>
          </reference>
        </references>
      </pivotArea>
    </format>
    <format dxfId="475">
      <pivotArea dataOnly="0" labelOnly="1" fieldPosition="0">
        <references count="4">
          <reference field="0" count="1" selected="0">
            <x v="41"/>
          </reference>
          <reference field="1" count="1" selected="0">
            <x v="1"/>
          </reference>
          <reference field="2" count="1" selected="0">
            <x v="53"/>
          </reference>
          <reference field="3" count="1">
            <x v="3"/>
          </reference>
        </references>
      </pivotArea>
    </format>
    <format dxfId="474">
      <pivotArea dataOnly="0" labelOnly="1" fieldPosition="0">
        <references count="4">
          <reference field="0" count="1" selected="0">
            <x v="41"/>
          </reference>
          <reference field="1" count="1" selected="0">
            <x v="208"/>
          </reference>
          <reference field="2" count="1" selected="0">
            <x v="53"/>
          </reference>
          <reference field="3" count="1">
            <x v="4"/>
          </reference>
        </references>
      </pivotArea>
    </format>
    <format dxfId="473">
      <pivotArea dataOnly="0" labelOnly="1" fieldPosition="0">
        <references count="4">
          <reference field="0" count="1" selected="0">
            <x v="41"/>
          </reference>
          <reference field="1" count="1" selected="0">
            <x v="225"/>
          </reference>
          <reference field="2" count="1" selected="0">
            <x v="53"/>
          </reference>
          <reference field="3" count="1">
            <x v="3"/>
          </reference>
        </references>
      </pivotArea>
    </format>
    <format dxfId="472">
      <pivotArea dataOnly="0" labelOnly="1" fieldPosition="0">
        <references count="4">
          <reference field="0" count="1" selected="0">
            <x v="41"/>
          </reference>
          <reference field="1" count="1" selected="0">
            <x v="348"/>
          </reference>
          <reference field="2" count="1" selected="0">
            <x v="53"/>
          </reference>
          <reference field="3" count="1">
            <x v="4"/>
          </reference>
        </references>
      </pivotArea>
    </format>
    <format dxfId="471">
      <pivotArea dataOnly="0" labelOnly="1" fieldPosition="0">
        <references count="4">
          <reference field="0" count="1" selected="0">
            <x v="41"/>
          </reference>
          <reference field="1" count="1" selected="0">
            <x v="357"/>
          </reference>
          <reference field="2" count="1" selected="0">
            <x v="53"/>
          </reference>
          <reference field="3" count="1">
            <x v="3"/>
          </reference>
        </references>
      </pivotArea>
    </format>
    <format dxfId="470">
      <pivotArea dataOnly="0" labelOnly="1" fieldPosition="0">
        <references count="4">
          <reference field="0" count="1" selected="0">
            <x v="41"/>
          </reference>
          <reference field="1" count="1" selected="0">
            <x v="439"/>
          </reference>
          <reference field="2" count="1" selected="0">
            <x v="53"/>
          </reference>
          <reference field="3" count="1">
            <x v="4"/>
          </reference>
        </references>
      </pivotArea>
    </format>
    <format dxfId="469">
      <pivotArea dataOnly="0" labelOnly="1" fieldPosition="0">
        <references count="4">
          <reference field="0" count="1" selected="0">
            <x v="41"/>
          </reference>
          <reference field="1" count="1" selected="0">
            <x v="443"/>
          </reference>
          <reference field="2" count="1" selected="0">
            <x v="53"/>
          </reference>
          <reference field="3" count="1">
            <x v="3"/>
          </reference>
        </references>
      </pivotArea>
    </format>
    <format dxfId="468">
      <pivotArea dataOnly="0" labelOnly="1" fieldPosition="0">
        <references count="5">
          <reference field="0" count="1" selected="0">
            <x v="41"/>
          </reference>
          <reference field="1" count="1" selected="0">
            <x v="1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53"/>
          </reference>
        </references>
      </pivotArea>
    </format>
    <format dxfId="467">
      <pivotArea dataOnly="0" labelOnly="1" fieldPosition="0">
        <references count="5">
          <reference field="0" count="1" selected="0">
            <x v="41"/>
          </reference>
          <reference field="1" count="1" selected="0">
            <x v="48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17"/>
          </reference>
        </references>
      </pivotArea>
    </format>
    <format dxfId="466">
      <pivotArea dataOnly="0" labelOnly="1" fieldPosition="0">
        <references count="5">
          <reference field="0" count="1" selected="0">
            <x v="41"/>
          </reference>
          <reference field="1" count="1" selected="0">
            <x v="89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65">
      <pivotArea dataOnly="0" labelOnly="1" fieldPosition="0">
        <references count="5">
          <reference field="0" count="1" selected="0">
            <x v="41"/>
          </reference>
          <reference field="1" count="1" selected="0">
            <x v="208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02"/>
          </reference>
        </references>
      </pivotArea>
    </format>
    <format dxfId="464">
      <pivotArea dataOnly="0" labelOnly="1" fieldPosition="0">
        <references count="5">
          <reference field="0" count="1" selected="0">
            <x v="41"/>
          </reference>
          <reference field="1" count="1" selected="0">
            <x v="213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11"/>
          </reference>
        </references>
      </pivotArea>
    </format>
    <format dxfId="463">
      <pivotArea dataOnly="0" labelOnly="1" fieldPosition="0">
        <references count="5">
          <reference field="0" count="1" selected="0">
            <x v="41"/>
          </reference>
          <reference field="1" count="1" selected="0">
            <x v="225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462">
      <pivotArea dataOnly="0" labelOnly="1" fieldPosition="0">
        <references count="5">
          <reference field="0" count="1" selected="0">
            <x v="41"/>
          </reference>
          <reference field="1" count="1" selected="0">
            <x v="227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66"/>
          </reference>
        </references>
      </pivotArea>
    </format>
    <format dxfId="461">
      <pivotArea dataOnly="0" labelOnly="1" fieldPosition="0">
        <references count="5">
          <reference field="0" count="1" selected="0">
            <x v="41"/>
          </reference>
          <reference field="1" count="1" selected="0">
            <x v="236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60">
      <pivotArea dataOnly="0" labelOnly="1" fieldPosition="0">
        <references count="5">
          <reference field="0" count="1" selected="0">
            <x v="41"/>
          </reference>
          <reference field="1" count="1" selected="0">
            <x v="348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195"/>
          </reference>
        </references>
      </pivotArea>
    </format>
    <format dxfId="459">
      <pivotArea dataOnly="0" labelOnly="1" fieldPosition="0">
        <references count="5">
          <reference field="0" count="1" selected="0">
            <x v="41"/>
          </reference>
          <reference field="1" count="1" selected="0">
            <x v="357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58">
      <pivotArea dataOnly="0" labelOnly="1" fieldPosition="0">
        <references count="5">
          <reference field="0" count="1" selected="0">
            <x v="41"/>
          </reference>
          <reference field="1" count="1" selected="0">
            <x v="404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57">
      <pivotArea dataOnly="0" labelOnly="1" fieldPosition="0">
        <references count="5">
          <reference field="0" count="1" selected="0">
            <x v="41"/>
          </reference>
          <reference field="1" count="1" selected="0">
            <x v="405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167"/>
          </reference>
        </references>
      </pivotArea>
    </format>
    <format dxfId="456">
      <pivotArea dataOnly="0" labelOnly="1" fieldPosition="0">
        <references count="5">
          <reference field="0" count="1" selected="0">
            <x v="41"/>
          </reference>
          <reference field="1" count="1" selected="0">
            <x v="439"/>
          </reference>
          <reference field="2" count="1" selected="0">
            <x v="53"/>
          </reference>
          <reference field="3" count="1" selected="0">
            <x v="4"/>
          </reference>
          <reference field="4" count="1">
            <x v="213"/>
          </reference>
        </references>
      </pivotArea>
    </format>
    <format dxfId="455">
      <pivotArea dataOnly="0" labelOnly="1" fieldPosition="0">
        <references count="5">
          <reference field="0" count="1" selected="0">
            <x v="41"/>
          </reference>
          <reference field="1" count="1" selected="0">
            <x v="443"/>
          </reference>
          <reference field="2" count="1" selected="0">
            <x v="5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54">
      <pivotArea collapsedLevelsAreSubtotals="1" fieldPosition="0">
        <references count="5">
          <reference field="0" count="1" selected="0">
            <x v="42"/>
          </reference>
          <reference field="1" count="1" selected="0">
            <x v="3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53">
      <pivotArea collapsedLevelsAreSubtotals="1" fieldPosition="0">
        <references count="5">
          <reference field="0" count="1" selected="0">
            <x v="42"/>
          </reference>
          <reference field="1" count="1" selected="0">
            <x v="3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105"/>
          </reference>
        </references>
      </pivotArea>
    </format>
    <format dxfId="452">
      <pivotArea collapsedLevelsAreSubtotals="1" fieldPosition="0">
        <references count="5">
          <reference field="0" count="1" selected="0">
            <x v="42"/>
          </reference>
          <reference field="1" count="1" selected="0">
            <x v="8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451">
      <pivotArea collapsedLevelsAreSubtotals="1" fieldPosition="0">
        <references count="5">
          <reference field="0" count="1" selected="0">
            <x v="42"/>
          </reference>
          <reference field="1" count="1" selected="0">
            <x v="9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50">
      <pivotArea collapsedLevelsAreSubtotals="1" fieldPosition="0">
        <references count="5">
          <reference field="0" count="1" selected="0">
            <x v="42"/>
          </reference>
          <reference field="1" count="1" selected="0">
            <x v="121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449">
      <pivotArea collapsedLevelsAreSubtotals="1" fieldPosition="0">
        <references count="5">
          <reference field="0" count="1" selected="0">
            <x v="42"/>
          </reference>
          <reference field="1" count="1" selected="0">
            <x v="145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448">
      <pivotArea collapsedLevelsAreSubtotals="1" fieldPosition="0">
        <references count="5">
          <reference field="0" count="1" selected="0">
            <x v="42"/>
          </reference>
          <reference field="1" count="1" selected="0">
            <x v="16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447">
      <pivotArea collapsedLevelsAreSubtotals="1" fieldPosition="0">
        <references count="5">
          <reference field="0" count="1" selected="0">
            <x v="42"/>
          </reference>
          <reference field="1" count="1" selected="0">
            <x v="167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446">
      <pivotArea collapsedLevelsAreSubtotals="1" fieldPosition="0">
        <references count="5">
          <reference field="0" count="1" selected="0">
            <x v="42"/>
          </reference>
          <reference field="1" count="1" selected="0">
            <x v="17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26"/>
          </reference>
        </references>
      </pivotArea>
    </format>
    <format dxfId="445">
      <pivotArea collapsedLevelsAreSubtotals="1" fieldPosition="0">
        <references count="5">
          <reference field="0" count="1" selected="0">
            <x v="42"/>
          </reference>
          <reference field="1" count="1" selected="0">
            <x v="231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44">
      <pivotArea collapsedLevelsAreSubtotals="1" fieldPosition="0">
        <references count="5">
          <reference field="0" count="1" selected="0">
            <x v="42"/>
          </reference>
          <reference field="1" count="1" selected="0">
            <x v="317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43">
      <pivotArea collapsedLevelsAreSubtotals="1" fieldPosition="0">
        <references count="5">
          <reference field="0" count="1" selected="0">
            <x v="42"/>
          </reference>
          <reference field="1" count="1" selected="0">
            <x v="33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83"/>
          </reference>
        </references>
      </pivotArea>
    </format>
    <format dxfId="442">
      <pivotArea collapsedLevelsAreSubtotals="1" fieldPosition="0">
        <references count="5">
          <reference field="0" count="1" selected="0">
            <x v="42"/>
          </reference>
          <reference field="1" count="1" selected="0">
            <x v="429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441">
      <pivotArea collapsedLevelsAreSubtotals="1" fieldPosition="0">
        <references count="2">
          <reference field="0" count="1" selected="0">
            <x v="42"/>
          </reference>
          <reference field="2" count="1" defaultSubtotal="1">
            <x v="7"/>
          </reference>
        </references>
      </pivotArea>
    </format>
    <format dxfId="440">
      <pivotArea dataOnly="0" labelOnly="1" fieldPosition="0">
        <references count="1">
          <reference field="0" count="1">
            <x v="42"/>
          </reference>
        </references>
      </pivotArea>
    </format>
    <format dxfId="439">
      <pivotArea dataOnly="0" labelOnly="1" fieldPosition="0">
        <references count="2">
          <reference field="0" count="1" selected="0">
            <x v="42"/>
          </reference>
          <reference field="2" count="1">
            <x v="7"/>
          </reference>
        </references>
      </pivotArea>
    </format>
    <format dxfId="438">
      <pivotArea dataOnly="0" labelOnly="1" fieldPosition="0">
        <references count="2">
          <reference field="0" count="1" selected="0">
            <x v="42"/>
          </reference>
          <reference field="2" count="1" defaultSubtotal="1">
            <x v="7"/>
          </reference>
        </references>
      </pivotArea>
    </format>
    <format dxfId="437">
      <pivotArea dataOnly="0" labelOnly="1" fieldPosition="0">
        <references count="3">
          <reference field="0" count="1" selected="0">
            <x v="42"/>
          </reference>
          <reference field="1" count="13">
            <x v="32"/>
            <x v="36"/>
            <x v="86"/>
            <x v="96"/>
            <x v="121"/>
            <x v="145"/>
            <x v="166"/>
            <x v="167"/>
            <x v="172"/>
            <x v="231"/>
            <x v="317"/>
            <x v="332"/>
            <x v="429"/>
          </reference>
          <reference field="2" count="1" selected="0">
            <x v="7"/>
          </reference>
        </references>
      </pivotArea>
    </format>
    <format dxfId="436">
      <pivotArea dataOnly="0" labelOnly="1" fieldPosition="0">
        <references count="4">
          <reference field="0" count="1" selected="0">
            <x v="42"/>
          </reference>
          <reference field="1" count="1" selected="0">
            <x v="32"/>
          </reference>
          <reference field="2" count="1" selected="0">
            <x v="7"/>
          </reference>
          <reference field="3" count="1">
            <x v="3"/>
          </reference>
        </references>
      </pivotArea>
    </format>
    <format dxfId="435">
      <pivotArea dataOnly="0" labelOnly="1" fieldPosition="0">
        <references count="5">
          <reference field="0" count="1" selected="0">
            <x v="42"/>
          </reference>
          <reference field="1" count="1" selected="0">
            <x v="3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34">
      <pivotArea dataOnly="0" labelOnly="1" fieldPosition="0">
        <references count="5">
          <reference field="0" count="1" selected="0">
            <x v="42"/>
          </reference>
          <reference field="1" count="1" selected="0">
            <x v="3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105"/>
          </reference>
        </references>
      </pivotArea>
    </format>
    <format dxfId="433">
      <pivotArea dataOnly="0" labelOnly="1" fieldPosition="0">
        <references count="5">
          <reference field="0" count="1" selected="0">
            <x v="42"/>
          </reference>
          <reference field="1" count="1" selected="0">
            <x v="8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432">
      <pivotArea dataOnly="0" labelOnly="1" fieldPosition="0">
        <references count="5">
          <reference field="0" count="1" selected="0">
            <x v="42"/>
          </reference>
          <reference field="1" count="1" selected="0">
            <x v="9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31">
      <pivotArea dataOnly="0" labelOnly="1" fieldPosition="0">
        <references count="5">
          <reference field="0" count="1" selected="0">
            <x v="42"/>
          </reference>
          <reference field="1" count="1" selected="0">
            <x v="121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430">
      <pivotArea dataOnly="0" labelOnly="1" fieldPosition="0">
        <references count="5">
          <reference field="0" count="1" selected="0">
            <x v="42"/>
          </reference>
          <reference field="1" count="1" selected="0">
            <x v="145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429">
      <pivotArea dataOnly="0" labelOnly="1" fieldPosition="0">
        <references count="5">
          <reference field="0" count="1" selected="0">
            <x v="42"/>
          </reference>
          <reference field="1" count="1" selected="0">
            <x v="166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428">
      <pivotArea dataOnly="0" labelOnly="1" fieldPosition="0">
        <references count="5">
          <reference field="0" count="1" selected="0">
            <x v="42"/>
          </reference>
          <reference field="1" count="1" selected="0">
            <x v="167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427">
      <pivotArea dataOnly="0" labelOnly="1" fieldPosition="0">
        <references count="5">
          <reference field="0" count="1" selected="0">
            <x v="42"/>
          </reference>
          <reference field="1" count="1" selected="0">
            <x v="17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26"/>
          </reference>
        </references>
      </pivotArea>
    </format>
    <format dxfId="426">
      <pivotArea dataOnly="0" labelOnly="1" fieldPosition="0">
        <references count="5">
          <reference field="0" count="1" selected="0">
            <x v="42"/>
          </reference>
          <reference field="1" count="1" selected="0">
            <x v="231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425">
      <pivotArea dataOnly="0" labelOnly="1" fieldPosition="0">
        <references count="5">
          <reference field="0" count="1" selected="0">
            <x v="42"/>
          </reference>
          <reference field="1" count="1" selected="0">
            <x v="317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424">
      <pivotArea dataOnly="0" labelOnly="1" fieldPosition="0">
        <references count="5">
          <reference field="0" count="1" selected="0">
            <x v="42"/>
          </reference>
          <reference field="1" count="1" selected="0">
            <x v="332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83"/>
          </reference>
        </references>
      </pivotArea>
    </format>
    <format dxfId="423">
      <pivotArea dataOnly="0" labelOnly="1" fieldPosition="0">
        <references count="5">
          <reference field="0" count="1" selected="0">
            <x v="42"/>
          </reference>
          <reference field="1" count="1" selected="0">
            <x v="429"/>
          </reference>
          <reference field="2" count="1" selected="0">
            <x v="7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422">
      <pivotArea collapsedLevelsAreSubtotals="1" fieldPosition="0">
        <references count="5">
          <reference field="0" count="1" selected="0">
            <x v="43"/>
          </reference>
          <reference field="1" count="1" selected="0">
            <x v="13"/>
          </reference>
          <reference field="2" count="1" selected="0">
            <x v="29"/>
          </reference>
          <reference field="3" count="1" selected="0">
            <x v="0"/>
          </reference>
          <reference field="4" count="1">
            <x v="45"/>
          </reference>
        </references>
      </pivotArea>
    </format>
    <format dxfId="421">
      <pivotArea collapsedLevelsAreSubtotals="1" fieldPosition="0">
        <references count="5">
          <reference field="0" count="1" selected="0">
            <x v="43"/>
          </reference>
          <reference field="1" count="1" selected="0">
            <x v="14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90"/>
          </reference>
        </references>
      </pivotArea>
    </format>
    <format dxfId="420">
      <pivotArea collapsedLevelsAreSubtotals="1" fieldPosition="0">
        <references count="5">
          <reference field="0" count="1" selected="0">
            <x v="43"/>
          </reference>
          <reference field="1" count="1" selected="0">
            <x v="16"/>
          </reference>
          <reference field="2" count="1" selected="0">
            <x v="29"/>
          </reference>
          <reference field="3" count="1" selected="0">
            <x v="0"/>
          </reference>
          <reference field="4" count="1">
            <x v="91"/>
          </reference>
        </references>
      </pivotArea>
    </format>
    <format dxfId="419">
      <pivotArea collapsedLevelsAreSubtotals="1" fieldPosition="0">
        <references count="5">
          <reference field="0" count="1" selected="0">
            <x v="43"/>
          </reference>
          <reference field="1" count="1" selected="0">
            <x v="84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90"/>
          </reference>
        </references>
      </pivotArea>
    </format>
    <format dxfId="418">
      <pivotArea collapsedLevelsAreSubtotals="1" fieldPosition="0">
        <references count="5">
          <reference field="0" count="1" selected="0">
            <x v="43"/>
          </reference>
          <reference field="1" count="1" selected="0">
            <x v="133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49"/>
          </reference>
        </references>
      </pivotArea>
    </format>
    <format dxfId="417">
      <pivotArea collapsedLevelsAreSubtotals="1" fieldPosition="0">
        <references count="5">
          <reference field="0" count="1" selected="0">
            <x v="43"/>
          </reference>
          <reference field="1" count="1" selected="0">
            <x v="181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13"/>
          </reference>
        </references>
      </pivotArea>
    </format>
    <format dxfId="416">
      <pivotArea collapsedLevelsAreSubtotals="1" fieldPosition="0">
        <references count="5">
          <reference field="0" count="1" selected="0">
            <x v="43"/>
          </reference>
          <reference field="1" count="1" selected="0">
            <x v="210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62"/>
          </reference>
        </references>
      </pivotArea>
    </format>
    <format dxfId="415">
      <pivotArea collapsedLevelsAreSubtotals="1" fieldPosition="0">
        <references count="5">
          <reference field="0" count="1" selected="0">
            <x v="43"/>
          </reference>
          <reference field="1" count="1" selected="0">
            <x v="291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54"/>
          </reference>
        </references>
      </pivotArea>
    </format>
    <format dxfId="414">
      <pivotArea collapsedLevelsAreSubtotals="1" fieldPosition="0">
        <references count="5">
          <reference field="0" count="1" selected="0">
            <x v="43"/>
          </reference>
          <reference field="1" count="1" selected="0">
            <x v="312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38"/>
          </reference>
        </references>
      </pivotArea>
    </format>
    <format dxfId="413">
      <pivotArea collapsedLevelsAreSubtotals="1" fieldPosition="0">
        <references count="2">
          <reference field="0" count="1" selected="0">
            <x v="43"/>
          </reference>
          <reference field="2" count="1" defaultSubtotal="1">
            <x v="29"/>
          </reference>
        </references>
      </pivotArea>
    </format>
    <format dxfId="412">
      <pivotArea dataOnly="0" labelOnly="1" fieldPosition="0">
        <references count="1">
          <reference field="0" count="1">
            <x v="43"/>
          </reference>
        </references>
      </pivotArea>
    </format>
    <format dxfId="411">
      <pivotArea dataOnly="0" labelOnly="1" fieldPosition="0">
        <references count="2">
          <reference field="0" count="1" selected="0">
            <x v="43"/>
          </reference>
          <reference field="2" count="1">
            <x v="29"/>
          </reference>
        </references>
      </pivotArea>
    </format>
    <format dxfId="410">
      <pivotArea dataOnly="0" labelOnly="1" fieldPosition="0">
        <references count="2">
          <reference field="0" count="1" selected="0">
            <x v="43"/>
          </reference>
          <reference field="2" count="1" defaultSubtotal="1">
            <x v="29"/>
          </reference>
        </references>
      </pivotArea>
    </format>
    <format dxfId="409">
      <pivotArea dataOnly="0" labelOnly="1" fieldPosition="0">
        <references count="3">
          <reference field="0" count="1" selected="0">
            <x v="43"/>
          </reference>
          <reference field="1" count="9">
            <x v="13"/>
            <x v="14"/>
            <x v="16"/>
            <x v="84"/>
            <x v="133"/>
            <x v="181"/>
            <x v="210"/>
            <x v="291"/>
            <x v="312"/>
          </reference>
          <reference field="2" count="1" selected="0">
            <x v="29"/>
          </reference>
        </references>
      </pivotArea>
    </format>
    <format dxfId="408">
      <pivotArea dataOnly="0" labelOnly="1" fieldPosition="0">
        <references count="4">
          <reference field="0" count="1" selected="0">
            <x v="43"/>
          </reference>
          <reference field="1" count="1" selected="0">
            <x v="13"/>
          </reference>
          <reference field="2" count="1" selected="0">
            <x v="29"/>
          </reference>
          <reference field="3" count="1">
            <x v="0"/>
          </reference>
        </references>
      </pivotArea>
    </format>
    <format dxfId="407">
      <pivotArea dataOnly="0" labelOnly="1" fieldPosition="0">
        <references count="4">
          <reference field="0" count="1" selected="0">
            <x v="43"/>
          </reference>
          <reference field="1" count="1" selected="0">
            <x v="14"/>
          </reference>
          <reference field="2" count="1" selected="0">
            <x v="29"/>
          </reference>
          <reference field="3" count="1">
            <x v="3"/>
          </reference>
        </references>
      </pivotArea>
    </format>
    <format dxfId="406">
      <pivotArea dataOnly="0" labelOnly="1" fieldPosition="0">
        <references count="4">
          <reference field="0" count="1" selected="0">
            <x v="43"/>
          </reference>
          <reference field="1" count="1" selected="0">
            <x v="16"/>
          </reference>
          <reference field="2" count="1" selected="0">
            <x v="29"/>
          </reference>
          <reference field="3" count="1">
            <x v="0"/>
          </reference>
        </references>
      </pivotArea>
    </format>
    <format dxfId="405">
      <pivotArea dataOnly="0" labelOnly="1" fieldPosition="0">
        <references count="4">
          <reference field="0" count="1" selected="0">
            <x v="43"/>
          </reference>
          <reference field="1" count="1" selected="0">
            <x v="84"/>
          </reference>
          <reference field="2" count="1" selected="0">
            <x v="29"/>
          </reference>
          <reference field="3" count="1">
            <x v="3"/>
          </reference>
        </references>
      </pivotArea>
    </format>
    <format dxfId="404">
      <pivotArea dataOnly="0" labelOnly="1" fieldPosition="0">
        <references count="5">
          <reference field="0" count="1" selected="0">
            <x v="43"/>
          </reference>
          <reference field="1" count="1" selected="0">
            <x v="13"/>
          </reference>
          <reference field="2" count="1" selected="0">
            <x v="29"/>
          </reference>
          <reference field="3" count="1" selected="0">
            <x v="0"/>
          </reference>
          <reference field="4" count="1">
            <x v="45"/>
          </reference>
        </references>
      </pivotArea>
    </format>
    <format dxfId="403">
      <pivotArea dataOnly="0" labelOnly="1" fieldPosition="0">
        <references count="5">
          <reference field="0" count="1" selected="0">
            <x v="43"/>
          </reference>
          <reference field="1" count="1" selected="0">
            <x v="14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90"/>
          </reference>
        </references>
      </pivotArea>
    </format>
    <format dxfId="402">
      <pivotArea dataOnly="0" labelOnly="1" fieldPosition="0">
        <references count="5">
          <reference field="0" count="1" selected="0">
            <x v="43"/>
          </reference>
          <reference field="1" count="1" selected="0">
            <x v="16"/>
          </reference>
          <reference field="2" count="1" selected="0">
            <x v="29"/>
          </reference>
          <reference field="3" count="1" selected="0">
            <x v="0"/>
          </reference>
          <reference field="4" count="1">
            <x v="91"/>
          </reference>
        </references>
      </pivotArea>
    </format>
    <format dxfId="401">
      <pivotArea dataOnly="0" labelOnly="1" fieldPosition="0">
        <references count="5">
          <reference field="0" count="1" selected="0">
            <x v="43"/>
          </reference>
          <reference field="1" count="1" selected="0">
            <x v="84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90"/>
          </reference>
        </references>
      </pivotArea>
    </format>
    <format dxfId="400">
      <pivotArea dataOnly="0" labelOnly="1" fieldPosition="0">
        <references count="5">
          <reference field="0" count="1" selected="0">
            <x v="43"/>
          </reference>
          <reference field="1" count="1" selected="0">
            <x v="133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49"/>
          </reference>
        </references>
      </pivotArea>
    </format>
    <format dxfId="399">
      <pivotArea dataOnly="0" labelOnly="1" fieldPosition="0">
        <references count="5">
          <reference field="0" count="1" selected="0">
            <x v="43"/>
          </reference>
          <reference field="1" count="1" selected="0">
            <x v="181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13"/>
          </reference>
        </references>
      </pivotArea>
    </format>
    <format dxfId="398">
      <pivotArea dataOnly="0" labelOnly="1" fieldPosition="0">
        <references count="5">
          <reference field="0" count="1" selected="0">
            <x v="43"/>
          </reference>
          <reference field="1" count="1" selected="0">
            <x v="210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62"/>
          </reference>
        </references>
      </pivotArea>
    </format>
    <format dxfId="397">
      <pivotArea dataOnly="0" labelOnly="1" fieldPosition="0">
        <references count="5">
          <reference field="0" count="1" selected="0">
            <x v="43"/>
          </reference>
          <reference field="1" count="1" selected="0">
            <x v="291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54"/>
          </reference>
        </references>
      </pivotArea>
    </format>
    <format dxfId="396">
      <pivotArea dataOnly="0" labelOnly="1" fieldPosition="0">
        <references count="5">
          <reference field="0" count="1" selected="0">
            <x v="43"/>
          </reference>
          <reference field="1" count="1" selected="0">
            <x v="312"/>
          </reference>
          <reference field="2" count="1" selected="0">
            <x v="29"/>
          </reference>
          <reference field="3" count="1" selected="0">
            <x v="3"/>
          </reference>
          <reference field="4" count="1">
            <x v="138"/>
          </reference>
        </references>
      </pivotArea>
    </format>
    <format dxfId="395">
      <pivotArea collapsedLevelsAreSubtotals="1" fieldPosition="0">
        <references count="5">
          <reference field="0" count="1" selected="0">
            <x v="44"/>
          </reference>
          <reference field="1" count="1" selected="0">
            <x v="2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394">
      <pivotArea collapsedLevelsAreSubtotals="1" fieldPosition="0">
        <references count="5">
          <reference field="0" count="1" selected="0">
            <x v="44"/>
          </reference>
          <reference field="1" count="1" selected="0">
            <x v="2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393">
      <pivotArea collapsedLevelsAreSubtotals="1" fieldPosition="0">
        <references count="5">
          <reference field="0" count="1" selected="0">
            <x v="44"/>
          </reference>
          <reference field="1" count="1" selected="0">
            <x v="35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189"/>
          </reference>
        </references>
      </pivotArea>
    </format>
    <format dxfId="392">
      <pivotArea collapsedLevelsAreSubtotals="1" fieldPosition="0">
        <references count="5">
          <reference field="0" count="1" selected="0">
            <x v="44"/>
          </reference>
          <reference field="1" count="1" selected="0">
            <x v="150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108"/>
          </reference>
        </references>
      </pivotArea>
    </format>
    <format dxfId="391">
      <pivotArea collapsedLevelsAreSubtotals="1" fieldPosition="0">
        <references count="5">
          <reference field="0" count="1" selected="0">
            <x v="44"/>
          </reference>
          <reference field="1" count="1" selected="0">
            <x v="17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390">
      <pivotArea collapsedLevelsAreSubtotals="1" fieldPosition="0">
        <references count="5">
          <reference field="0" count="1" selected="0">
            <x v="44"/>
          </reference>
          <reference field="1" count="1" selected="0">
            <x v="186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148"/>
          </reference>
        </references>
      </pivotArea>
    </format>
    <format dxfId="389">
      <pivotArea collapsedLevelsAreSubtotals="1" fieldPosition="0">
        <references count="5">
          <reference field="0" count="1" selected="0">
            <x v="44"/>
          </reference>
          <reference field="1" count="1" selected="0">
            <x v="203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78"/>
          </reference>
        </references>
      </pivotArea>
    </format>
    <format dxfId="388">
      <pivotArea collapsedLevelsAreSubtotals="1" fieldPosition="0">
        <references count="5">
          <reference field="0" count="1" selected="0">
            <x v="44"/>
          </reference>
          <reference field="1" count="1" selected="0">
            <x v="219"/>
          </reference>
          <reference field="2" count="1" selected="0">
            <x v="25"/>
          </reference>
          <reference field="3" count="1" selected="0">
            <x v="4"/>
          </reference>
          <reference field="4" count="1">
            <x v="184"/>
          </reference>
        </references>
      </pivotArea>
    </format>
    <format dxfId="387">
      <pivotArea collapsedLevelsAreSubtotals="1" fieldPosition="0">
        <references count="5">
          <reference field="0" count="1" selected="0">
            <x v="44"/>
          </reference>
          <reference field="1" count="1" selected="0">
            <x v="24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86">
      <pivotArea collapsedLevelsAreSubtotals="1" fieldPosition="0">
        <references count="5">
          <reference field="0" count="1" selected="0">
            <x v="44"/>
          </reference>
          <reference field="1" count="1" selected="0">
            <x v="249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385">
      <pivotArea collapsedLevelsAreSubtotals="1" fieldPosition="0">
        <references count="5">
          <reference field="0" count="1" selected="0">
            <x v="44"/>
          </reference>
          <reference field="1" count="1" selected="0">
            <x v="250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384">
      <pivotArea collapsedLevelsAreSubtotals="1" fieldPosition="0">
        <references count="5">
          <reference field="0" count="1" selected="0">
            <x v="44"/>
          </reference>
          <reference field="1" count="1" selected="0">
            <x v="25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383">
      <pivotArea collapsedLevelsAreSubtotals="1" fieldPosition="0">
        <references count="5">
          <reference field="0" count="1" selected="0">
            <x v="44"/>
          </reference>
          <reference field="1" count="1" selected="0">
            <x v="252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382">
      <pivotArea collapsedLevelsAreSubtotals="1" fieldPosition="0">
        <references count="5">
          <reference field="0" count="1" selected="0">
            <x v="44"/>
          </reference>
          <reference field="1" count="1" selected="0">
            <x v="298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36"/>
          </reference>
        </references>
      </pivotArea>
    </format>
    <format dxfId="381">
      <pivotArea collapsedLevelsAreSubtotals="1" fieldPosition="0">
        <references count="5">
          <reference field="0" count="1" selected="0">
            <x v="44"/>
          </reference>
          <reference field="1" count="1" selected="0">
            <x v="329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380">
      <pivotArea collapsedLevelsAreSubtotals="1" fieldPosition="0">
        <references count="5">
          <reference field="0" count="1" selected="0">
            <x v="44"/>
          </reference>
          <reference field="1" count="1" selected="0">
            <x v="362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82"/>
          </reference>
        </references>
      </pivotArea>
    </format>
    <format dxfId="379">
      <pivotArea collapsedLevelsAreSubtotals="1" fieldPosition="0">
        <references count="5">
          <reference field="0" count="1" selected="0">
            <x v="44"/>
          </reference>
          <reference field="1" count="1" selected="0">
            <x v="393"/>
          </reference>
          <reference field="2" count="1" selected="0">
            <x v="25"/>
          </reference>
          <reference field="3" count="1" selected="0">
            <x v="4"/>
          </reference>
          <reference field="4" count="1">
            <x v="187"/>
          </reference>
        </references>
      </pivotArea>
    </format>
    <format dxfId="378">
      <pivotArea collapsedLevelsAreSubtotals="1" fieldPosition="0">
        <references count="5">
          <reference field="0" count="1" selected="0">
            <x v="44"/>
          </reference>
          <reference field="1" count="1" selected="0">
            <x v="398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80"/>
          </reference>
        </references>
      </pivotArea>
    </format>
    <format dxfId="377">
      <pivotArea collapsedLevelsAreSubtotals="1" fieldPosition="0">
        <references count="5">
          <reference field="0" count="1" selected="0">
            <x v="44"/>
          </reference>
          <reference field="1" count="1" selected="0">
            <x v="43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376">
      <pivotArea collapsedLevelsAreSubtotals="1" fieldPosition="0">
        <references count="5">
          <reference field="0" count="1" selected="0">
            <x v="44"/>
          </reference>
          <reference field="1" count="1" selected="0">
            <x v="434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375">
      <pivotArea collapsedLevelsAreSubtotals="1" fieldPosition="0">
        <references count="2">
          <reference field="0" count="1" selected="0">
            <x v="44"/>
          </reference>
          <reference field="2" count="1" defaultSubtotal="1">
            <x v="25"/>
          </reference>
        </references>
      </pivotArea>
    </format>
    <format dxfId="374">
      <pivotArea dataOnly="0" labelOnly="1" fieldPosition="0">
        <references count="1">
          <reference field="0" count="1">
            <x v="44"/>
          </reference>
        </references>
      </pivotArea>
    </format>
    <format dxfId="373">
      <pivotArea dataOnly="0" labelOnly="1" fieldPosition="0">
        <references count="2">
          <reference field="0" count="1" selected="0">
            <x v="44"/>
          </reference>
          <reference field="2" count="1">
            <x v="25"/>
          </reference>
        </references>
      </pivotArea>
    </format>
    <format dxfId="372">
      <pivotArea dataOnly="0" labelOnly="1" fieldPosition="0">
        <references count="2">
          <reference field="0" count="1" selected="0">
            <x v="44"/>
          </reference>
          <reference field="2" count="1" defaultSubtotal="1">
            <x v="25"/>
          </reference>
        </references>
      </pivotArea>
    </format>
    <format dxfId="371">
      <pivotArea dataOnly="0" labelOnly="1" fieldPosition="0">
        <references count="3">
          <reference field="0" count="1" selected="0">
            <x v="44"/>
          </reference>
          <reference field="1" count="20">
            <x v="21"/>
            <x v="23"/>
            <x v="35"/>
            <x v="150"/>
            <x v="173"/>
            <x v="186"/>
            <x v="203"/>
            <x v="219"/>
            <x v="241"/>
            <x v="249"/>
            <x v="250"/>
            <x v="251"/>
            <x v="252"/>
            <x v="298"/>
            <x v="329"/>
            <x v="362"/>
            <x v="393"/>
            <x v="398"/>
            <x v="433"/>
            <x v="434"/>
          </reference>
          <reference field="2" count="1" selected="0">
            <x v="25"/>
          </reference>
        </references>
      </pivotArea>
    </format>
    <format dxfId="370">
      <pivotArea dataOnly="0" labelOnly="1" fieldPosition="0">
        <references count="4">
          <reference field="0" count="1" selected="0">
            <x v="44"/>
          </reference>
          <reference field="1" count="1" selected="0">
            <x v="21"/>
          </reference>
          <reference field="2" count="1" selected="0">
            <x v="25"/>
          </reference>
          <reference field="3" count="1">
            <x v="3"/>
          </reference>
        </references>
      </pivotArea>
    </format>
    <format dxfId="369">
      <pivotArea dataOnly="0" labelOnly="1" fieldPosition="0">
        <references count="4">
          <reference field="0" count="1" selected="0">
            <x v="44"/>
          </reference>
          <reference field="1" count="1" selected="0">
            <x v="35"/>
          </reference>
          <reference field="2" count="1" selected="0">
            <x v="25"/>
          </reference>
          <reference field="3" count="1">
            <x v="0"/>
          </reference>
        </references>
      </pivotArea>
    </format>
    <format dxfId="368">
      <pivotArea dataOnly="0" labelOnly="1" fieldPosition="0">
        <references count="4">
          <reference field="0" count="1" selected="0">
            <x v="44"/>
          </reference>
          <reference field="1" count="1" selected="0">
            <x v="150"/>
          </reference>
          <reference field="2" count="1" selected="0">
            <x v="25"/>
          </reference>
          <reference field="3" count="1">
            <x v="3"/>
          </reference>
        </references>
      </pivotArea>
    </format>
    <format dxfId="367">
      <pivotArea dataOnly="0" labelOnly="1" fieldPosition="0">
        <references count="4">
          <reference field="0" count="1" selected="0">
            <x v="44"/>
          </reference>
          <reference field="1" count="1" selected="0">
            <x v="203"/>
          </reference>
          <reference field="2" count="1" selected="0">
            <x v="25"/>
          </reference>
          <reference field="3" count="1">
            <x v="0"/>
          </reference>
        </references>
      </pivotArea>
    </format>
    <format dxfId="366">
      <pivotArea dataOnly="0" labelOnly="1" fieldPosition="0">
        <references count="4">
          <reference field="0" count="1" selected="0">
            <x v="44"/>
          </reference>
          <reference field="1" count="1" selected="0">
            <x v="219"/>
          </reference>
          <reference field="2" count="1" selected="0">
            <x v="25"/>
          </reference>
          <reference field="3" count="1">
            <x v="4"/>
          </reference>
        </references>
      </pivotArea>
    </format>
    <format dxfId="365">
      <pivotArea dataOnly="0" labelOnly="1" fieldPosition="0">
        <references count="4">
          <reference field="0" count="1" selected="0">
            <x v="44"/>
          </reference>
          <reference field="1" count="1" selected="0">
            <x v="241"/>
          </reference>
          <reference field="2" count="1" selected="0">
            <x v="25"/>
          </reference>
          <reference field="3" count="1">
            <x v="3"/>
          </reference>
        </references>
      </pivotArea>
    </format>
    <format dxfId="364">
      <pivotArea dataOnly="0" labelOnly="1" fieldPosition="0">
        <references count="4">
          <reference field="0" count="1" selected="0">
            <x v="44"/>
          </reference>
          <reference field="1" count="1" selected="0">
            <x v="298"/>
          </reference>
          <reference field="2" count="1" selected="0">
            <x v="25"/>
          </reference>
          <reference field="3" count="1">
            <x v="0"/>
          </reference>
        </references>
      </pivotArea>
    </format>
    <format dxfId="363">
      <pivotArea dataOnly="0" labelOnly="1" fieldPosition="0">
        <references count="4">
          <reference field="0" count="1" selected="0">
            <x v="44"/>
          </reference>
          <reference field="1" count="1" selected="0">
            <x v="329"/>
          </reference>
          <reference field="2" count="1" selected="0">
            <x v="25"/>
          </reference>
          <reference field="3" count="1">
            <x v="3"/>
          </reference>
        </references>
      </pivotArea>
    </format>
    <format dxfId="362">
      <pivotArea dataOnly="0" labelOnly="1" fieldPosition="0">
        <references count="4">
          <reference field="0" count="1" selected="0">
            <x v="44"/>
          </reference>
          <reference field="1" count="1" selected="0">
            <x v="393"/>
          </reference>
          <reference field="2" count="1" selected="0">
            <x v="25"/>
          </reference>
          <reference field="3" count="1">
            <x v="4"/>
          </reference>
        </references>
      </pivotArea>
    </format>
    <format dxfId="361">
      <pivotArea dataOnly="0" labelOnly="1" fieldPosition="0">
        <references count="4">
          <reference field="0" count="1" selected="0">
            <x v="44"/>
          </reference>
          <reference field="1" count="1" selected="0">
            <x v="398"/>
          </reference>
          <reference field="2" count="1" selected="0">
            <x v="25"/>
          </reference>
          <reference field="3" count="1">
            <x v="3"/>
          </reference>
        </references>
      </pivotArea>
    </format>
    <format dxfId="360">
      <pivotArea dataOnly="0" labelOnly="1" fieldPosition="0">
        <references count="5">
          <reference field="0" count="1" selected="0">
            <x v="44"/>
          </reference>
          <reference field="1" count="1" selected="0">
            <x v="2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3"/>
          </reference>
        </references>
      </pivotArea>
    </format>
    <format dxfId="359">
      <pivotArea dataOnly="0" labelOnly="1" fieldPosition="0">
        <references count="5">
          <reference field="0" count="1" selected="0">
            <x v="44"/>
          </reference>
          <reference field="1" count="1" selected="0">
            <x v="2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358">
      <pivotArea dataOnly="0" labelOnly="1" fieldPosition="0">
        <references count="5">
          <reference field="0" count="1" selected="0">
            <x v="44"/>
          </reference>
          <reference field="1" count="1" selected="0">
            <x v="35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189"/>
          </reference>
        </references>
      </pivotArea>
    </format>
    <format dxfId="357">
      <pivotArea dataOnly="0" labelOnly="1" fieldPosition="0">
        <references count="5">
          <reference field="0" count="1" selected="0">
            <x v="44"/>
          </reference>
          <reference field="1" count="1" selected="0">
            <x v="150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108"/>
          </reference>
        </references>
      </pivotArea>
    </format>
    <format dxfId="356">
      <pivotArea dataOnly="0" labelOnly="1" fieldPosition="0">
        <references count="5">
          <reference field="0" count="1" selected="0">
            <x v="44"/>
          </reference>
          <reference field="1" count="1" selected="0">
            <x v="17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355">
      <pivotArea dataOnly="0" labelOnly="1" fieldPosition="0">
        <references count="5">
          <reference field="0" count="1" selected="0">
            <x v="44"/>
          </reference>
          <reference field="1" count="1" selected="0">
            <x v="186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148"/>
          </reference>
        </references>
      </pivotArea>
    </format>
    <format dxfId="354">
      <pivotArea dataOnly="0" labelOnly="1" fieldPosition="0">
        <references count="5">
          <reference field="0" count="1" selected="0">
            <x v="44"/>
          </reference>
          <reference field="1" count="1" selected="0">
            <x v="203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78"/>
          </reference>
        </references>
      </pivotArea>
    </format>
    <format dxfId="353">
      <pivotArea dataOnly="0" labelOnly="1" fieldPosition="0">
        <references count="5">
          <reference field="0" count="1" selected="0">
            <x v="44"/>
          </reference>
          <reference field="1" count="1" selected="0">
            <x v="219"/>
          </reference>
          <reference field="2" count="1" selected="0">
            <x v="25"/>
          </reference>
          <reference field="3" count="1" selected="0">
            <x v="4"/>
          </reference>
          <reference field="4" count="1">
            <x v="184"/>
          </reference>
        </references>
      </pivotArea>
    </format>
    <format dxfId="352">
      <pivotArea dataOnly="0" labelOnly="1" fieldPosition="0">
        <references count="5">
          <reference field="0" count="1" selected="0">
            <x v="44"/>
          </reference>
          <reference field="1" count="1" selected="0">
            <x v="24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51">
      <pivotArea dataOnly="0" labelOnly="1" fieldPosition="0">
        <references count="5">
          <reference field="0" count="1" selected="0">
            <x v="44"/>
          </reference>
          <reference field="1" count="1" selected="0">
            <x v="249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350">
      <pivotArea dataOnly="0" labelOnly="1" fieldPosition="0">
        <references count="5">
          <reference field="0" count="1" selected="0">
            <x v="44"/>
          </reference>
          <reference field="1" count="1" selected="0">
            <x v="250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349">
      <pivotArea dataOnly="0" labelOnly="1" fieldPosition="0">
        <references count="5">
          <reference field="0" count="1" selected="0">
            <x v="44"/>
          </reference>
          <reference field="1" count="1" selected="0">
            <x v="251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348">
      <pivotArea dataOnly="0" labelOnly="1" fieldPosition="0">
        <references count="5">
          <reference field="0" count="1" selected="0">
            <x v="44"/>
          </reference>
          <reference field="1" count="1" selected="0">
            <x v="252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347">
      <pivotArea dataOnly="0" labelOnly="1" fieldPosition="0">
        <references count="5">
          <reference field="0" count="1" selected="0">
            <x v="44"/>
          </reference>
          <reference field="1" count="1" selected="0">
            <x v="298"/>
          </reference>
          <reference field="2" count="1" selected="0">
            <x v="25"/>
          </reference>
          <reference field="3" count="1" selected="0">
            <x v="0"/>
          </reference>
          <reference field="4" count="1">
            <x v="36"/>
          </reference>
        </references>
      </pivotArea>
    </format>
    <format dxfId="346">
      <pivotArea dataOnly="0" labelOnly="1" fieldPosition="0">
        <references count="5">
          <reference field="0" count="1" selected="0">
            <x v="44"/>
          </reference>
          <reference field="1" count="1" selected="0">
            <x v="329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345">
      <pivotArea dataOnly="0" labelOnly="1" fieldPosition="0">
        <references count="5">
          <reference field="0" count="1" selected="0">
            <x v="44"/>
          </reference>
          <reference field="1" count="1" selected="0">
            <x v="362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82"/>
          </reference>
        </references>
      </pivotArea>
    </format>
    <format dxfId="344">
      <pivotArea dataOnly="0" labelOnly="1" fieldPosition="0">
        <references count="5">
          <reference field="0" count="1" selected="0">
            <x v="44"/>
          </reference>
          <reference field="1" count="1" selected="0">
            <x v="393"/>
          </reference>
          <reference field="2" count="1" selected="0">
            <x v="25"/>
          </reference>
          <reference field="3" count="1" selected="0">
            <x v="4"/>
          </reference>
          <reference field="4" count="1">
            <x v="187"/>
          </reference>
        </references>
      </pivotArea>
    </format>
    <format dxfId="343">
      <pivotArea dataOnly="0" labelOnly="1" fieldPosition="0">
        <references count="5">
          <reference field="0" count="1" selected="0">
            <x v="44"/>
          </reference>
          <reference field="1" count="1" selected="0">
            <x v="398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80"/>
          </reference>
        </references>
      </pivotArea>
    </format>
    <format dxfId="342">
      <pivotArea dataOnly="0" labelOnly="1" fieldPosition="0">
        <references count="5">
          <reference field="0" count="1" selected="0">
            <x v="44"/>
          </reference>
          <reference field="1" count="1" selected="0">
            <x v="433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50"/>
          </reference>
        </references>
      </pivotArea>
    </format>
    <format dxfId="341">
      <pivotArea dataOnly="0" labelOnly="1" fieldPosition="0">
        <references count="5">
          <reference field="0" count="1" selected="0">
            <x v="44"/>
          </reference>
          <reference field="1" count="1" selected="0">
            <x v="434"/>
          </reference>
          <reference field="2" count="1" selected="0">
            <x v="25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340">
      <pivotArea collapsedLevelsAreSubtotals="1" fieldPosition="0">
        <references count="5">
          <reference field="0" count="1" selected="0">
            <x v="45"/>
          </reference>
          <reference field="1" count="1" selected="0">
            <x v="52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339">
      <pivotArea collapsedLevelsAreSubtotals="1" fieldPosition="0">
        <references count="5">
          <reference field="0" count="1" selected="0">
            <x v="45"/>
          </reference>
          <reference field="1" count="1" selected="0">
            <x v="97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58"/>
          </reference>
        </references>
      </pivotArea>
    </format>
    <format dxfId="338">
      <pivotArea collapsedLevelsAreSubtotals="1" fieldPosition="0">
        <references count="5">
          <reference field="0" count="1" selected="0">
            <x v="45"/>
          </reference>
          <reference field="1" count="1" selected="0">
            <x v="101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337">
      <pivotArea collapsedLevelsAreSubtotals="1" fieldPosition="0">
        <references count="5">
          <reference field="0" count="1" selected="0">
            <x v="45"/>
          </reference>
          <reference field="1" count="1" selected="0">
            <x v="189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336">
      <pivotArea collapsedLevelsAreSubtotals="1" fieldPosition="0">
        <references count="5">
          <reference field="0" count="1" selected="0">
            <x v="45"/>
          </reference>
          <reference field="1" count="1" selected="0">
            <x v="190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335">
      <pivotArea collapsedLevelsAreSubtotals="1" fieldPosition="0">
        <references count="5">
          <reference field="0" count="1" selected="0">
            <x v="45"/>
          </reference>
          <reference field="1" count="1" selected="0">
            <x v="253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334">
      <pivotArea collapsedLevelsAreSubtotals="1" fieldPosition="0">
        <references count="5">
          <reference field="0" count="1" selected="0">
            <x v="45"/>
          </reference>
          <reference field="1" count="1" selected="0">
            <x v="263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33">
      <pivotArea collapsedLevelsAreSubtotals="1" fieldPosition="0">
        <references count="5">
          <reference field="0" count="1" selected="0">
            <x v="45"/>
          </reference>
          <reference field="1" count="1" selected="0">
            <x v="307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332">
      <pivotArea collapsedLevelsAreSubtotals="1" fieldPosition="0">
        <references count="5">
          <reference field="0" count="1" selected="0">
            <x v="45"/>
          </reference>
          <reference field="1" count="1" selected="0">
            <x v="368"/>
          </reference>
          <reference field="2" count="1" selected="0">
            <x v="24"/>
          </reference>
          <reference field="3" count="1" selected="0">
            <x v="4"/>
          </reference>
          <reference field="4" count="1">
            <x v="185"/>
          </reference>
        </references>
      </pivotArea>
    </format>
    <format dxfId="331">
      <pivotArea collapsedLevelsAreSubtotals="1" fieldPosition="0">
        <references count="5">
          <reference field="0" count="1" selected="0">
            <x v="45"/>
          </reference>
          <reference field="1" count="1" selected="0">
            <x v="385"/>
          </reference>
          <reference field="2" count="1" selected="0">
            <x v="24"/>
          </reference>
          <reference field="3" count="1" selected="0">
            <x v="0"/>
          </reference>
          <reference field="4" count="1">
            <x v="30"/>
          </reference>
        </references>
      </pivotArea>
    </format>
    <format dxfId="330">
      <pivotArea collapsedLevelsAreSubtotals="1" fieldPosition="0">
        <references count="5">
          <reference field="0" count="1" selected="0">
            <x v="45"/>
          </reference>
          <reference field="1" count="1" selected="0">
            <x v="411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329">
      <pivotArea collapsedLevelsAreSubtotals="1" fieldPosition="0">
        <references count="5">
          <reference field="0" count="1" selected="0">
            <x v="45"/>
          </reference>
          <reference field="1" count="1" selected="0">
            <x v="445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328">
      <pivotArea collapsedLevelsAreSubtotals="1" fieldPosition="0">
        <references count="2">
          <reference field="0" count="1" selected="0">
            <x v="45"/>
          </reference>
          <reference field="2" count="1" defaultSubtotal="1">
            <x v="24"/>
          </reference>
        </references>
      </pivotArea>
    </format>
    <format dxfId="327">
      <pivotArea dataOnly="0" labelOnly="1" fieldPosition="0">
        <references count="1">
          <reference field="0" count="1">
            <x v="45"/>
          </reference>
        </references>
      </pivotArea>
    </format>
    <format dxfId="326">
      <pivotArea dataOnly="0" labelOnly="1" fieldPosition="0">
        <references count="2">
          <reference field="0" count="1" selected="0">
            <x v="45"/>
          </reference>
          <reference field="2" count="1">
            <x v="24"/>
          </reference>
        </references>
      </pivotArea>
    </format>
    <format dxfId="325">
      <pivotArea dataOnly="0" labelOnly="1" fieldPosition="0">
        <references count="2">
          <reference field="0" count="1" selected="0">
            <x v="45"/>
          </reference>
          <reference field="2" count="1" defaultSubtotal="1">
            <x v="24"/>
          </reference>
        </references>
      </pivotArea>
    </format>
    <format dxfId="324">
      <pivotArea dataOnly="0" labelOnly="1" fieldPosition="0">
        <references count="3">
          <reference field="0" count="1" selected="0">
            <x v="45"/>
          </reference>
          <reference field="1" count="12">
            <x v="52"/>
            <x v="97"/>
            <x v="101"/>
            <x v="189"/>
            <x v="190"/>
            <x v="253"/>
            <x v="263"/>
            <x v="307"/>
            <x v="368"/>
            <x v="385"/>
            <x v="411"/>
            <x v="445"/>
          </reference>
          <reference field="2" count="1" selected="0">
            <x v="24"/>
          </reference>
        </references>
      </pivotArea>
    </format>
    <format dxfId="323">
      <pivotArea dataOnly="0" labelOnly="1" fieldPosition="0">
        <references count="4">
          <reference field="0" count="1" selected="0">
            <x v="45"/>
          </reference>
          <reference field="1" count="1" selected="0">
            <x v="52"/>
          </reference>
          <reference field="2" count="1" selected="0">
            <x v="24"/>
          </reference>
          <reference field="3" count="1">
            <x v="3"/>
          </reference>
        </references>
      </pivotArea>
    </format>
    <format dxfId="322">
      <pivotArea dataOnly="0" labelOnly="1" fieldPosition="0">
        <references count="4">
          <reference field="0" count="1" selected="0">
            <x v="45"/>
          </reference>
          <reference field="1" count="1" selected="0">
            <x v="368"/>
          </reference>
          <reference field="2" count="1" selected="0">
            <x v="24"/>
          </reference>
          <reference field="3" count="1">
            <x v="4"/>
          </reference>
        </references>
      </pivotArea>
    </format>
    <format dxfId="321">
      <pivotArea dataOnly="0" labelOnly="1" fieldPosition="0">
        <references count="4">
          <reference field="0" count="1" selected="0">
            <x v="45"/>
          </reference>
          <reference field="1" count="1" selected="0">
            <x v="385"/>
          </reference>
          <reference field="2" count="1" selected="0">
            <x v="24"/>
          </reference>
          <reference field="3" count="1">
            <x v="0"/>
          </reference>
        </references>
      </pivotArea>
    </format>
    <format dxfId="320">
      <pivotArea dataOnly="0" labelOnly="1" fieldPosition="0">
        <references count="4">
          <reference field="0" count="1" selected="0">
            <x v="45"/>
          </reference>
          <reference field="1" count="1" selected="0">
            <x v="411"/>
          </reference>
          <reference field="2" count="1" selected="0">
            <x v="24"/>
          </reference>
          <reference field="3" count="1">
            <x v="3"/>
          </reference>
        </references>
      </pivotArea>
    </format>
    <format dxfId="319">
      <pivotArea dataOnly="0" labelOnly="1" fieldPosition="0">
        <references count="5">
          <reference field="0" count="1" selected="0">
            <x v="45"/>
          </reference>
          <reference field="1" count="1" selected="0">
            <x v="52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318">
      <pivotArea dataOnly="0" labelOnly="1" fieldPosition="0">
        <references count="5">
          <reference field="0" count="1" selected="0">
            <x v="45"/>
          </reference>
          <reference field="1" count="1" selected="0">
            <x v="97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58"/>
          </reference>
        </references>
      </pivotArea>
    </format>
    <format dxfId="317">
      <pivotArea dataOnly="0" labelOnly="1" fieldPosition="0">
        <references count="5">
          <reference field="0" count="1" selected="0">
            <x v="45"/>
          </reference>
          <reference field="1" count="1" selected="0">
            <x v="101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316">
      <pivotArea dataOnly="0" labelOnly="1" fieldPosition="0">
        <references count="5">
          <reference field="0" count="1" selected="0">
            <x v="45"/>
          </reference>
          <reference field="1" count="1" selected="0">
            <x v="189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7"/>
          </reference>
        </references>
      </pivotArea>
    </format>
    <format dxfId="315">
      <pivotArea dataOnly="0" labelOnly="1" fieldPosition="0">
        <references count="5">
          <reference field="0" count="1" selected="0">
            <x v="45"/>
          </reference>
          <reference field="1" count="1" selected="0">
            <x v="190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314">
      <pivotArea dataOnly="0" labelOnly="1" fieldPosition="0">
        <references count="5">
          <reference field="0" count="1" selected="0">
            <x v="45"/>
          </reference>
          <reference field="1" count="1" selected="0">
            <x v="253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313">
      <pivotArea dataOnly="0" labelOnly="1" fieldPosition="0">
        <references count="5">
          <reference field="0" count="1" selected="0">
            <x v="45"/>
          </reference>
          <reference field="1" count="1" selected="0">
            <x v="263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312">
      <pivotArea dataOnly="0" labelOnly="1" fieldPosition="0">
        <references count="5">
          <reference field="0" count="1" selected="0">
            <x v="45"/>
          </reference>
          <reference field="1" count="1" selected="0">
            <x v="307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38"/>
          </reference>
        </references>
      </pivotArea>
    </format>
    <format dxfId="311">
      <pivotArea dataOnly="0" labelOnly="1" fieldPosition="0">
        <references count="5">
          <reference field="0" count="1" selected="0">
            <x v="45"/>
          </reference>
          <reference field="1" count="1" selected="0">
            <x v="368"/>
          </reference>
          <reference field="2" count="1" selected="0">
            <x v="24"/>
          </reference>
          <reference field="3" count="1" selected="0">
            <x v="4"/>
          </reference>
          <reference field="4" count="1">
            <x v="185"/>
          </reference>
        </references>
      </pivotArea>
    </format>
    <format dxfId="310">
      <pivotArea dataOnly="0" labelOnly="1" fieldPosition="0">
        <references count="5">
          <reference field="0" count="1" selected="0">
            <x v="45"/>
          </reference>
          <reference field="1" count="1" selected="0">
            <x v="385"/>
          </reference>
          <reference field="2" count="1" selected="0">
            <x v="24"/>
          </reference>
          <reference field="3" count="1" selected="0">
            <x v="0"/>
          </reference>
          <reference field="4" count="1">
            <x v="30"/>
          </reference>
        </references>
      </pivotArea>
    </format>
    <format dxfId="309">
      <pivotArea dataOnly="0" labelOnly="1" fieldPosition="0">
        <references count="5">
          <reference field="0" count="1" selected="0">
            <x v="45"/>
          </reference>
          <reference field="1" count="1" selected="0">
            <x v="411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308">
      <pivotArea dataOnly="0" labelOnly="1" fieldPosition="0">
        <references count="5">
          <reference field="0" count="1" selected="0">
            <x v="45"/>
          </reference>
          <reference field="1" count="1" selected="0">
            <x v="445"/>
          </reference>
          <reference field="2" count="1" selected="0">
            <x v="24"/>
          </reference>
          <reference field="3" count="1" selected="0">
            <x v="3"/>
          </reference>
          <reference field="4" count="1">
            <x v="42"/>
          </reference>
        </references>
      </pivotArea>
    </format>
    <format dxfId="307">
      <pivotArea collapsedLevelsAreSubtotals="1" fieldPosition="0">
        <references count="5">
          <reference field="0" count="1" selected="0">
            <x v="46"/>
          </reference>
          <reference field="1" count="1" selected="0">
            <x v="59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306">
      <pivotArea collapsedLevelsAreSubtotals="1" fieldPosition="0">
        <references count="5">
          <reference field="0" count="1" selected="0">
            <x v="46"/>
          </reference>
          <reference field="1" count="1" selected="0">
            <x v="60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305">
      <pivotArea collapsedLevelsAreSubtotals="1" fieldPosition="0">
        <references count="5">
          <reference field="0" count="1" selected="0">
            <x v="46"/>
          </reference>
          <reference field="1" count="1" selected="0">
            <x v="441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109"/>
          </reference>
        </references>
      </pivotArea>
    </format>
    <format dxfId="304">
      <pivotArea collapsedLevelsAreSubtotals="1" fieldPosition="0">
        <references count="2">
          <reference field="0" count="1" selected="0">
            <x v="46"/>
          </reference>
          <reference field="2" count="1" defaultSubtotal="1">
            <x v="12"/>
          </reference>
        </references>
      </pivotArea>
    </format>
    <format dxfId="303">
      <pivotArea dataOnly="0" labelOnly="1" fieldPosition="0">
        <references count="1">
          <reference field="0" count="1">
            <x v="46"/>
          </reference>
        </references>
      </pivotArea>
    </format>
    <format dxfId="302">
      <pivotArea dataOnly="0" labelOnly="1" fieldPosition="0">
        <references count="2">
          <reference field="0" count="1" selected="0">
            <x v="46"/>
          </reference>
          <reference field="2" count="1">
            <x v="12"/>
          </reference>
        </references>
      </pivotArea>
    </format>
    <format dxfId="301">
      <pivotArea dataOnly="0" labelOnly="1" fieldPosition="0">
        <references count="2">
          <reference field="0" count="1" selected="0">
            <x v="46"/>
          </reference>
          <reference field="2" count="1" defaultSubtotal="1">
            <x v="12"/>
          </reference>
        </references>
      </pivotArea>
    </format>
    <format dxfId="300">
      <pivotArea dataOnly="0" labelOnly="1" fieldPosition="0">
        <references count="3">
          <reference field="0" count="1" selected="0">
            <x v="46"/>
          </reference>
          <reference field="1" count="3">
            <x v="59"/>
            <x v="60"/>
            <x v="441"/>
          </reference>
          <reference field="2" count="1" selected="0">
            <x v="12"/>
          </reference>
        </references>
      </pivotArea>
    </format>
    <format dxfId="299">
      <pivotArea dataOnly="0" labelOnly="1" fieldPosition="0">
        <references count="4">
          <reference field="0" count="1" selected="0">
            <x v="46"/>
          </reference>
          <reference field="1" count="1" selected="0">
            <x v="59"/>
          </reference>
          <reference field="2" count="1" selected="0">
            <x v="12"/>
          </reference>
          <reference field="3" count="1">
            <x v="3"/>
          </reference>
        </references>
      </pivotArea>
    </format>
    <format dxfId="298">
      <pivotArea dataOnly="0" labelOnly="1" fieldPosition="0">
        <references count="5">
          <reference field="0" count="1" selected="0">
            <x v="46"/>
          </reference>
          <reference field="1" count="1" selected="0">
            <x v="59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297">
      <pivotArea dataOnly="0" labelOnly="1" fieldPosition="0">
        <references count="5">
          <reference field="0" count="1" selected="0">
            <x v="46"/>
          </reference>
          <reference field="1" count="1" selected="0">
            <x v="60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296">
      <pivotArea dataOnly="0" labelOnly="1" fieldPosition="0">
        <references count="5">
          <reference field="0" count="1" selected="0">
            <x v="46"/>
          </reference>
          <reference field="1" count="1" selected="0">
            <x v="441"/>
          </reference>
          <reference field="2" count="1" selected="0">
            <x v="12"/>
          </reference>
          <reference field="3" count="1" selected="0">
            <x v="3"/>
          </reference>
          <reference field="4" count="1">
            <x v="109"/>
          </reference>
        </references>
      </pivotArea>
    </format>
    <format dxfId="295">
      <pivotArea collapsedLevelsAreSubtotals="1" fieldPosition="0">
        <references count="5">
          <reference field="0" count="1" selected="0">
            <x v="47"/>
          </reference>
          <reference field="1" count="1" selected="0">
            <x v="37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18"/>
          </reference>
        </references>
      </pivotArea>
    </format>
    <format dxfId="294">
      <pivotArea collapsedLevelsAreSubtotals="1" fieldPosition="0">
        <references count="5">
          <reference field="0" count="1" selected="0">
            <x v="47"/>
          </reference>
          <reference field="1" count="1" selected="0">
            <x v="85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99"/>
          </reference>
        </references>
      </pivotArea>
    </format>
    <format dxfId="293">
      <pivotArea collapsedLevelsAreSubtotals="1" fieldPosition="0">
        <references count="5">
          <reference field="0" count="1" selected="0">
            <x v="47"/>
          </reference>
          <reference field="1" count="1" selected="0">
            <x v="118"/>
          </reference>
          <reference field="2" count="1" selected="0">
            <x v="37"/>
          </reference>
          <reference field="3" count="1" selected="0">
            <x v="1"/>
          </reference>
          <reference field="4" count="1">
            <x v="24"/>
          </reference>
        </references>
      </pivotArea>
    </format>
    <format dxfId="292">
      <pivotArea collapsedLevelsAreSubtotals="1" fieldPosition="0">
        <references count="5">
          <reference field="0" count="1" selected="0">
            <x v="47"/>
          </reference>
          <reference field="1" count="1" selected="0">
            <x v="184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291">
      <pivotArea collapsedLevelsAreSubtotals="1" fieldPosition="0">
        <references count="5">
          <reference field="0" count="1" selected="0">
            <x v="47"/>
          </reference>
          <reference field="1" count="1" selected="0">
            <x v="234"/>
          </reference>
          <reference field="2" count="1" selected="0">
            <x v="37"/>
          </reference>
          <reference field="3" count="1" selected="0">
            <x v="4"/>
          </reference>
          <reference field="4" count="1">
            <x v="181"/>
          </reference>
        </references>
      </pivotArea>
    </format>
    <format dxfId="290">
      <pivotArea collapsedLevelsAreSubtotals="1" fieldPosition="0">
        <references count="5">
          <reference field="0" count="1" selected="0">
            <x v="47"/>
          </reference>
          <reference field="1" count="1" selected="0">
            <x v="319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289">
      <pivotArea collapsedLevelsAreSubtotals="1" fieldPosition="0">
        <references count="5">
          <reference field="0" count="1" selected="0">
            <x v="47"/>
          </reference>
          <reference field="1" count="1" selected="0">
            <x v="356"/>
          </reference>
          <reference field="2" count="1" selected="0">
            <x v="37"/>
          </reference>
          <reference field="3" count="1" selected="0">
            <x v="0"/>
          </reference>
          <reference field="4" count="1">
            <x v="48"/>
          </reference>
        </references>
      </pivotArea>
    </format>
    <format dxfId="288">
      <pivotArea collapsedLevelsAreSubtotals="1" fieldPosition="0">
        <references count="5">
          <reference field="0" count="1" selected="0">
            <x v="47"/>
          </reference>
          <reference field="1" count="1" selected="0">
            <x v="358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157"/>
          </reference>
        </references>
      </pivotArea>
    </format>
    <format dxfId="287">
      <pivotArea collapsedLevelsAreSubtotals="1" fieldPosition="0">
        <references count="5">
          <reference field="0" count="1" selected="0">
            <x v="47"/>
          </reference>
          <reference field="1" count="1" selected="0">
            <x v="359"/>
          </reference>
          <reference field="2" count="1" selected="0">
            <x v="37"/>
          </reference>
          <reference field="3" count="1" selected="0">
            <x v="4"/>
          </reference>
          <reference field="4" count="1">
            <x v="200"/>
          </reference>
        </references>
      </pivotArea>
    </format>
    <format dxfId="286">
      <pivotArea collapsedLevelsAreSubtotals="1" fieldPosition="0">
        <references count="2">
          <reference field="0" count="1" selected="0">
            <x v="47"/>
          </reference>
          <reference field="2" count="1" defaultSubtotal="1">
            <x v="37"/>
          </reference>
        </references>
      </pivotArea>
    </format>
    <format dxfId="285">
      <pivotArea dataOnly="0" labelOnly="1" fieldPosition="0">
        <references count="1">
          <reference field="0" count="1">
            <x v="47"/>
          </reference>
        </references>
      </pivotArea>
    </format>
    <format dxfId="284">
      <pivotArea dataOnly="0" labelOnly="1" fieldPosition="0">
        <references count="2">
          <reference field="0" count="1" selected="0">
            <x v="47"/>
          </reference>
          <reference field="2" count="1">
            <x v="37"/>
          </reference>
        </references>
      </pivotArea>
    </format>
    <format dxfId="283">
      <pivotArea dataOnly="0" labelOnly="1" fieldPosition="0">
        <references count="2">
          <reference field="0" count="1" selected="0">
            <x v="47"/>
          </reference>
          <reference field="2" count="1" defaultSubtotal="1">
            <x v="37"/>
          </reference>
        </references>
      </pivotArea>
    </format>
    <format dxfId="282">
      <pivotArea dataOnly="0" labelOnly="1" fieldPosition="0">
        <references count="3">
          <reference field="0" count="1" selected="0">
            <x v="47"/>
          </reference>
          <reference field="1" count="9">
            <x v="37"/>
            <x v="85"/>
            <x v="118"/>
            <x v="184"/>
            <x v="234"/>
            <x v="319"/>
            <x v="356"/>
            <x v="358"/>
            <x v="359"/>
          </reference>
          <reference field="2" count="1" selected="0">
            <x v="37"/>
          </reference>
        </references>
      </pivotArea>
    </format>
    <format dxfId="281">
      <pivotArea dataOnly="0" labelOnly="1" fieldPosition="0">
        <references count="4">
          <reference field="0" count="1" selected="0">
            <x v="47"/>
          </reference>
          <reference field="1" count="1" selected="0">
            <x v="37"/>
          </reference>
          <reference field="2" count="1" selected="0">
            <x v="37"/>
          </reference>
          <reference field="3" count="1">
            <x v="3"/>
          </reference>
        </references>
      </pivotArea>
    </format>
    <format dxfId="280">
      <pivotArea dataOnly="0" labelOnly="1" fieldPosition="0">
        <references count="4">
          <reference field="0" count="1" selected="0">
            <x v="47"/>
          </reference>
          <reference field="1" count="1" selected="0">
            <x v="118"/>
          </reference>
          <reference field="2" count="1" selected="0">
            <x v="37"/>
          </reference>
          <reference field="3" count="1">
            <x v="1"/>
          </reference>
        </references>
      </pivotArea>
    </format>
    <format dxfId="279">
      <pivotArea dataOnly="0" labelOnly="1" fieldPosition="0">
        <references count="4">
          <reference field="0" count="1" selected="0">
            <x v="47"/>
          </reference>
          <reference field="1" count="1" selected="0">
            <x v="184"/>
          </reference>
          <reference field="2" count="1" selected="0">
            <x v="37"/>
          </reference>
          <reference field="3" count="1">
            <x v="3"/>
          </reference>
        </references>
      </pivotArea>
    </format>
    <format dxfId="278">
      <pivotArea dataOnly="0" labelOnly="1" fieldPosition="0">
        <references count="4">
          <reference field="0" count="1" selected="0">
            <x v="47"/>
          </reference>
          <reference field="1" count="1" selected="0">
            <x v="234"/>
          </reference>
          <reference field="2" count="1" selected="0">
            <x v="37"/>
          </reference>
          <reference field="3" count="1">
            <x v="4"/>
          </reference>
        </references>
      </pivotArea>
    </format>
    <format dxfId="277">
      <pivotArea dataOnly="0" labelOnly="1" fieldPosition="0">
        <references count="4">
          <reference field="0" count="1" selected="0">
            <x v="47"/>
          </reference>
          <reference field="1" count="1" selected="0">
            <x v="319"/>
          </reference>
          <reference field="2" count="1" selected="0">
            <x v="37"/>
          </reference>
          <reference field="3" count="1">
            <x v="3"/>
          </reference>
        </references>
      </pivotArea>
    </format>
    <format dxfId="276">
      <pivotArea dataOnly="0" labelOnly="1" fieldPosition="0">
        <references count="4">
          <reference field="0" count="1" selected="0">
            <x v="47"/>
          </reference>
          <reference field="1" count="1" selected="0">
            <x v="356"/>
          </reference>
          <reference field="2" count="1" selected="0">
            <x v="37"/>
          </reference>
          <reference field="3" count="1">
            <x v="0"/>
          </reference>
        </references>
      </pivotArea>
    </format>
    <format dxfId="275">
      <pivotArea dataOnly="0" labelOnly="1" fieldPosition="0">
        <references count="4">
          <reference field="0" count="1" selected="0">
            <x v="47"/>
          </reference>
          <reference field="1" count="1" selected="0">
            <x v="358"/>
          </reference>
          <reference field="2" count="1" selected="0">
            <x v="37"/>
          </reference>
          <reference field="3" count="1">
            <x v="3"/>
          </reference>
        </references>
      </pivotArea>
    </format>
    <format dxfId="274">
      <pivotArea dataOnly="0" labelOnly="1" fieldPosition="0">
        <references count="4">
          <reference field="0" count="1" selected="0">
            <x v="47"/>
          </reference>
          <reference field="1" count="1" selected="0">
            <x v="359"/>
          </reference>
          <reference field="2" count="1" selected="0">
            <x v="37"/>
          </reference>
          <reference field="3" count="1">
            <x v="4"/>
          </reference>
        </references>
      </pivotArea>
    </format>
    <format dxfId="273">
      <pivotArea dataOnly="0" labelOnly="1" fieldPosition="0">
        <references count="5">
          <reference field="0" count="1" selected="0">
            <x v="47"/>
          </reference>
          <reference field="1" count="1" selected="0">
            <x v="37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18"/>
          </reference>
        </references>
      </pivotArea>
    </format>
    <format dxfId="272">
      <pivotArea dataOnly="0" labelOnly="1" fieldPosition="0">
        <references count="5">
          <reference field="0" count="1" selected="0">
            <x v="47"/>
          </reference>
          <reference field="1" count="1" selected="0">
            <x v="85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99"/>
          </reference>
        </references>
      </pivotArea>
    </format>
    <format dxfId="271">
      <pivotArea dataOnly="0" labelOnly="1" fieldPosition="0">
        <references count="5">
          <reference field="0" count="1" selected="0">
            <x v="47"/>
          </reference>
          <reference field="1" count="1" selected="0">
            <x v="118"/>
          </reference>
          <reference field="2" count="1" selected="0">
            <x v="37"/>
          </reference>
          <reference field="3" count="1" selected="0">
            <x v="1"/>
          </reference>
          <reference field="4" count="1">
            <x v="24"/>
          </reference>
        </references>
      </pivotArea>
    </format>
    <format dxfId="270">
      <pivotArea dataOnly="0" labelOnly="1" fieldPosition="0">
        <references count="5">
          <reference field="0" count="1" selected="0">
            <x v="47"/>
          </reference>
          <reference field="1" count="1" selected="0">
            <x v="184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39"/>
          </reference>
        </references>
      </pivotArea>
    </format>
    <format dxfId="269">
      <pivotArea dataOnly="0" labelOnly="1" fieldPosition="0">
        <references count="5">
          <reference field="0" count="1" selected="0">
            <x v="47"/>
          </reference>
          <reference field="1" count="1" selected="0">
            <x v="234"/>
          </reference>
          <reference field="2" count="1" selected="0">
            <x v="37"/>
          </reference>
          <reference field="3" count="1" selected="0">
            <x v="4"/>
          </reference>
          <reference field="4" count="1">
            <x v="181"/>
          </reference>
        </references>
      </pivotArea>
    </format>
    <format dxfId="268">
      <pivotArea dataOnly="0" labelOnly="1" fieldPosition="0">
        <references count="5">
          <reference field="0" count="1" selected="0">
            <x v="47"/>
          </reference>
          <reference field="1" count="1" selected="0">
            <x v="319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267">
      <pivotArea dataOnly="0" labelOnly="1" fieldPosition="0">
        <references count="5">
          <reference field="0" count="1" selected="0">
            <x v="47"/>
          </reference>
          <reference field="1" count="1" selected="0">
            <x v="356"/>
          </reference>
          <reference field="2" count="1" selected="0">
            <x v="37"/>
          </reference>
          <reference field="3" count="1" selected="0">
            <x v="0"/>
          </reference>
          <reference field="4" count="1">
            <x v="48"/>
          </reference>
        </references>
      </pivotArea>
    </format>
    <format dxfId="266">
      <pivotArea dataOnly="0" labelOnly="1" fieldPosition="0">
        <references count="5">
          <reference field="0" count="1" selected="0">
            <x v="47"/>
          </reference>
          <reference field="1" count="1" selected="0">
            <x v="358"/>
          </reference>
          <reference field="2" count="1" selected="0">
            <x v="37"/>
          </reference>
          <reference field="3" count="1" selected="0">
            <x v="3"/>
          </reference>
          <reference field="4" count="1">
            <x v="157"/>
          </reference>
        </references>
      </pivotArea>
    </format>
    <format dxfId="265">
      <pivotArea dataOnly="0" labelOnly="1" fieldPosition="0">
        <references count="5">
          <reference field="0" count="1" selected="0">
            <x v="47"/>
          </reference>
          <reference field="1" count="1" selected="0">
            <x v="359"/>
          </reference>
          <reference field="2" count="1" selected="0">
            <x v="37"/>
          </reference>
          <reference field="3" count="1" selected="0">
            <x v="4"/>
          </reference>
          <reference field="4" count="1">
            <x v="200"/>
          </reference>
        </references>
      </pivotArea>
    </format>
    <format dxfId="264">
      <pivotArea collapsedLevelsAreSubtotals="1" fieldPosition="0">
        <references count="5">
          <reference field="0" count="1" selected="0">
            <x v="48"/>
          </reference>
          <reference field="1" count="1" selected="0">
            <x v="276"/>
          </reference>
          <reference field="2" count="1" selected="0">
            <x v="32"/>
          </reference>
          <reference field="3" count="1" selected="0">
            <x v="7"/>
          </reference>
          <reference field="4" count="1">
            <x v="18"/>
          </reference>
        </references>
      </pivotArea>
    </format>
    <format dxfId="263">
      <pivotArea collapsedLevelsAreSubtotals="1" fieldPosition="0">
        <references count="2">
          <reference field="0" count="1" selected="0">
            <x v="48"/>
          </reference>
          <reference field="2" count="1" defaultSubtotal="1">
            <x v="32"/>
          </reference>
        </references>
      </pivotArea>
    </format>
    <format dxfId="262">
      <pivotArea dataOnly="0" labelOnly="1" fieldPosition="0">
        <references count="1">
          <reference field="0" count="1">
            <x v="48"/>
          </reference>
        </references>
      </pivotArea>
    </format>
    <format dxfId="261">
      <pivotArea dataOnly="0" labelOnly="1" fieldPosition="0">
        <references count="2">
          <reference field="0" count="1" selected="0">
            <x v="48"/>
          </reference>
          <reference field="2" count="1">
            <x v="32"/>
          </reference>
        </references>
      </pivotArea>
    </format>
    <format dxfId="260">
      <pivotArea dataOnly="0" labelOnly="1" fieldPosition="0">
        <references count="2">
          <reference field="0" count="1" selected="0">
            <x v="48"/>
          </reference>
          <reference field="2" count="1" defaultSubtotal="1">
            <x v="32"/>
          </reference>
        </references>
      </pivotArea>
    </format>
    <format dxfId="259">
      <pivotArea dataOnly="0" labelOnly="1" fieldPosition="0">
        <references count="3">
          <reference field="0" count="1" selected="0">
            <x v="48"/>
          </reference>
          <reference field="1" count="1">
            <x v="276"/>
          </reference>
          <reference field="2" count="1" selected="0">
            <x v="32"/>
          </reference>
        </references>
      </pivotArea>
    </format>
    <format dxfId="258">
      <pivotArea dataOnly="0" labelOnly="1" fieldPosition="0">
        <references count="4">
          <reference field="0" count="1" selected="0">
            <x v="48"/>
          </reference>
          <reference field="1" count="1" selected="0">
            <x v="276"/>
          </reference>
          <reference field="2" count="1" selected="0">
            <x v="32"/>
          </reference>
          <reference field="3" count="1">
            <x v="7"/>
          </reference>
        </references>
      </pivotArea>
    </format>
    <format dxfId="257">
      <pivotArea dataOnly="0" labelOnly="1" fieldPosition="0">
        <references count="5">
          <reference field="0" count="1" selected="0">
            <x v="48"/>
          </reference>
          <reference field="1" count="1" selected="0">
            <x v="276"/>
          </reference>
          <reference field="2" count="1" selected="0">
            <x v="32"/>
          </reference>
          <reference field="3" count="1" selected="0">
            <x v="7"/>
          </reference>
          <reference field="4" count="1">
            <x v="18"/>
          </reference>
        </references>
      </pivotArea>
    </format>
    <format dxfId="256">
      <pivotArea collapsedLevelsAreSubtotals="1" fieldPosition="0">
        <references count="5">
          <reference field="0" count="1" selected="0">
            <x v="49"/>
          </reference>
          <reference field="1" count="1" selected="0">
            <x v="309"/>
          </reference>
          <reference field="2" count="1" selected="0">
            <x v="6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255">
      <pivotArea collapsedLevelsAreSubtotals="1" fieldPosition="0">
        <references count="5">
          <reference field="0" count="1" selected="0">
            <x v="49"/>
          </reference>
          <reference field="1" count="1" selected="0">
            <x v="367"/>
          </reference>
          <reference field="2" count="1" selected="0">
            <x v="6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254">
      <pivotArea collapsedLevelsAreSubtotals="1" fieldPosition="0">
        <references count="2">
          <reference field="0" count="1" selected="0">
            <x v="49"/>
          </reference>
          <reference field="2" count="1" defaultSubtotal="1">
            <x v="6"/>
          </reference>
        </references>
      </pivotArea>
    </format>
    <format dxfId="253">
      <pivotArea dataOnly="0" labelOnly="1" fieldPosition="0">
        <references count="1">
          <reference field="0" count="1">
            <x v="49"/>
          </reference>
        </references>
      </pivotArea>
    </format>
    <format dxfId="252">
      <pivotArea dataOnly="0" labelOnly="1" fieldPosition="0">
        <references count="2">
          <reference field="0" count="1" selected="0">
            <x v="49"/>
          </reference>
          <reference field="2" count="1">
            <x v="6"/>
          </reference>
        </references>
      </pivotArea>
    </format>
    <format dxfId="251">
      <pivotArea dataOnly="0" labelOnly="1" fieldPosition="0">
        <references count="2">
          <reference field="0" count="1" selected="0">
            <x v="49"/>
          </reference>
          <reference field="2" count="1" defaultSubtotal="1">
            <x v="6"/>
          </reference>
        </references>
      </pivotArea>
    </format>
    <format dxfId="250">
      <pivotArea dataOnly="0" labelOnly="1" fieldPosition="0">
        <references count="3">
          <reference field="0" count="1" selected="0">
            <x v="49"/>
          </reference>
          <reference field="1" count="2">
            <x v="309"/>
            <x v="367"/>
          </reference>
          <reference field="2" count="1" selected="0">
            <x v="6"/>
          </reference>
        </references>
      </pivotArea>
    </format>
    <format dxfId="249">
      <pivotArea dataOnly="0" labelOnly="1" fieldPosition="0">
        <references count="4">
          <reference field="0" count="1" selected="0">
            <x v="49"/>
          </reference>
          <reference field="1" count="1" selected="0">
            <x v="309"/>
          </reference>
          <reference field="2" count="1" selected="0">
            <x v="6"/>
          </reference>
          <reference field="3" count="1">
            <x v="3"/>
          </reference>
        </references>
      </pivotArea>
    </format>
    <format dxfId="248">
      <pivotArea dataOnly="0" labelOnly="1" fieldPosition="0">
        <references count="5">
          <reference field="0" count="1" selected="0">
            <x v="49"/>
          </reference>
          <reference field="1" count="1" selected="0">
            <x v="309"/>
          </reference>
          <reference field="2" count="1" selected="0">
            <x v="6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247">
      <pivotArea dataOnly="0" labelOnly="1" fieldPosition="0">
        <references count="5">
          <reference field="0" count="1" selected="0">
            <x v="49"/>
          </reference>
          <reference field="1" count="1" selected="0">
            <x v="367"/>
          </reference>
          <reference field="2" count="1" selected="0">
            <x v="6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246">
      <pivotArea collapsedLevelsAreSubtotals="1" fieldPosition="0">
        <references count="5">
          <reference field="0" count="1" selected="0">
            <x v="50"/>
          </reference>
          <reference field="1" count="1" selected="0">
            <x v="20"/>
          </reference>
          <reference field="2" count="1" selected="0">
            <x v="44"/>
          </reference>
          <reference field="3" count="1" selected="0">
            <x v="4"/>
          </reference>
          <reference field="4" count="1">
            <x v="180"/>
          </reference>
        </references>
      </pivotArea>
    </format>
    <format dxfId="245">
      <pivotArea collapsedLevelsAreSubtotals="1" fieldPosition="0">
        <references count="5">
          <reference field="0" count="1" selected="0">
            <x v="50"/>
          </reference>
          <reference field="1" count="1" selected="0">
            <x v="139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244">
      <pivotArea collapsedLevelsAreSubtotals="1" fieldPosition="0">
        <references count="5">
          <reference field="0" count="1" selected="0">
            <x v="50"/>
          </reference>
          <reference field="1" count="1" selected="0">
            <x v="169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23"/>
          </reference>
        </references>
      </pivotArea>
    </format>
    <format dxfId="243">
      <pivotArea collapsedLevelsAreSubtotals="1" fieldPosition="0">
        <references count="5">
          <reference field="0" count="1" selected="0">
            <x v="50"/>
          </reference>
          <reference field="1" count="1" selected="0">
            <x v="202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242">
      <pivotArea collapsedLevelsAreSubtotals="1" fieldPosition="0">
        <references count="5">
          <reference field="0" count="1" selected="0">
            <x v="50"/>
          </reference>
          <reference field="1" count="1" selected="0">
            <x v="211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241">
      <pivotArea collapsedLevelsAreSubtotals="1" fieldPosition="0">
        <references count="5">
          <reference field="0" count="1" selected="0">
            <x v="50"/>
          </reference>
          <reference field="1" count="1" selected="0">
            <x v="265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240">
      <pivotArea collapsedLevelsAreSubtotals="1" fieldPosition="0">
        <references count="5">
          <reference field="0" count="1" selected="0">
            <x v="50"/>
          </reference>
          <reference field="1" count="1" selected="0">
            <x v="268"/>
          </reference>
          <reference field="2" count="1" selected="0">
            <x v="44"/>
          </reference>
          <reference field="3" count="1" selected="0">
            <x v="7"/>
          </reference>
          <reference field="4" count="1">
            <x v="16"/>
          </reference>
        </references>
      </pivotArea>
    </format>
    <format dxfId="239">
      <pivotArea collapsedLevelsAreSubtotals="1" fieldPosition="0">
        <references count="5">
          <reference field="0" count="1" selected="0">
            <x v="50"/>
          </reference>
          <reference field="1" count="1" selected="0">
            <x v="346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76"/>
          </reference>
        </references>
      </pivotArea>
    </format>
    <format dxfId="238">
      <pivotArea collapsedLevelsAreSubtotals="1" fieldPosition="0">
        <references count="5">
          <reference field="0" count="1" selected="0">
            <x v="50"/>
          </reference>
          <reference field="1" count="1" selected="0">
            <x v="388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237">
      <pivotArea collapsedLevelsAreSubtotals="1" fieldPosition="0">
        <references count="2">
          <reference field="0" count="1" selected="0">
            <x v="50"/>
          </reference>
          <reference field="2" count="1" defaultSubtotal="1">
            <x v="44"/>
          </reference>
        </references>
      </pivotArea>
    </format>
    <format dxfId="236">
      <pivotArea dataOnly="0" labelOnly="1" fieldPosition="0">
        <references count="1">
          <reference field="0" count="1">
            <x v="50"/>
          </reference>
        </references>
      </pivotArea>
    </format>
    <format dxfId="235">
      <pivotArea dataOnly="0" labelOnly="1" fieldPosition="0">
        <references count="2">
          <reference field="0" count="1" selected="0">
            <x v="50"/>
          </reference>
          <reference field="2" count="1">
            <x v="44"/>
          </reference>
        </references>
      </pivotArea>
    </format>
    <format dxfId="234">
      <pivotArea dataOnly="0" labelOnly="1" fieldPosition="0">
        <references count="2">
          <reference field="0" count="1" selected="0">
            <x v="50"/>
          </reference>
          <reference field="2" count="1" defaultSubtotal="1">
            <x v="44"/>
          </reference>
        </references>
      </pivotArea>
    </format>
    <format dxfId="233">
      <pivotArea dataOnly="0" labelOnly="1" fieldPosition="0">
        <references count="3">
          <reference field="0" count="1" selected="0">
            <x v="50"/>
          </reference>
          <reference field="1" count="9">
            <x v="20"/>
            <x v="139"/>
            <x v="169"/>
            <x v="202"/>
            <x v="211"/>
            <x v="265"/>
            <x v="268"/>
            <x v="346"/>
            <x v="388"/>
          </reference>
          <reference field="2" count="1" selected="0">
            <x v="44"/>
          </reference>
        </references>
      </pivotArea>
    </format>
    <format dxfId="232">
      <pivotArea dataOnly="0" labelOnly="1" fieldPosition="0">
        <references count="4">
          <reference field="0" count="1" selected="0">
            <x v="50"/>
          </reference>
          <reference field="1" count="1" selected="0">
            <x v="20"/>
          </reference>
          <reference field="2" count="1" selected="0">
            <x v="44"/>
          </reference>
          <reference field="3" count="1">
            <x v="4"/>
          </reference>
        </references>
      </pivotArea>
    </format>
    <format dxfId="231">
      <pivotArea dataOnly="0" labelOnly="1" fieldPosition="0">
        <references count="4">
          <reference field="0" count="1" selected="0">
            <x v="50"/>
          </reference>
          <reference field="1" count="1" selected="0">
            <x v="139"/>
          </reference>
          <reference field="2" count="1" selected="0">
            <x v="44"/>
          </reference>
          <reference field="3" count="1">
            <x v="3"/>
          </reference>
        </references>
      </pivotArea>
    </format>
    <format dxfId="230">
      <pivotArea dataOnly="0" labelOnly="1" fieldPosition="0">
        <references count="4">
          <reference field="0" count="1" selected="0">
            <x v="50"/>
          </reference>
          <reference field="1" count="1" selected="0">
            <x v="268"/>
          </reference>
          <reference field="2" count="1" selected="0">
            <x v="44"/>
          </reference>
          <reference field="3" count="1">
            <x v="7"/>
          </reference>
        </references>
      </pivotArea>
    </format>
    <format dxfId="229">
      <pivotArea dataOnly="0" labelOnly="1" fieldPosition="0">
        <references count="4">
          <reference field="0" count="1" selected="0">
            <x v="50"/>
          </reference>
          <reference field="1" count="1" selected="0">
            <x v="346"/>
          </reference>
          <reference field="2" count="1" selected="0">
            <x v="44"/>
          </reference>
          <reference field="3" count="1">
            <x v="3"/>
          </reference>
        </references>
      </pivotArea>
    </format>
    <format dxfId="228">
      <pivotArea dataOnly="0" labelOnly="1" fieldPosition="0">
        <references count="5">
          <reference field="0" count="1" selected="0">
            <x v="50"/>
          </reference>
          <reference field="1" count="1" selected="0">
            <x v="20"/>
          </reference>
          <reference field="2" count="1" selected="0">
            <x v="44"/>
          </reference>
          <reference field="3" count="1" selected="0">
            <x v="4"/>
          </reference>
          <reference field="4" count="1">
            <x v="180"/>
          </reference>
        </references>
      </pivotArea>
    </format>
    <format dxfId="227">
      <pivotArea dataOnly="0" labelOnly="1" fieldPosition="0">
        <references count="5">
          <reference field="0" count="1" selected="0">
            <x v="50"/>
          </reference>
          <reference field="1" count="1" selected="0">
            <x v="139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226">
      <pivotArea dataOnly="0" labelOnly="1" fieldPosition="0">
        <references count="5">
          <reference field="0" count="1" selected="0">
            <x v="50"/>
          </reference>
          <reference field="1" count="1" selected="0">
            <x v="169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23"/>
          </reference>
        </references>
      </pivotArea>
    </format>
    <format dxfId="225">
      <pivotArea dataOnly="0" labelOnly="1" fieldPosition="0">
        <references count="5">
          <reference field="0" count="1" selected="0">
            <x v="50"/>
          </reference>
          <reference field="1" count="1" selected="0">
            <x v="202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224">
      <pivotArea dataOnly="0" labelOnly="1" fieldPosition="0">
        <references count="5">
          <reference field="0" count="1" selected="0">
            <x v="50"/>
          </reference>
          <reference field="1" count="1" selected="0">
            <x v="211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223">
      <pivotArea dataOnly="0" labelOnly="1" fieldPosition="0">
        <references count="5">
          <reference field="0" count="1" selected="0">
            <x v="50"/>
          </reference>
          <reference field="1" count="1" selected="0">
            <x v="265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45"/>
          </reference>
        </references>
      </pivotArea>
    </format>
    <format dxfId="222">
      <pivotArea dataOnly="0" labelOnly="1" fieldPosition="0">
        <references count="5">
          <reference field="0" count="1" selected="0">
            <x v="50"/>
          </reference>
          <reference field="1" count="1" selected="0">
            <x v="268"/>
          </reference>
          <reference field="2" count="1" selected="0">
            <x v="44"/>
          </reference>
          <reference field="3" count="1" selected="0">
            <x v="7"/>
          </reference>
          <reference field="4" count="1">
            <x v="16"/>
          </reference>
        </references>
      </pivotArea>
    </format>
    <format dxfId="221">
      <pivotArea dataOnly="0" labelOnly="1" fieldPosition="0">
        <references count="5">
          <reference field="0" count="1" selected="0">
            <x v="50"/>
          </reference>
          <reference field="1" count="1" selected="0">
            <x v="346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76"/>
          </reference>
        </references>
      </pivotArea>
    </format>
    <format dxfId="220">
      <pivotArea dataOnly="0" labelOnly="1" fieldPosition="0">
        <references count="5">
          <reference field="0" count="1" selected="0">
            <x v="50"/>
          </reference>
          <reference field="1" count="1" selected="0">
            <x v="388"/>
          </reference>
          <reference field="2" count="1" selected="0">
            <x v="44"/>
          </reference>
          <reference field="3" count="1" selected="0">
            <x v="3"/>
          </reference>
          <reference field="4" count="1">
            <x v="35"/>
          </reference>
        </references>
      </pivotArea>
    </format>
    <format dxfId="219">
      <pivotArea collapsedLevelsAreSubtotals="1" fieldPosition="0">
        <references count="5">
          <reference field="0" count="1" selected="0">
            <x v="51"/>
          </reference>
          <reference field="1" count="1" selected="0">
            <x v="220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11"/>
          </reference>
        </references>
      </pivotArea>
    </format>
    <format dxfId="218">
      <pivotArea collapsedLevelsAreSubtotals="1" fieldPosition="0">
        <references count="5">
          <reference field="0" count="1" selected="0">
            <x v="51"/>
          </reference>
          <reference field="1" count="1" selected="0">
            <x v="221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19"/>
          </reference>
        </references>
      </pivotArea>
    </format>
    <format dxfId="217">
      <pivotArea collapsedLevelsAreSubtotals="1" fieldPosition="0">
        <references count="5">
          <reference field="0" count="1" selected="0">
            <x v="51"/>
          </reference>
          <reference field="1" count="1" selected="0">
            <x v="264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216">
      <pivotArea collapsedLevelsAreSubtotals="1" fieldPosition="0">
        <references count="5">
          <reference field="0" count="1" selected="0">
            <x v="51"/>
          </reference>
          <reference field="1" count="1" selected="0">
            <x v="361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45"/>
          </reference>
        </references>
      </pivotArea>
    </format>
    <format dxfId="215">
      <pivotArea collapsedLevelsAreSubtotals="1" fieldPosition="0">
        <references count="2">
          <reference field="0" count="1" selected="0">
            <x v="51"/>
          </reference>
          <reference field="2" count="1" defaultSubtotal="1">
            <x v="23"/>
          </reference>
        </references>
      </pivotArea>
    </format>
    <format dxfId="214">
      <pivotArea dataOnly="0" labelOnly="1" fieldPosition="0">
        <references count="1">
          <reference field="0" count="1">
            <x v="51"/>
          </reference>
        </references>
      </pivotArea>
    </format>
    <format dxfId="213">
      <pivotArea dataOnly="0" labelOnly="1" fieldPosition="0">
        <references count="2">
          <reference field="0" count="1" selected="0">
            <x v="51"/>
          </reference>
          <reference field="2" count="1">
            <x v="23"/>
          </reference>
        </references>
      </pivotArea>
    </format>
    <format dxfId="212">
      <pivotArea dataOnly="0" labelOnly="1" fieldPosition="0">
        <references count="2">
          <reference field="0" count="1" selected="0">
            <x v="51"/>
          </reference>
          <reference field="2" count="1" defaultSubtotal="1">
            <x v="23"/>
          </reference>
        </references>
      </pivotArea>
    </format>
    <format dxfId="211">
      <pivotArea dataOnly="0" labelOnly="1" fieldPosition="0">
        <references count="3">
          <reference field="0" count="1" selected="0">
            <x v="51"/>
          </reference>
          <reference field="1" count="4">
            <x v="220"/>
            <x v="221"/>
            <x v="264"/>
            <x v="361"/>
          </reference>
          <reference field="2" count="1" selected="0">
            <x v="23"/>
          </reference>
        </references>
      </pivotArea>
    </format>
    <format dxfId="210">
      <pivotArea dataOnly="0" labelOnly="1" fieldPosition="0">
        <references count="4">
          <reference field="0" count="1" selected="0">
            <x v="51"/>
          </reference>
          <reference field="1" count="1" selected="0">
            <x v="220"/>
          </reference>
          <reference field="2" count="1" selected="0">
            <x v="23"/>
          </reference>
          <reference field="3" count="1">
            <x v="3"/>
          </reference>
        </references>
      </pivotArea>
    </format>
    <format dxfId="209">
      <pivotArea dataOnly="0" labelOnly="1" fieldPosition="0">
        <references count="4">
          <reference field="0" count="1" selected="0">
            <x v="51"/>
          </reference>
          <reference field="1" count="1" selected="0">
            <x v="361"/>
          </reference>
          <reference field="2" count="1" selected="0">
            <x v="23"/>
          </reference>
          <reference field="3" count="1">
            <x v="0"/>
          </reference>
        </references>
      </pivotArea>
    </format>
    <format dxfId="208">
      <pivotArea dataOnly="0" labelOnly="1" fieldPosition="0">
        <references count="5">
          <reference field="0" count="1" selected="0">
            <x v="51"/>
          </reference>
          <reference field="1" count="1" selected="0">
            <x v="220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11"/>
          </reference>
        </references>
      </pivotArea>
    </format>
    <format dxfId="207">
      <pivotArea dataOnly="0" labelOnly="1" fieldPosition="0">
        <references count="5">
          <reference field="0" count="1" selected="0">
            <x v="51"/>
          </reference>
          <reference field="1" count="1" selected="0">
            <x v="221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19"/>
          </reference>
        </references>
      </pivotArea>
    </format>
    <format dxfId="206">
      <pivotArea dataOnly="0" labelOnly="1" fieldPosition="0">
        <references count="5">
          <reference field="0" count="1" selected="0">
            <x v="51"/>
          </reference>
          <reference field="1" count="1" selected="0">
            <x v="264"/>
          </reference>
          <reference field="2" count="1" selected="0">
            <x v="23"/>
          </reference>
          <reference field="3" count="1" selected="0">
            <x v="3"/>
          </reference>
          <reference field="4" count="1">
            <x v="44"/>
          </reference>
        </references>
      </pivotArea>
    </format>
    <format dxfId="205">
      <pivotArea dataOnly="0" labelOnly="1" fieldPosition="0">
        <references count="5">
          <reference field="0" count="1" selected="0">
            <x v="51"/>
          </reference>
          <reference field="1" count="1" selected="0">
            <x v="361"/>
          </reference>
          <reference field="2" count="1" selected="0">
            <x v="23"/>
          </reference>
          <reference field="3" count="1" selected="0">
            <x v="0"/>
          </reference>
          <reference field="4" count="1">
            <x v="45"/>
          </reference>
        </references>
      </pivotArea>
    </format>
    <format dxfId="204">
      <pivotArea collapsedLevelsAreSubtotals="1" fieldPosition="0">
        <references count="5">
          <reference field="0" count="1" selected="0">
            <x v="52"/>
          </reference>
          <reference field="1" count="1" selected="0">
            <x v="345"/>
          </reference>
          <reference field="2" count="1" selected="0">
            <x v="14"/>
          </reference>
          <reference field="3" count="1" selected="0">
            <x v="3"/>
          </reference>
          <reference field="4" count="1">
            <x v="155"/>
          </reference>
        </references>
      </pivotArea>
    </format>
    <format dxfId="203">
      <pivotArea collapsedLevelsAreSubtotals="1" fieldPosition="0">
        <references count="5">
          <reference field="0" count="1" selected="0">
            <x v="52"/>
          </reference>
          <reference field="1" count="1" selected="0">
            <x v="436"/>
          </reference>
          <reference field="2" count="1" selected="0">
            <x v="14"/>
          </reference>
          <reference field="3" count="1" selected="0">
            <x v="0"/>
          </reference>
          <reference field="4" count="1">
            <x v="91"/>
          </reference>
        </references>
      </pivotArea>
    </format>
    <format dxfId="202">
      <pivotArea collapsedLevelsAreSubtotals="1" fieldPosition="0">
        <references count="2">
          <reference field="0" count="1" selected="0">
            <x v="52"/>
          </reference>
          <reference field="2" count="1" defaultSubtotal="1">
            <x v="14"/>
          </reference>
        </references>
      </pivotArea>
    </format>
    <format dxfId="201">
      <pivotArea dataOnly="0" labelOnly="1" fieldPosition="0">
        <references count="1">
          <reference field="0" count="1">
            <x v="52"/>
          </reference>
        </references>
      </pivotArea>
    </format>
    <format dxfId="200">
      <pivotArea dataOnly="0" labelOnly="1" fieldPosition="0">
        <references count="2">
          <reference field="0" count="1" selected="0">
            <x v="52"/>
          </reference>
          <reference field="2" count="1">
            <x v="14"/>
          </reference>
        </references>
      </pivotArea>
    </format>
    <format dxfId="199">
      <pivotArea dataOnly="0" labelOnly="1" fieldPosition="0">
        <references count="2">
          <reference field="0" count="1" selected="0">
            <x v="52"/>
          </reference>
          <reference field="2" count="1" defaultSubtotal="1">
            <x v="14"/>
          </reference>
        </references>
      </pivotArea>
    </format>
    <format dxfId="198">
      <pivotArea dataOnly="0" labelOnly="1" fieldPosition="0">
        <references count="3">
          <reference field="0" count="1" selected="0">
            <x v="52"/>
          </reference>
          <reference field="1" count="2">
            <x v="345"/>
            <x v="436"/>
          </reference>
          <reference field="2" count="1" selected="0">
            <x v="14"/>
          </reference>
        </references>
      </pivotArea>
    </format>
    <format dxfId="197">
      <pivotArea dataOnly="0" labelOnly="1" fieldPosition="0">
        <references count="4">
          <reference field="0" count="1" selected="0">
            <x v="52"/>
          </reference>
          <reference field="1" count="1" selected="0">
            <x v="345"/>
          </reference>
          <reference field="2" count="1" selected="0">
            <x v="14"/>
          </reference>
          <reference field="3" count="1">
            <x v="3"/>
          </reference>
        </references>
      </pivotArea>
    </format>
    <format dxfId="196">
      <pivotArea dataOnly="0" labelOnly="1" fieldPosition="0">
        <references count="4">
          <reference field="0" count="1" selected="0">
            <x v="52"/>
          </reference>
          <reference field="1" count="1" selected="0">
            <x v="436"/>
          </reference>
          <reference field="2" count="1" selected="0">
            <x v="14"/>
          </reference>
          <reference field="3" count="1">
            <x v="0"/>
          </reference>
        </references>
      </pivotArea>
    </format>
    <format dxfId="195">
      <pivotArea dataOnly="0" labelOnly="1" fieldPosition="0">
        <references count="5">
          <reference field="0" count="1" selected="0">
            <x v="52"/>
          </reference>
          <reference field="1" count="1" selected="0">
            <x v="345"/>
          </reference>
          <reference field="2" count="1" selected="0">
            <x v="14"/>
          </reference>
          <reference field="3" count="1" selected="0">
            <x v="3"/>
          </reference>
          <reference field="4" count="1">
            <x v="155"/>
          </reference>
        </references>
      </pivotArea>
    </format>
    <format dxfId="194">
      <pivotArea dataOnly="0" labelOnly="1" fieldPosition="0">
        <references count="5">
          <reference field="0" count="1" selected="0">
            <x v="52"/>
          </reference>
          <reference field="1" count="1" selected="0">
            <x v="436"/>
          </reference>
          <reference field="2" count="1" selected="0">
            <x v="14"/>
          </reference>
          <reference field="3" count="1" selected="0">
            <x v="0"/>
          </reference>
          <reference field="4" count="1">
            <x v="91"/>
          </reference>
        </references>
      </pivotArea>
    </format>
    <format dxfId="193">
      <pivotArea collapsedLevelsAreSubtotals="1" fieldPosition="0">
        <references count="5">
          <reference field="0" count="1" selected="0">
            <x v="53"/>
          </reference>
          <reference field="1" count="1" selected="0">
            <x v="114"/>
          </reference>
          <reference field="2" count="1" selected="0">
            <x v="63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192">
      <pivotArea collapsedLevelsAreSubtotals="1" fieldPosition="0">
        <references count="5">
          <reference field="0" count="1" selected="0">
            <x v="53"/>
          </reference>
          <reference field="1" count="1" selected="0">
            <x v="143"/>
          </reference>
          <reference field="2" count="1" selected="0">
            <x v="6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91">
      <pivotArea collapsedLevelsAreSubtotals="1" fieldPosition="0">
        <references count="5">
          <reference field="0" count="1" selected="0">
            <x v="53"/>
          </reference>
          <reference field="1" count="1" selected="0">
            <x v="308"/>
          </reference>
          <reference field="2" count="1" selected="0">
            <x v="63"/>
          </reference>
          <reference field="3" count="1" selected="0">
            <x v="3"/>
          </reference>
          <reference field="4" count="1">
            <x v="40"/>
          </reference>
        </references>
      </pivotArea>
    </format>
    <format dxfId="190">
      <pivotArea collapsedLevelsAreSubtotals="1" fieldPosition="0">
        <references count="5">
          <reference field="0" count="1" selected="0">
            <x v="53"/>
          </reference>
          <reference field="1" count="1" selected="0">
            <x v="380"/>
          </reference>
          <reference field="2" count="1" selected="0">
            <x v="63"/>
          </reference>
          <reference field="3" count="1" selected="0">
            <x v="0"/>
          </reference>
          <reference field="4" count="1">
            <x v="50"/>
          </reference>
        </references>
      </pivotArea>
    </format>
    <format dxfId="189">
      <pivotArea collapsedLevelsAreSubtotals="1" fieldPosition="0">
        <references count="5">
          <reference field="0" count="1" selected="0">
            <x v="53"/>
          </reference>
          <reference field="1" count="1" selected="0">
            <x v="403"/>
          </reference>
          <reference field="2" count="1" selected="0">
            <x v="63"/>
          </reference>
          <reference field="3" count="1" selected="0">
            <x v="0"/>
          </reference>
          <reference field="4" count="1">
            <x v="46"/>
          </reference>
        </references>
      </pivotArea>
    </format>
    <format dxfId="188">
      <pivotArea collapsedLevelsAreSubtotals="1" fieldPosition="0">
        <references count="2">
          <reference field="0" count="1" selected="0">
            <x v="53"/>
          </reference>
          <reference field="2" count="1" defaultSubtotal="1">
            <x v="63"/>
          </reference>
        </references>
      </pivotArea>
    </format>
    <format dxfId="187">
      <pivotArea dataOnly="0" labelOnly="1" fieldPosition="0">
        <references count="1">
          <reference field="0" count="1">
            <x v="53"/>
          </reference>
        </references>
      </pivotArea>
    </format>
    <format dxfId="186">
      <pivotArea dataOnly="0" labelOnly="1" fieldPosition="0">
        <references count="2">
          <reference field="0" count="1" selected="0">
            <x v="53"/>
          </reference>
          <reference field="2" count="1">
            <x v="63"/>
          </reference>
        </references>
      </pivotArea>
    </format>
    <format dxfId="185">
      <pivotArea dataOnly="0" labelOnly="1" fieldPosition="0">
        <references count="2">
          <reference field="0" count="1" selected="0">
            <x v="53"/>
          </reference>
          <reference field="2" count="1" defaultSubtotal="1">
            <x v="63"/>
          </reference>
        </references>
      </pivotArea>
    </format>
    <format dxfId="184">
      <pivotArea dataOnly="0" labelOnly="1" fieldPosition="0">
        <references count="3">
          <reference field="0" count="1" selected="0">
            <x v="53"/>
          </reference>
          <reference field="1" count="5">
            <x v="114"/>
            <x v="143"/>
            <x v="308"/>
            <x v="380"/>
            <x v="403"/>
          </reference>
          <reference field="2" count="1" selected="0">
            <x v="63"/>
          </reference>
        </references>
      </pivotArea>
    </format>
    <format dxfId="183">
      <pivotArea dataOnly="0" labelOnly="1" fieldPosition="0">
        <references count="4">
          <reference field="0" count="1" selected="0">
            <x v="53"/>
          </reference>
          <reference field="1" count="1" selected="0">
            <x v="114"/>
          </reference>
          <reference field="2" count="1" selected="0">
            <x v="63"/>
          </reference>
          <reference field="3" count="1">
            <x v="3"/>
          </reference>
        </references>
      </pivotArea>
    </format>
    <format dxfId="182">
      <pivotArea dataOnly="0" labelOnly="1" fieldPosition="0">
        <references count="4">
          <reference field="0" count="1" selected="0">
            <x v="53"/>
          </reference>
          <reference field="1" count="1" selected="0">
            <x v="380"/>
          </reference>
          <reference field="2" count="1" selected="0">
            <x v="63"/>
          </reference>
          <reference field="3" count="1">
            <x v="0"/>
          </reference>
        </references>
      </pivotArea>
    </format>
    <format dxfId="181">
      <pivotArea dataOnly="0" labelOnly="1" fieldPosition="0">
        <references count="5">
          <reference field="0" count="1" selected="0">
            <x v="53"/>
          </reference>
          <reference field="1" count="1" selected="0">
            <x v="114"/>
          </reference>
          <reference field="2" count="1" selected="0">
            <x v="63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180">
      <pivotArea dataOnly="0" labelOnly="1" fieldPosition="0">
        <references count="5">
          <reference field="0" count="1" selected="0">
            <x v="53"/>
          </reference>
          <reference field="1" count="1" selected="0">
            <x v="143"/>
          </reference>
          <reference field="2" count="1" selected="0">
            <x v="63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79">
      <pivotArea dataOnly="0" labelOnly="1" fieldPosition="0">
        <references count="5">
          <reference field="0" count="1" selected="0">
            <x v="53"/>
          </reference>
          <reference field="1" count="1" selected="0">
            <x v="308"/>
          </reference>
          <reference field="2" count="1" selected="0">
            <x v="63"/>
          </reference>
          <reference field="3" count="1" selected="0">
            <x v="3"/>
          </reference>
          <reference field="4" count="1">
            <x v="40"/>
          </reference>
        </references>
      </pivotArea>
    </format>
    <format dxfId="178">
      <pivotArea dataOnly="0" labelOnly="1" fieldPosition="0">
        <references count="5">
          <reference field="0" count="1" selected="0">
            <x v="53"/>
          </reference>
          <reference field="1" count="1" selected="0">
            <x v="380"/>
          </reference>
          <reference field="2" count="1" selected="0">
            <x v="63"/>
          </reference>
          <reference field="3" count="1" selected="0">
            <x v="0"/>
          </reference>
          <reference field="4" count="1">
            <x v="50"/>
          </reference>
        </references>
      </pivotArea>
    </format>
    <format dxfId="177">
      <pivotArea dataOnly="0" labelOnly="1" fieldPosition="0">
        <references count="5">
          <reference field="0" count="1" selected="0">
            <x v="53"/>
          </reference>
          <reference field="1" count="1" selected="0">
            <x v="403"/>
          </reference>
          <reference field="2" count="1" selected="0">
            <x v="63"/>
          </reference>
          <reference field="3" count="1" selected="0">
            <x v="0"/>
          </reference>
          <reference field="4" count="1">
            <x v="46"/>
          </reference>
        </references>
      </pivotArea>
    </format>
    <format dxfId="176">
      <pivotArea collapsedLevelsAreSubtotals="1" fieldPosition="0">
        <references count="5">
          <reference field="0" count="1" selected="0">
            <x v="54"/>
          </reference>
          <reference field="1" count="1" selected="0">
            <x v="162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20"/>
          </reference>
        </references>
      </pivotArea>
    </format>
    <format dxfId="175">
      <pivotArea collapsedLevelsAreSubtotals="1" fieldPosition="0">
        <references count="5">
          <reference field="0" count="1" selected="0">
            <x v="54"/>
          </reference>
          <reference field="1" count="1" selected="0">
            <x v="163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20"/>
          </reference>
        </references>
      </pivotArea>
    </format>
    <format dxfId="174">
      <pivotArea collapsedLevelsAreSubtotals="1" fieldPosition="0">
        <references count="5">
          <reference field="0" count="1" selected="0">
            <x v="54"/>
          </reference>
          <reference field="1" count="1" selected="0">
            <x v="278"/>
          </reference>
          <reference field="2" count="1" selected="0">
            <x v="64"/>
          </reference>
          <reference field="3" count="1" selected="0">
            <x v="0"/>
          </reference>
          <reference field="4" count="1">
            <x v="32"/>
          </reference>
        </references>
      </pivotArea>
    </format>
    <format dxfId="173">
      <pivotArea collapsedLevelsAreSubtotals="1" fieldPosition="0">
        <references count="5">
          <reference field="0" count="1" selected="0">
            <x v="54"/>
          </reference>
          <reference field="1" count="1" selected="0">
            <x v="313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72">
      <pivotArea collapsedLevelsAreSubtotals="1" fieldPosition="0">
        <references count="5">
          <reference field="0" count="1" selected="0">
            <x v="54"/>
          </reference>
          <reference field="1" count="1" selected="0">
            <x v="351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71">
      <pivotArea collapsedLevelsAreSubtotals="1" fieldPosition="0">
        <references count="5">
          <reference field="0" count="1" selected="0">
            <x v="54"/>
          </reference>
          <reference field="1" count="1" selected="0">
            <x v="450"/>
          </reference>
          <reference field="2" count="1" selected="0">
            <x v="64"/>
          </reference>
          <reference field="3" count="1" selected="0">
            <x v="0"/>
          </reference>
          <reference field="4" count="1">
            <x v="29"/>
          </reference>
        </references>
      </pivotArea>
    </format>
    <format dxfId="170">
      <pivotArea collapsedLevelsAreSubtotals="1" fieldPosition="0">
        <references count="2">
          <reference field="0" count="1" selected="0">
            <x v="54"/>
          </reference>
          <reference field="2" count="1" defaultSubtotal="1">
            <x v="64"/>
          </reference>
        </references>
      </pivotArea>
    </format>
    <format dxfId="169">
      <pivotArea dataOnly="0" labelOnly="1" fieldPosition="0">
        <references count="1">
          <reference field="0" count="1">
            <x v="54"/>
          </reference>
        </references>
      </pivotArea>
    </format>
    <format dxfId="168">
      <pivotArea dataOnly="0" labelOnly="1" fieldPosition="0">
        <references count="2">
          <reference field="0" count="1" selected="0">
            <x v="54"/>
          </reference>
          <reference field="2" count="1">
            <x v="64"/>
          </reference>
        </references>
      </pivotArea>
    </format>
    <format dxfId="167">
      <pivotArea dataOnly="0" labelOnly="1" fieldPosition="0">
        <references count="2">
          <reference field="0" count="1" selected="0">
            <x v="54"/>
          </reference>
          <reference field="2" count="1" defaultSubtotal="1">
            <x v="64"/>
          </reference>
        </references>
      </pivotArea>
    </format>
    <format dxfId="166">
      <pivotArea dataOnly="0" labelOnly="1" fieldPosition="0">
        <references count="3">
          <reference field="0" count="1" selected="0">
            <x v="54"/>
          </reference>
          <reference field="1" count="6">
            <x v="162"/>
            <x v="163"/>
            <x v="278"/>
            <x v="313"/>
            <x v="351"/>
            <x v="450"/>
          </reference>
          <reference field="2" count="1" selected="0">
            <x v="64"/>
          </reference>
        </references>
      </pivotArea>
    </format>
    <format dxfId="165">
      <pivotArea dataOnly="0" labelOnly="1" fieldPosition="0">
        <references count="4">
          <reference field="0" count="1" selected="0">
            <x v="54"/>
          </reference>
          <reference field="1" count="1" selected="0">
            <x v="162"/>
          </reference>
          <reference field="2" count="1" selected="0">
            <x v="64"/>
          </reference>
          <reference field="3" count="1">
            <x v="3"/>
          </reference>
        </references>
      </pivotArea>
    </format>
    <format dxfId="164">
      <pivotArea dataOnly="0" labelOnly="1" fieldPosition="0">
        <references count="4">
          <reference field="0" count="1" selected="0">
            <x v="54"/>
          </reference>
          <reference field="1" count="1" selected="0">
            <x v="278"/>
          </reference>
          <reference field="2" count="1" selected="0">
            <x v="64"/>
          </reference>
          <reference field="3" count="1">
            <x v="0"/>
          </reference>
        </references>
      </pivotArea>
    </format>
    <format dxfId="163">
      <pivotArea dataOnly="0" labelOnly="1" fieldPosition="0">
        <references count="4">
          <reference field="0" count="1" selected="0">
            <x v="54"/>
          </reference>
          <reference field="1" count="1" selected="0">
            <x v="313"/>
          </reference>
          <reference field="2" count="1" selected="0">
            <x v="64"/>
          </reference>
          <reference field="3" count="1">
            <x v="3"/>
          </reference>
        </references>
      </pivotArea>
    </format>
    <format dxfId="162">
      <pivotArea dataOnly="0" labelOnly="1" fieldPosition="0">
        <references count="4">
          <reference field="0" count="1" selected="0">
            <x v="54"/>
          </reference>
          <reference field="1" count="1" selected="0">
            <x v="450"/>
          </reference>
          <reference field="2" count="1" selected="0">
            <x v="64"/>
          </reference>
          <reference field="3" count="1">
            <x v="0"/>
          </reference>
        </references>
      </pivotArea>
    </format>
    <format dxfId="161">
      <pivotArea dataOnly="0" labelOnly="1" fieldPosition="0">
        <references count="5">
          <reference field="0" count="1" selected="0">
            <x v="54"/>
          </reference>
          <reference field="1" count="1" selected="0">
            <x v="162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20"/>
          </reference>
        </references>
      </pivotArea>
    </format>
    <format dxfId="160">
      <pivotArea dataOnly="0" labelOnly="1" fieldPosition="0">
        <references count="5">
          <reference field="0" count="1" selected="0">
            <x v="54"/>
          </reference>
          <reference field="1" count="1" selected="0">
            <x v="163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20"/>
          </reference>
        </references>
      </pivotArea>
    </format>
    <format dxfId="159">
      <pivotArea dataOnly="0" labelOnly="1" fieldPosition="0">
        <references count="5">
          <reference field="0" count="1" selected="0">
            <x v="54"/>
          </reference>
          <reference field="1" count="1" selected="0">
            <x v="278"/>
          </reference>
          <reference field="2" count="1" selected="0">
            <x v="64"/>
          </reference>
          <reference field="3" count="1" selected="0">
            <x v="0"/>
          </reference>
          <reference field="4" count="1">
            <x v="32"/>
          </reference>
        </references>
      </pivotArea>
    </format>
    <format dxfId="158">
      <pivotArea dataOnly="0" labelOnly="1" fieldPosition="0">
        <references count="5">
          <reference field="0" count="1" selected="0">
            <x v="54"/>
          </reference>
          <reference field="1" count="1" selected="0">
            <x v="313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57">
      <pivotArea dataOnly="0" labelOnly="1" fieldPosition="0">
        <references count="5">
          <reference field="0" count="1" selected="0">
            <x v="54"/>
          </reference>
          <reference field="1" count="1" selected="0">
            <x v="351"/>
          </reference>
          <reference field="2" count="1" selected="0">
            <x v="64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56">
      <pivotArea dataOnly="0" labelOnly="1" fieldPosition="0">
        <references count="5">
          <reference field="0" count="1" selected="0">
            <x v="54"/>
          </reference>
          <reference field="1" count="1" selected="0">
            <x v="450"/>
          </reference>
          <reference field="2" count="1" selected="0">
            <x v="64"/>
          </reference>
          <reference field="3" count="1" selected="0">
            <x v="0"/>
          </reference>
          <reference field="4" count="1">
            <x v="29"/>
          </reference>
        </references>
      </pivotArea>
    </format>
    <format dxfId="155">
      <pivotArea collapsedLevelsAreSubtotals="1" fieldPosition="0">
        <references count="5">
          <reference field="0" count="1" selected="0">
            <x v="55"/>
          </reference>
          <reference field="1" count="1" selected="0">
            <x v="242"/>
          </reference>
          <reference field="2" count="1" selected="0">
            <x v="48"/>
          </reference>
          <reference field="3" count="1" selected="0">
            <x v="4"/>
          </reference>
          <reference field="4" count="1">
            <x v="182"/>
          </reference>
        </references>
      </pivotArea>
    </format>
    <format dxfId="154">
      <pivotArea collapsedLevelsAreSubtotals="1" fieldPosition="0">
        <references count="5">
          <reference field="0" count="1" selected="0">
            <x v="55"/>
          </reference>
          <reference field="1" count="1" selected="0">
            <x v="303"/>
          </reference>
          <reference field="2" count="1" selected="0">
            <x v="48"/>
          </reference>
          <reference field="3" count="1" selected="0">
            <x v="3"/>
          </reference>
          <reference field="4" count="1">
            <x v="18"/>
          </reference>
        </references>
      </pivotArea>
    </format>
    <format dxfId="153">
      <pivotArea collapsedLevelsAreSubtotals="1" fieldPosition="0">
        <references count="5">
          <reference field="0" count="1" selected="0">
            <x v="55"/>
          </reference>
          <reference field="1" count="1" selected="0">
            <x v="412"/>
          </reference>
          <reference field="2" count="1" selected="0">
            <x v="48"/>
          </reference>
          <reference field="3" count="1" selected="0">
            <x v="3"/>
          </reference>
          <reference field="4" count="1">
            <x v="20"/>
          </reference>
        </references>
      </pivotArea>
    </format>
    <format dxfId="152">
      <pivotArea collapsedLevelsAreSubtotals="1" fieldPosition="0">
        <references count="2">
          <reference field="0" count="1" selected="0">
            <x v="55"/>
          </reference>
          <reference field="2" count="1" defaultSubtotal="1">
            <x v="48"/>
          </reference>
        </references>
      </pivotArea>
    </format>
    <format dxfId="151">
      <pivotArea dataOnly="0" labelOnly="1" fieldPosition="0">
        <references count="1">
          <reference field="0" count="1">
            <x v="55"/>
          </reference>
        </references>
      </pivotArea>
    </format>
    <format dxfId="150">
      <pivotArea dataOnly="0" labelOnly="1" fieldPosition="0">
        <references count="2">
          <reference field="0" count="1" selected="0">
            <x v="55"/>
          </reference>
          <reference field="2" count="1">
            <x v="48"/>
          </reference>
        </references>
      </pivotArea>
    </format>
    <format dxfId="149">
      <pivotArea dataOnly="0" labelOnly="1" fieldPosition="0">
        <references count="2">
          <reference field="0" count="1" selected="0">
            <x v="55"/>
          </reference>
          <reference field="2" count="1" defaultSubtotal="1">
            <x v="48"/>
          </reference>
        </references>
      </pivotArea>
    </format>
    <format dxfId="148">
      <pivotArea dataOnly="0" labelOnly="1" fieldPosition="0">
        <references count="3">
          <reference field="0" count="1" selected="0">
            <x v="55"/>
          </reference>
          <reference field="1" count="3">
            <x v="242"/>
            <x v="303"/>
            <x v="412"/>
          </reference>
          <reference field="2" count="1" selected="0">
            <x v="48"/>
          </reference>
        </references>
      </pivotArea>
    </format>
    <format dxfId="147">
      <pivotArea dataOnly="0" labelOnly="1" fieldPosition="0">
        <references count="4">
          <reference field="0" count="1" selected="0">
            <x v="55"/>
          </reference>
          <reference field="1" count="1" selected="0">
            <x v="242"/>
          </reference>
          <reference field="2" count="1" selected="0">
            <x v="48"/>
          </reference>
          <reference field="3" count="1">
            <x v="4"/>
          </reference>
        </references>
      </pivotArea>
    </format>
    <format dxfId="146">
      <pivotArea dataOnly="0" labelOnly="1" fieldPosition="0">
        <references count="4">
          <reference field="0" count="1" selected="0">
            <x v="55"/>
          </reference>
          <reference field="1" count="1" selected="0">
            <x v="303"/>
          </reference>
          <reference field="2" count="1" selected="0">
            <x v="48"/>
          </reference>
          <reference field="3" count="1">
            <x v="3"/>
          </reference>
        </references>
      </pivotArea>
    </format>
    <format dxfId="145">
      <pivotArea dataOnly="0" labelOnly="1" fieldPosition="0">
        <references count="5">
          <reference field="0" count="1" selected="0">
            <x v="55"/>
          </reference>
          <reference field="1" count="1" selected="0">
            <x v="242"/>
          </reference>
          <reference field="2" count="1" selected="0">
            <x v="48"/>
          </reference>
          <reference field="3" count="1" selected="0">
            <x v="4"/>
          </reference>
          <reference field="4" count="1">
            <x v="182"/>
          </reference>
        </references>
      </pivotArea>
    </format>
    <format dxfId="144">
      <pivotArea dataOnly="0" labelOnly="1" fieldPosition="0">
        <references count="5">
          <reference field="0" count="1" selected="0">
            <x v="55"/>
          </reference>
          <reference field="1" count="1" selected="0">
            <x v="303"/>
          </reference>
          <reference field="2" count="1" selected="0">
            <x v="48"/>
          </reference>
          <reference field="3" count="1" selected="0">
            <x v="3"/>
          </reference>
          <reference field="4" count="1">
            <x v="18"/>
          </reference>
        </references>
      </pivotArea>
    </format>
    <format dxfId="143">
      <pivotArea dataOnly="0" labelOnly="1" fieldPosition="0">
        <references count="5">
          <reference field="0" count="1" selected="0">
            <x v="55"/>
          </reference>
          <reference field="1" count="1" selected="0">
            <x v="412"/>
          </reference>
          <reference field="2" count="1" selected="0">
            <x v="48"/>
          </reference>
          <reference field="3" count="1" selected="0">
            <x v="3"/>
          </reference>
          <reference field="4" count="1">
            <x v="20"/>
          </reference>
        </references>
      </pivotArea>
    </format>
    <format dxfId="142">
      <pivotArea collapsedLevelsAreSubtotals="1" fieldPosition="0">
        <references count="5">
          <reference field="0" count="1" selected="0">
            <x v="56"/>
          </reference>
          <reference field="1" count="1" selected="0">
            <x v="3"/>
          </reference>
          <reference field="2" count="1" selected="0">
            <x v="15"/>
          </reference>
          <reference field="3" count="1" selected="0">
            <x v="3"/>
          </reference>
          <reference field="4" count="1">
            <x v="19"/>
          </reference>
        </references>
      </pivotArea>
    </format>
    <format dxfId="141">
      <pivotArea collapsedLevelsAreSubtotals="1" fieldPosition="0">
        <references count="5">
          <reference field="0" count="1" selected="0">
            <x v="56"/>
          </reference>
          <reference field="1" count="1" selected="0">
            <x v="7"/>
          </reference>
          <reference field="2" count="1" selected="0">
            <x v="15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140">
      <pivotArea collapsedLevelsAreSubtotals="1" fieldPosition="0">
        <references count="2">
          <reference field="0" count="1" selected="0">
            <x v="56"/>
          </reference>
          <reference field="2" count="1" defaultSubtotal="1">
            <x v="15"/>
          </reference>
        </references>
      </pivotArea>
    </format>
    <format dxfId="139">
      <pivotArea dataOnly="0" labelOnly="1" fieldPosition="0">
        <references count="1">
          <reference field="0" count="1">
            <x v="56"/>
          </reference>
        </references>
      </pivotArea>
    </format>
    <format dxfId="138">
      <pivotArea dataOnly="0" labelOnly="1" fieldPosition="0">
        <references count="2">
          <reference field="0" count="1" selected="0">
            <x v="56"/>
          </reference>
          <reference field="2" count="1">
            <x v="15"/>
          </reference>
        </references>
      </pivotArea>
    </format>
    <format dxfId="137">
      <pivotArea dataOnly="0" labelOnly="1" fieldPosition="0">
        <references count="2">
          <reference field="0" count="1" selected="0">
            <x v="56"/>
          </reference>
          <reference field="2" count="1" defaultSubtotal="1">
            <x v="15"/>
          </reference>
        </references>
      </pivotArea>
    </format>
    <format dxfId="136">
      <pivotArea dataOnly="0" labelOnly="1" fieldPosition="0">
        <references count="3">
          <reference field="0" count="1" selected="0">
            <x v="56"/>
          </reference>
          <reference field="1" count="2">
            <x v="3"/>
            <x v="7"/>
          </reference>
          <reference field="2" count="1" selected="0">
            <x v="15"/>
          </reference>
        </references>
      </pivotArea>
    </format>
    <format dxfId="135">
      <pivotArea dataOnly="0" labelOnly="1" fieldPosition="0">
        <references count="4">
          <reference field="0" count="1" selected="0">
            <x v="56"/>
          </reference>
          <reference field="1" count="1" selected="0">
            <x v="3"/>
          </reference>
          <reference field="2" count="1" selected="0">
            <x v="15"/>
          </reference>
          <reference field="3" count="1">
            <x v="3"/>
          </reference>
        </references>
      </pivotArea>
    </format>
    <format dxfId="134">
      <pivotArea dataOnly="0" labelOnly="1" fieldPosition="0">
        <references count="5">
          <reference field="0" count="1" selected="0">
            <x v="56"/>
          </reference>
          <reference field="1" count="1" selected="0">
            <x v="3"/>
          </reference>
          <reference field="2" count="1" selected="0">
            <x v="15"/>
          </reference>
          <reference field="3" count="1" selected="0">
            <x v="3"/>
          </reference>
          <reference field="4" count="1">
            <x v="19"/>
          </reference>
        </references>
      </pivotArea>
    </format>
    <format dxfId="133">
      <pivotArea dataOnly="0" labelOnly="1" fieldPosition="0">
        <references count="5">
          <reference field="0" count="1" selected="0">
            <x v="56"/>
          </reference>
          <reference field="1" count="1" selected="0">
            <x v="7"/>
          </reference>
          <reference field="2" count="1" selected="0">
            <x v="15"/>
          </reference>
          <reference field="3" count="1" selected="0">
            <x v="3"/>
          </reference>
          <reference field="4" count="1">
            <x v="5"/>
          </reference>
        </references>
      </pivotArea>
    </format>
    <format dxfId="132">
      <pivotArea collapsedLevelsAreSubtotals="1" fieldPosition="0">
        <references count="5">
          <reference field="0" count="1" selected="0">
            <x v="57"/>
          </reference>
          <reference field="1" count="1" selected="0">
            <x v="51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31">
      <pivotArea collapsedLevelsAreSubtotals="1" fieldPosition="0">
        <references count="5">
          <reference field="0" count="1" selected="0">
            <x v="57"/>
          </reference>
          <reference field="1" count="1" selected="0">
            <x v="271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104"/>
          </reference>
        </references>
      </pivotArea>
    </format>
    <format dxfId="130">
      <pivotArea collapsedLevelsAreSubtotals="1" fieldPosition="0">
        <references count="5">
          <reference field="0" count="1" selected="0">
            <x v="57"/>
          </reference>
          <reference field="1" count="1" selected="0">
            <x v="324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21"/>
          </reference>
        </references>
      </pivotArea>
    </format>
    <format dxfId="129">
      <pivotArea collapsedLevelsAreSubtotals="1" fieldPosition="0">
        <references count="2">
          <reference field="0" count="1" selected="0">
            <x v="57"/>
          </reference>
          <reference field="2" count="1" defaultSubtotal="1">
            <x v="30"/>
          </reference>
        </references>
      </pivotArea>
    </format>
    <format dxfId="128">
      <pivotArea dataOnly="0" labelOnly="1" fieldPosition="0">
        <references count="1">
          <reference field="0" count="1">
            <x v="57"/>
          </reference>
        </references>
      </pivotArea>
    </format>
    <format dxfId="127">
      <pivotArea dataOnly="0" labelOnly="1" fieldPosition="0">
        <references count="2">
          <reference field="0" count="1" selected="0">
            <x v="57"/>
          </reference>
          <reference field="2" count="1">
            <x v="30"/>
          </reference>
        </references>
      </pivotArea>
    </format>
    <format dxfId="126">
      <pivotArea dataOnly="0" labelOnly="1" fieldPosition="0">
        <references count="2">
          <reference field="0" count="1" selected="0">
            <x v="57"/>
          </reference>
          <reference field="2" count="1" defaultSubtotal="1">
            <x v="30"/>
          </reference>
        </references>
      </pivotArea>
    </format>
    <format dxfId="125">
      <pivotArea dataOnly="0" labelOnly="1" fieldPosition="0">
        <references count="3">
          <reference field="0" count="1" selected="0">
            <x v="57"/>
          </reference>
          <reference field="1" count="3">
            <x v="51"/>
            <x v="271"/>
            <x v="324"/>
          </reference>
          <reference field="2" count="1" selected="0">
            <x v="30"/>
          </reference>
        </references>
      </pivotArea>
    </format>
    <format dxfId="124">
      <pivotArea dataOnly="0" labelOnly="1" fieldPosition="0">
        <references count="4">
          <reference field="0" count="1" selected="0">
            <x v="57"/>
          </reference>
          <reference field="1" count="1" selected="0">
            <x v="51"/>
          </reference>
          <reference field="2" count="1" selected="0">
            <x v="30"/>
          </reference>
          <reference field="3" count="1">
            <x v="3"/>
          </reference>
        </references>
      </pivotArea>
    </format>
    <format dxfId="123">
      <pivotArea dataOnly="0" labelOnly="1" fieldPosition="0">
        <references count="5">
          <reference field="0" count="1" selected="0">
            <x v="57"/>
          </reference>
          <reference field="1" count="1" selected="0">
            <x v="51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22">
      <pivotArea dataOnly="0" labelOnly="1" fieldPosition="0">
        <references count="5">
          <reference field="0" count="1" selected="0">
            <x v="57"/>
          </reference>
          <reference field="1" count="1" selected="0">
            <x v="271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104"/>
          </reference>
        </references>
      </pivotArea>
    </format>
    <format dxfId="121">
      <pivotArea dataOnly="0" labelOnly="1" fieldPosition="0">
        <references count="5">
          <reference field="0" count="1" selected="0">
            <x v="57"/>
          </reference>
          <reference field="1" count="1" selected="0">
            <x v="324"/>
          </reference>
          <reference field="2" count="1" selected="0">
            <x v="30"/>
          </reference>
          <reference field="3" count="1" selected="0">
            <x v="3"/>
          </reference>
          <reference field="4" count="1">
            <x v="21"/>
          </reference>
        </references>
      </pivotArea>
    </format>
    <format dxfId="120">
      <pivotArea collapsedLevelsAreSubtotals="1" fieldPosition="0">
        <references count="5">
          <reference field="0" count="1" selected="0">
            <x v="58"/>
          </reference>
          <reference field="1" count="1" selected="0">
            <x v="62"/>
          </reference>
          <reference field="2" count="1" selected="0">
            <x v="27"/>
          </reference>
          <reference field="3" count="1" selected="0">
            <x v="3"/>
          </reference>
          <reference field="4" count="1">
            <x v="95"/>
          </reference>
        </references>
      </pivotArea>
    </format>
    <format dxfId="119">
      <pivotArea collapsedLevelsAreSubtotals="1" fieldPosition="0">
        <references count="5">
          <reference field="0" count="1" selected="0">
            <x v="58"/>
          </reference>
          <reference field="1" count="1" selected="0">
            <x v="255"/>
          </reference>
          <reference field="2" count="1" selected="0">
            <x v="27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18">
      <pivotArea collapsedLevelsAreSubtotals="1" fieldPosition="0">
        <references count="2">
          <reference field="0" count="1" selected="0">
            <x v="58"/>
          </reference>
          <reference field="2" count="1" defaultSubtotal="1">
            <x v="27"/>
          </reference>
        </references>
      </pivotArea>
    </format>
    <format dxfId="117">
      <pivotArea dataOnly="0" labelOnly="1" fieldPosition="0">
        <references count="1">
          <reference field="0" count="1">
            <x v="58"/>
          </reference>
        </references>
      </pivotArea>
    </format>
    <format dxfId="116">
      <pivotArea dataOnly="0" labelOnly="1" fieldPosition="0">
        <references count="2">
          <reference field="0" count="1" selected="0">
            <x v="58"/>
          </reference>
          <reference field="2" count="1">
            <x v="27"/>
          </reference>
        </references>
      </pivotArea>
    </format>
    <format dxfId="115">
      <pivotArea dataOnly="0" labelOnly="1" fieldPosition="0">
        <references count="2">
          <reference field="0" count="1" selected="0">
            <x v="58"/>
          </reference>
          <reference field="2" count="1" defaultSubtotal="1">
            <x v="27"/>
          </reference>
        </references>
      </pivotArea>
    </format>
    <format dxfId="114">
      <pivotArea dataOnly="0" labelOnly="1" fieldPosition="0">
        <references count="3">
          <reference field="0" count="1" selected="0">
            <x v="58"/>
          </reference>
          <reference field="1" count="2">
            <x v="62"/>
            <x v="255"/>
          </reference>
          <reference field="2" count="1" selected="0">
            <x v="27"/>
          </reference>
        </references>
      </pivotArea>
    </format>
    <format dxfId="113">
      <pivotArea dataOnly="0" labelOnly="1" fieldPosition="0">
        <references count="4">
          <reference field="0" count="1" selected="0">
            <x v="58"/>
          </reference>
          <reference field="1" count="1" selected="0">
            <x v="62"/>
          </reference>
          <reference field="2" count="1" selected="0">
            <x v="27"/>
          </reference>
          <reference field="3" count="1">
            <x v="3"/>
          </reference>
        </references>
      </pivotArea>
    </format>
    <format dxfId="112">
      <pivotArea dataOnly="0" labelOnly="1" fieldPosition="0">
        <references count="5">
          <reference field="0" count="1" selected="0">
            <x v="58"/>
          </reference>
          <reference field="1" count="1" selected="0">
            <x v="62"/>
          </reference>
          <reference field="2" count="1" selected="0">
            <x v="27"/>
          </reference>
          <reference field="3" count="1" selected="0">
            <x v="3"/>
          </reference>
          <reference field="4" count="1">
            <x v="95"/>
          </reference>
        </references>
      </pivotArea>
    </format>
    <format dxfId="111">
      <pivotArea dataOnly="0" labelOnly="1" fieldPosition="0">
        <references count="5">
          <reference field="0" count="1" selected="0">
            <x v="58"/>
          </reference>
          <reference field="1" count="1" selected="0">
            <x v="255"/>
          </reference>
          <reference field="2" count="1" selected="0">
            <x v="27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110">
      <pivotArea collapsedLevelsAreSubtotals="1" fieldPosition="0">
        <references count="5">
          <reference field="0" count="1" selected="0">
            <x v="59"/>
          </reference>
          <reference field="1" count="1" selected="0">
            <x v="68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10"/>
          </reference>
        </references>
      </pivotArea>
    </format>
    <format dxfId="109">
      <pivotArea collapsedLevelsAreSubtotals="1" fieldPosition="0">
        <references count="5">
          <reference field="0" count="1" selected="0">
            <x v="59"/>
          </reference>
          <reference field="1" count="1" selected="0">
            <x v="79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108">
      <pivotArea collapsedLevelsAreSubtotals="1" fieldPosition="0">
        <references count="5">
          <reference field="0" count="1" selected="0">
            <x v="59"/>
          </reference>
          <reference field="1" count="1" selected="0">
            <x v="80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107">
      <pivotArea collapsedLevelsAreSubtotals="1" fieldPosition="0">
        <references count="5">
          <reference field="0" count="1" selected="0">
            <x v="59"/>
          </reference>
          <reference field="1" count="1" selected="0">
            <x v="148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85"/>
          </reference>
        </references>
      </pivotArea>
    </format>
    <format dxfId="106">
      <pivotArea collapsedLevelsAreSubtotals="1" fieldPosition="0">
        <references count="5">
          <reference field="0" count="1" selected="0">
            <x v="59"/>
          </reference>
          <reference field="1" count="1" selected="0">
            <x v="170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05">
      <pivotArea collapsedLevelsAreSubtotals="1" fieldPosition="0">
        <references count="5">
          <reference field="0" count="1" selected="0">
            <x v="59"/>
          </reference>
          <reference field="1" count="1" selected="0">
            <x v="187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04">
      <pivotArea collapsedLevelsAreSubtotals="1" fieldPosition="0">
        <references count="5">
          <reference field="0" count="1" selected="0">
            <x v="59"/>
          </reference>
          <reference field="1" count="1" selected="0">
            <x v="233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03">
      <pivotArea collapsedLevelsAreSubtotals="1" fieldPosition="0">
        <references count="5">
          <reference field="0" count="1" selected="0">
            <x v="59"/>
          </reference>
          <reference field="1" count="1" selected="0">
            <x v="281"/>
          </reference>
          <reference field="2" count="1" selected="0">
            <x v="1"/>
          </reference>
          <reference field="3" count="1" selected="0">
            <x v="2"/>
          </reference>
          <reference field="4" count="1">
            <x v="48"/>
          </reference>
        </references>
      </pivotArea>
    </format>
    <format dxfId="102">
      <pivotArea collapsedLevelsAreSubtotals="1" fieldPosition="0">
        <references count="5">
          <reference field="0" count="1" selected="0">
            <x v="59"/>
          </reference>
          <reference field="1" count="1" selected="0">
            <x v="315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101">
      <pivotArea collapsedLevelsAreSubtotals="1" fieldPosition="0">
        <references count="5">
          <reference field="0" count="1" selected="0">
            <x v="59"/>
          </reference>
          <reference field="1" count="1" selected="0">
            <x v="335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100">
      <pivotArea collapsedLevelsAreSubtotals="1" fieldPosition="0">
        <references count="5">
          <reference field="0" count="1" selected="0">
            <x v="59"/>
          </reference>
          <reference field="1" count="1" selected="0">
            <x v="363"/>
          </reference>
          <reference field="2" count="1" selected="0">
            <x v="1"/>
          </reference>
          <reference field="3" count="1" selected="0">
            <x v="0"/>
          </reference>
          <reference field="4" count="1">
            <x v="50"/>
          </reference>
        </references>
      </pivotArea>
    </format>
    <format dxfId="99">
      <pivotArea collapsedLevelsAreSubtotals="1" fieldPosition="0">
        <references count="5">
          <reference field="0" count="1" selected="0">
            <x v="59"/>
          </reference>
          <reference field="1" count="1" selected="0">
            <x v="377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112"/>
          </reference>
        </references>
      </pivotArea>
    </format>
    <format dxfId="98">
      <pivotArea collapsedLevelsAreSubtotals="1" fieldPosition="0">
        <references count="2">
          <reference field="0" count="1" selected="0">
            <x v="59"/>
          </reference>
          <reference field="2" count="1" defaultSubtotal="1">
            <x v="1"/>
          </reference>
        </references>
      </pivotArea>
    </format>
    <format dxfId="97">
      <pivotArea dataOnly="0" labelOnly="1" fieldPosition="0">
        <references count="1">
          <reference field="0" count="1">
            <x v="59"/>
          </reference>
        </references>
      </pivotArea>
    </format>
    <format dxfId="96">
      <pivotArea dataOnly="0" labelOnly="1" fieldPosition="0">
        <references count="2">
          <reference field="0" count="1" selected="0">
            <x v="59"/>
          </reference>
          <reference field="2" count="1">
            <x v="1"/>
          </reference>
        </references>
      </pivotArea>
    </format>
    <format dxfId="95">
      <pivotArea dataOnly="0" labelOnly="1" fieldPosition="0">
        <references count="2">
          <reference field="0" count="1" selected="0">
            <x v="59"/>
          </reference>
          <reference field="2" count="1" defaultSubtotal="1">
            <x v="1"/>
          </reference>
        </references>
      </pivotArea>
    </format>
    <format dxfId="94">
      <pivotArea dataOnly="0" labelOnly="1" fieldPosition="0">
        <references count="3">
          <reference field="0" count="1" selected="0">
            <x v="59"/>
          </reference>
          <reference field="1" count="12">
            <x v="68"/>
            <x v="79"/>
            <x v="80"/>
            <x v="148"/>
            <x v="170"/>
            <x v="187"/>
            <x v="233"/>
            <x v="281"/>
            <x v="315"/>
            <x v="335"/>
            <x v="363"/>
            <x v="377"/>
          </reference>
          <reference field="2" count="1" selected="0">
            <x v="1"/>
          </reference>
        </references>
      </pivotArea>
    </format>
    <format dxfId="93">
      <pivotArea dataOnly="0" labelOnly="1" fieldPosition="0">
        <references count="4">
          <reference field="0" count="1" selected="0">
            <x v="59"/>
          </reference>
          <reference field="1" count="1" selected="0">
            <x v="68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92">
      <pivotArea dataOnly="0" labelOnly="1" fieldPosition="0">
        <references count="4">
          <reference field="0" count="1" selected="0">
            <x v="59"/>
          </reference>
          <reference field="1" count="1" selected="0">
            <x v="281"/>
          </reference>
          <reference field="2" count="1" selected="0">
            <x v="1"/>
          </reference>
          <reference field="3" count="1">
            <x v="2"/>
          </reference>
        </references>
      </pivotArea>
    </format>
    <format dxfId="91">
      <pivotArea dataOnly="0" labelOnly="1" fieldPosition="0">
        <references count="4">
          <reference field="0" count="1" selected="0">
            <x v="59"/>
          </reference>
          <reference field="1" count="1" selected="0">
            <x v="315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90">
      <pivotArea dataOnly="0" labelOnly="1" fieldPosition="0">
        <references count="4">
          <reference field="0" count="1" selected="0">
            <x v="59"/>
          </reference>
          <reference field="1" count="1" selected="0">
            <x v="363"/>
          </reference>
          <reference field="2" count="1" selected="0">
            <x v="1"/>
          </reference>
          <reference field="3" count="1">
            <x v="0"/>
          </reference>
        </references>
      </pivotArea>
    </format>
    <format dxfId="89">
      <pivotArea dataOnly="0" labelOnly="1" fieldPosition="0">
        <references count="4">
          <reference field="0" count="1" selected="0">
            <x v="59"/>
          </reference>
          <reference field="1" count="1" selected="0">
            <x v="377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88">
      <pivotArea dataOnly="0" labelOnly="1" fieldPosition="0">
        <references count="5">
          <reference field="0" count="1" selected="0">
            <x v="59"/>
          </reference>
          <reference field="1" count="1" selected="0">
            <x v="68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10"/>
          </reference>
        </references>
      </pivotArea>
    </format>
    <format dxfId="87">
      <pivotArea dataOnly="0" labelOnly="1" fieldPosition="0">
        <references count="5">
          <reference field="0" count="1" selected="0">
            <x v="59"/>
          </reference>
          <reference field="1" count="1" selected="0">
            <x v="79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86">
      <pivotArea dataOnly="0" labelOnly="1" fieldPosition="0">
        <references count="5">
          <reference field="0" count="1" selected="0">
            <x v="59"/>
          </reference>
          <reference field="1" count="1" selected="0">
            <x v="80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1"/>
          </reference>
        </references>
      </pivotArea>
    </format>
    <format dxfId="85">
      <pivotArea dataOnly="0" labelOnly="1" fieldPosition="0">
        <references count="5">
          <reference field="0" count="1" selected="0">
            <x v="59"/>
          </reference>
          <reference field="1" count="1" selected="0">
            <x v="148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85"/>
          </reference>
        </references>
      </pivotArea>
    </format>
    <format dxfId="84">
      <pivotArea dataOnly="0" labelOnly="1" fieldPosition="0">
        <references count="5">
          <reference field="0" count="1" selected="0">
            <x v="59"/>
          </reference>
          <reference field="1" count="1" selected="0">
            <x v="170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83">
      <pivotArea dataOnly="0" labelOnly="1" fieldPosition="0">
        <references count="5">
          <reference field="0" count="1" selected="0">
            <x v="59"/>
          </reference>
          <reference field="1" count="1" selected="0">
            <x v="187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82">
      <pivotArea dataOnly="0" labelOnly="1" fieldPosition="0">
        <references count="5">
          <reference field="0" count="1" selected="0">
            <x v="59"/>
          </reference>
          <reference field="1" count="1" selected="0">
            <x v="233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81">
      <pivotArea dataOnly="0" labelOnly="1" fieldPosition="0">
        <references count="5">
          <reference field="0" count="1" selected="0">
            <x v="59"/>
          </reference>
          <reference field="1" count="1" selected="0">
            <x v="281"/>
          </reference>
          <reference field="2" count="1" selected="0">
            <x v="1"/>
          </reference>
          <reference field="3" count="1" selected="0">
            <x v="2"/>
          </reference>
          <reference field="4" count="1">
            <x v="48"/>
          </reference>
        </references>
      </pivotArea>
    </format>
    <format dxfId="80">
      <pivotArea dataOnly="0" labelOnly="1" fieldPosition="0">
        <references count="5">
          <reference field="0" count="1" selected="0">
            <x v="59"/>
          </reference>
          <reference field="1" count="1" selected="0">
            <x v="315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9"/>
          </reference>
        </references>
      </pivotArea>
    </format>
    <format dxfId="79">
      <pivotArea dataOnly="0" labelOnly="1" fieldPosition="0">
        <references count="5">
          <reference field="0" count="1" selected="0">
            <x v="59"/>
          </reference>
          <reference field="1" count="1" selected="0">
            <x v="335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46"/>
          </reference>
        </references>
      </pivotArea>
    </format>
    <format dxfId="78">
      <pivotArea dataOnly="0" labelOnly="1" fieldPosition="0">
        <references count="5">
          <reference field="0" count="1" selected="0">
            <x v="59"/>
          </reference>
          <reference field="1" count="1" selected="0">
            <x v="363"/>
          </reference>
          <reference field="2" count="1" selected="0">
            <x v="1"/>
          </reference>
          <reference field="3" count="1" selected="0">
            <x v="0"/>
          </reference>
          <reference field="4" count="1">
            <x v="50"/>
          </reference>
        </references>
      </pivotArea>
    </format>
    <format dxfId="77">
      <pivotArea dataOnly="0" labelOnly="1" fieldPosition="0">
        <references count="5">
          <reference field="0" count="1" selected="0">
            <x v="59"/>
          </reference>
          <reference field="1" count="1" selected="0">
            <x v="377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112"/>
          </reference>
        </references>
      </pivotArea>
    </format>
    <format dxfId="76">
      <pivotArea collapsedLevelsAreSubtotals="1" fieldPosition="0">
        <references count="5">
          <reference field="0" count="1" selected="0">
            <x v="60"/>
          </reference>
          <reference field="1" count="1" selected="0">
            <x v="71"/>
          </reference>
          <reference field="2" count="1" selected="0">
            <x v="59"/>
          </reference>
          <reference field="3" count="1" selected="0">
            <x v="0"/>
          </reference>
          <reference field="4" count="1">
            <x v="37"/>
          </reference>
        </references>
      </pivotArea>
    </format>
    <format dxfId="75">
      <pivotArea collapsedLevelsAreSubtotals="1" fieldPosition="0">
        <references count="2">
          <reference field="0" count="1" selected="0">
            <x v="60"/>
          </reference>
          <reference field="2" count="1" defaultSubtotal="1">
            <x v="59"/>
          </reference>
        </references>
      </pivotArea>
    </format>
    <format dxfId="74">
      <pivotArea dataOnly="0" labelOnly="1" fieldPosition="0">
        <references count="1">
          <reference field="0" count="1">
            <x v="60"/>
          </reference>
        </references>
      </pivotArea>
    </format>
    <format dxfId="73">
      <pivotArea dataOnly="0" labelOnly="1" fieldPosition="0">
        <references count="2">
          <reference field="0" count="1" selected="0">
            <x v="60"/>
          </reference>
          <reference field="2" count="1">
            <x v="59"/>
          </reference>
        </references>
      </pivotArea>
    </format>
    <format dxfId="72">
      <pivotArea dataOnly="0" labelOnly="1" fieldPosition="0">
        <references count="2">
          <reference field="0" count="1" selected="0">
            <x v="60"/>
          </reference>
          <reference field="2" count="1" defaultSubtotal="1">
            <x v="59"/>
          </reference>
        </references>
      </pivotArea>
    </format>
    <format dxfId="71">
      <pivotArea dataOnly="0" labelOnly="1" fieldPosition="0">
        <references count="3">
          <reference field="0" count="1" selected="0">
            <x v="60"/>
          </reference>
          <reference field="1" count="1">
            <x v="71"/>
          </reference>
          <reference field="2" count="1" selected="0">
            <x v="59"/>
          </reference>
        </references>
      </pivotArea>
    </format>
    <format dxfId="70">
      <pivotArea dataOnly="0" labelOnly="1" fieldPosition="0">
        <references count="4">
          <reference field="0" count="1" selected="0">
            <x v="60"/>
          </reference>
          <reference field="1" count="1" selected="0">
            <x v="71"/>
          </reference>
          <reference field="2" count="1" selected="0">
            <x v="59"/>
          </reference>
          <reference field="3" count="1">
            <x v="0"/>
          </reference>
        </references>
      </pivotArea>
    </format>
    <format dxfId="69">
      <pivotArea dataOnly="0" labelOnly="1" fieldPosition="0">
        <references count="5">
          <reference field="0" count="1" selected="0">
            <x v="60"/>
          </reference>
          <reference field="1" count="1" selected="0">
            <x v="71"/>
          </reference>
          <reference field="2" count="1" selected="0">
            <x v="59"/>
          </reference>
          <reference field="3" count="1" selected="0">
            <x v="0"/>
          </reference>
          <reference field="4" count="1">
            <x v="37"/>
          </reference>
        </references>
      </pivotArea>
    </format>
    <format dxfId="68">
      <pivotArea collapsedLevelsAreSubtotals="1" fieldPosition="0">
        <references count="5">
          <reference field="0" count="1" selected="0">
            <x v="61"/>
          </reference>
          <reference field="1" count="1" selected="0">
            <x v="94"/>
          </reference>
          <reference field="2" count="1" selected="0">
            <x v="21"/>
          </reference>
          <reference field="3" count="1" selected="0">
            <x v="4"/>
          </reference>
          <reference field="4" count="1">
            <x v="209"/>
          </reference>
        </references>
      </pivotArea>
    </format>
    <format dxfId="67">
      <pivotArea collapsedLevelsAreSubtotals="1" fieldPosition="0">
        <references count="5">
          <reference field="0" count="1" selected="0">
            <x v="61"/>
          </reference>
          <reference field="1" count="1" selected="0">
            <x v="294"/>
          </reference>
          <reference field="2" count="1" selected="0">
            <x v="21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66">
      <pivotArea collapsedLevelsAreSubtotals="1" fieldPosition="0">
        <references count="5">
          <reference field="0" count="1" selected="0">
            <x v="61"/>
          </reference>
          <reference field="1" count="1" selected="0">
            <x v="295"/>
          </reference>
          <reference field="2" count="1" selected="0">
            <x v="21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65">
      <pivotArea collapsedLevelsAreSubtotals="1" fieldPosition="0">
        <references count="2">
          <reference field="0" count="1" selected="0">
            <x v="61"/>
          </reference>
          <reference field="2" count="1" defaultSubtotal="1">
            <x v="21"/>
          </reference>
        </references>
      </pivotArea>
    </format>
    <format dxfId="64">
      <pivotArea dataOnly="0" labelOnly="1" fieldPosition="0">
        <references count="1">
          <reference field="0" count="1">
            <x v="61"/>
          </reference>
        </references>
      </pivotArea>
    </format>
    <format dxfId="63">
      <pivotArea dataOnly="0" labelOnly="1" fieldPosition="0">
        <references count="2">
          <reference field="0" count="1" selected="0">
            <x v="61"/>
          </reference>
          <reference field="2" count="1">
            <x v="21"/>
          </reference>
        </references>
      </pivotArea>
    </format>
    <format dxfId="62">
      <pivotArea dataOnly="0" labelOnly="1" fieldPosition="0">
        <references count="2">
          <reference field="0" count="1" selected="0">
            <x v="61"/>
          </reference>
          <reference field="2" count="1" defaultSubtotal="1">
            <x v="21"/>
          </reference>
        </references>
      </pivotArea>
    </format>
    <format dxfId="61">
      <pivotArea dataOnly="0" labelOnly="1" fieldPosition="0">
        <references count="3">
          <reference field="0" count="1" selected="0">
            <x v="61"/>
          </reference>
          <reference field="1" count="3">
            <x v="94"/>
            <x v="294"/>
            <x v="295"/>
          </reference>
          <reference field="2" count="1" selected="0">
            <x v="21"/>
          </reference>
        </references>
      </pivotArea>
    </format>
    <format dxfId="60">
      <pivotArea dataOnly="0" labelOnly="1" fieldPosition="0">
        <references count="4">
          <reference field="0" count="1" selected="0">
            <x v="61"/>
          </reference>
          <reference field="1" count="1" selected="0">
            <x v="94"/>
          </reference>
          <reference field="2" count="1" selected="0">
            <x v="21"/>
          </reference>
          <reference field="3" count="1">
            <x v="4"/>
          </reference>
        </references>
      </pivotArea>
    </format>
    <format dxfId="59">
      <pivotArea dataOnly="0" labelOnly="1" fieldPosition="0">
        <references count="4">
          <reference field="0" count="1" selected="0">
            <x v="61"/>
          </reference>
          <reference field="1" count="1" selected="0">
            <x v="294"/>
          </reference>
          <reference field="2" count="1" selected="0">
            <x v="21"/>
          </reference>
          <reference field="3" count="1">
            <x v="3"/>
          </reference>
        </references>
      </pivotArea>
    </format>
    <format dxfId="58">
      <pivotArea dataOnly="0" labelOnly="1" fieldPosition="0">
        <references count="5">
          <reference field="0" count="1" selected="0">
            <x v="61"/>
          </reference>
          <reference field="1" count="1" selected="0">
            <x v="94"/>
          </reference>
          <reference field="2" count="1" selected="0">
            <x v="21"/>
          </reference>
          <reference field="3" count="1" selected="0">
            <x v="4"/>
          </reference>
          <reference field="4" count="1">
            <x v="209"/>
          </reference>
        </references>
      </pivotArea>
    </format>
    <format dxfId="57">
      <pivotArea dataOnly="0" labelOnly="1" fieldPosition="0">
        <references count="5">
          <reference field="0" count="1" selected="0">
            <x v="61"/>
          </reference>
          <reference field="1" count="1" selected="0">
            <x v="294"/>
          </reference>
          <reference field="2" count="1" selected="0">
            <x v="21"/>
          </reference>
          <reference field="3" count="1" selected="0">
            <x v="3"/>
          </reference>
          <reference field="4" count="1">
            <x v="48"/>
          </reference>
        </references>
      </pivotArea>
    </format>
    <format dxfId="56">
      <pivotArea dataOnly="0" labelOnly="1" fieldPosition="0">
        <references count="5">
          <reference field="0" count="1" selected="0">
            <x v="61"/>
          </reference>
          <reference field="1" count="1" selected="0">
            <x v="295"/>
          </reference>
          <reference field="2" count="1" selected="0">
            <x v="21"/>
          </reference>
          <reference field="3" count="1" selected="0">
            <x v="3"/>
          </reference>
          <reference field="4" count="1">
            <x v="47"/>
          </reference>
        </references>
      </pivotArea>
    </format>
    <format dxfId="55">
      <pivotArea collapsedLevelsAreSubtotals="1" fieldPosition="0">
        <references count="5">
          <reference field="0" count="1" selected="0">
            <x v="62"/>
          </reference>
          <reference field="1" count="1" selected="0">
            <x v="93"/>
          </reference>
          <reference field="2" count="1" selected="0">
            <x v="45"/>
          </reference>
          <reference field="3" count="1" selected="0">
            <x v="7"/>
          </reference>
          <reference field="4" count="1">
            <x v="20"/>
          </reference>
        </references>
      </pivotArea>
    </format>
    <format dxfId="54">
      <pivotArea collapsedLevelsAreSubtotals="1" fieldPosition="0">
        <references count="2">
          <reference field="0" count="1" selected="0">
            <x v="62"/>
          </reference>
          <reference field="2" count="1" defaultSubtotal="1">
            <x v="45"/>
          </reference>
        </references>
      </pivotArea>
    </format>
    <format dxfId="53">
      <pivotArea dataOnly="0" labelOnly="1" fieldPosition="0">
        <references count="1">
          <reference field="0" count="1">
            <x v="62"/>
          </reference>
        </references>
      </pivotArea>
    </format>
    <format dxfId="52">
      <pivotArea dataOnly="0" labelOnly="1" fieldPosition="0">
        <references count="2">
          <reference field="0" count="1" selected="0">
            <x v="62"/>
          </reference>
          <reference field="2" count="1">
            <x v="45"/>
          </reference>
        </references>
      </pivotArea>
    </format>
    <format dxfId="51">
      <pivotArea dataOnly="0" labelOnly="1" fieldPosition="0">
        <references count="2">
          <reference field="0" count="1" selected="0">
            <x v="62"/>
          </reference>
          <reference field="2" count="1" defaultSubtotal="1">
            <x v="45"/>
          </reference>
        </references>
      </pivotArea>
    </format>
    <format dxfId="50">
      <pivotArea dataOnly="0" labelOnly="1" fieldPosition="0">
        <references count="3">
          <reference field="0" count="1" selected="0">
            <x v="62"/>
          </reference>
          <reference field="1" count="1">
            <x v="93"/>
          </reference>
          <reference field="2" count="1" selected="0">
            <x v="45"/>
          </reference>
        </references>
      </pivotArea>
    </format>
    <format dxfId="49">
      <pivotArea dataOnly="0" labelOnly="1" fieldPosition="0">
        <references count="4">
          <reference field="0" count="1" selected="0">
            <x v="62"/>
          </reference>
          <reference field="1" count="1" selected="0">
            <x v="93"/>
          </reference>
          <reference field="2" count="1" selected="0">
            <x v="45"/>
          </reference>
          <reference field="3" count="1">
            <x v="7"/>
          </reference>
        </references>
      </pivotArea>
    </format>
    <format dxfId="48">
      <pivotArea dataOnly="0" labelOnly="1" fieldPosition="0">
        <references count="5">
          <reference field="0" count="1" selected="0">
            <x v="62"/>
          </reference>
          <reference field="1" count="1" selected="0">
            <x v="93"/>
          </reference>
          <reference field="2" count="1" selected="0">
            <x v="45"/>
          </reference>
          <reference field="3" count="1" selected="0">
            <x v="7"/>
          </reference>
          <reference field="4" count="1">
            <x v="20"/>
          </reference>
        </references>
      </pivotArea>
    </format>
    <format dxfId="47">
      <pivotArea collapsedLevelsAreSubtotals="1" fieldPosition="0">
        <references count="5">
          <reference field="0" count="1" selected="0">
            <x v="63"/>
          </reference>
          <reference field="1" count="1" selected="0">
            <x v="183"/>
          </reference>
          <reference field="2" count="1" selected="0">
            <x v="11"/>
          </reference>
          <reference field="3" count="1" selected="0">
            <x v="0"/>
          </reference>
          <reference field="4" count="1">
            <x v="49"/>
          </reference>
        </references>
      </pivotArea>
    </format>
    <format dxfId="46">
      <pivotArea collapsedLevelsAreSubtotals="1" fieldPosition="0">
        <references count="2">
          <reference field="0" count="1" selected="0">
            <x v="63"/>
          </reference>
          <reference field="2" count="1" defaultSubtotal="1">
            <x v="11"/>
          </reference>
        </references>
      </pivotArea>
    </format>
    <format dxfId="45">
      <pivotArea dataOnly="0" labelOnly="1" fieldPosition="0">
        <references count="1">
          <reference field="0" count="1">
            <x v="63"/>
          </reference>
        </references>
      </pivotArea>
    </format>
    <format dxfId="44">
      <pivotArea dataOnly="0" labelOnly="1" fieldPosition="0">
        <references count="2">
          <reference field="0" count="1" selected="0">
            <x v="63"/>
          </reference>
          <reference field="2" count="1">
            <x v="11"/>
          </reference>
        </references>
      </pivotArea>
    </format>
    <format dxfId="43">
      <pivotArea dataOnly="0" labelOnly="1" fieldPosition="0">
        <references count="2">
          <reference field="0" count="1" selected="0">
            <x v="63"/>
          </reference>
          <reference field="2" count="1" defaultSubtotal="1">
            <x v="11"/>
          </reference>
        </references>
      </pivotArea>
    </format>
    <format dxfId="42">
      <pivotArea dataOnly="0" labelOnly="1" fieldPosition="0">
        <references count="3">
          <reference field="0" count="1" selected="0">
            <x v="63"/>
          </reference>
          <reference field="1" count="1">
            <x v="183"/>
          </reference>
          <reference field="2" count="1" selected="0">
            <x v="11"/>
          </reference>
        </references>
      </pivotArea>
    </format>
    <format dxfId="41">
      <pivotArea dataOnly="0" labelOnly="1" fieldPosition="0">
        <references count="4">
          <reference field="0" count="1" selected="0">
            <x v="63"/>
          </reference>
          <reference field="1" count="1" selected="0">
            <x v="183"/>
          </reference>
          <reference field="2" count="1" selected="0">
            <x v="11"/>
          </reference>
          <reference field="3" count="1">
            <x v="0"/>
          </reference>
        </references>
      </pivotArea>
    </format>
    <format dxfId="40">
      <pivotArea dataOnly="0" labelOnly="1" fieldPosition="0">
        <references count="5">
          <reference field="0" count="1" selected="0">
            <x v="63"/>
          </reference>
          <reference field="1" count="1" selected="0">
            <x v="183"/>
          </reference>
          <reference field="2" count="1" selected="0">
            <x v="11"/>
          </reference>
          <reference field="3" count="1" selected="0">
            <x v="0"/>
          </reference>
          <reference field="4" count="1">
            <x v="49"/>
          </reference>
        </references>
      </pivotArea>
    </format>
    <format dxfId="39">
      <pivotArea collapsedLevelsAreSubtotals="1" fieldPosition="0">
        <references count="5">
          <reference field="0" count="1" selected="0">
            <x v="64"/>
          </reference>
          <reference field="1" count="1" selected="0">
            <x v="401"/>
          </reference>
          <reference field="2" count="1" selected="0">
            <x v="60"/>
          </reference>
          <reference field="3" count="1" selected="0">
            <x v="7"/>
          </reference>
          <reference field="4" count="1">
            <x v="25"/>
          </reference>
        </references>
      </pivotArea>
    </format>
    <format dxfId="38">
      <pivotArea collapsedLevelsAreSubtotals="1" fieldPosition="0">
        <references count="2">
          <reference field="0" count="1" selected="0">
            <x v="64"/>
          </reference>
          <reference field="2" count="1" defaultSubtotal="1">
            <x v="60"/>
          </reference>
        </references>
      </pivotArea>
    </format>
    <format dxfId="37">
      <pivotArea dataOnly="0" labelOnly="1" fieldPosition="0">
        <references count="1">
          <reference field="0" count="1">
            <x v="64"/>
          </reference>
        </references>
      </pivotArea>
    </format>
    <format dxfId="36">
      <pivotArea dataOnly="0" labelOnly="1" fieldPosition="0">
        <references count="2">
          <reference field="0" count="1" selected="0">
            <x v="64"/>
          </reference>
          <reference field="2" count="1">
            <x v="60"/>
          </reference>
        </references>
      </pivotArea>
    </format>
    <format dxfId="35">
      <pivotArea dataOnly="0" labelOnly="1" fieldPosition="0">
        <references count="2">
          <reference field="0" count="1" selected="0">
            <x v="64"/>
          </reference>
          <reference field="2" count="1" defaultSubtotal="1">
            <x v="60"/>
          </reference>
        </references>
      </pivotArea>
    </format>
    <format dxfId="34">
      <pivotArea dataOnly="0" labelOnly="1" fieldPosition="0">
        <references count="3">
          <reference field="0" count="1" selected="0">
            <x v="64"/>
          </reference>
          <reference field="1" count="1">
            <x v="401"/>
          </reference>
          <reference field="2" count="1" selected="0">
            <x v="60"/>
          </reference>
        </references>
      </pivotArea>
    </format>
    <format dxfId="33">
      <pivotArea dataOnly="0" labelOnly="1" fieldPosition="0">
        <references count="4">
          <reference field="0" count="1" selected="0">
            <x v="64"/>
          </reference>
          <reference field="1" count="1" selected="0">
            <x v="401"/>
          </reference>
          <reference field="2" count="1" selected="0">
            <x v="60"/>
          </reference>
          <reference field="3" count="1">
            <x v="7"/>
          </reference>
        </references>
      </pivotArea>
    </format>
    <format dxfId="32">
      <pivotArea dataOnly="0" labelOnly="1" fieldPosition="0">
        <references count="5">
          <reference field="0" count="1" selected="0">
            <x v="64"/>
          </reference>
          <reference field="1" count="1" selected="0">
            <x v="401"/>
          </reference>
          <reference field="2" count="1" selected="0">
            <x v="60"/>
          </reference>
          <reference field="3" count="1" selected="0">
            <x v="7"/>
          </reference>
          <reference field="4" count="1">
            <x v="25"/>
          </reference>
        </references>
      </pivotArea>
    </format>
    <format dxfId="31">
      <pivotArea collapsedLevelsAreSubtotals="1" fieldPosition="0">
        <references count="5">
          <reference field="0" count="1" selected="0">
            <x v="65"/>
          </reference>
          <reference field="1" count="1" selected="0">
            <x v="25"/>
          </reference>
          <reference field="2" count="1" selected="0">
            <x v="56"/>
          </reference>
          <reference field="3" count="1" selected="0">
            <x v="0"/>
          </reference>
          <reference field="4" count="1">
            <x v="64"/>
          </reference>
        </references>
      </pivotArea>
    </format>
    <format dxfId="30">
      <pivotArea collapsedLevelsAreSubtotals="1" fieldPosition="0">
        <references count="5">
          <reference field="0" count="1" selected="0">
            <x v="65"/>
          </reference>
          <reference field="1" count="1" selected="0">
            <x v="56"/>
          </reference>
          <reference field="2" count="1" selected="0">
            <x v="56"/>
          </reference>
          <reference field="3" count="1" selected="0">
            <x v="4"/>
          </reference>
          <reference field="4" count="1">
            <x v="55"/>
          </reference>
        </references>
      </pivotArea>
    </format>
    <format dxfId="29">
      <pivotArea collapsedLevelsAreSubtotals="1" fieldPosition="0">
        <references count="5">
          <reference field="0" count="1" selected="0">
            <x v="65"/>
          </reference>
          <reference field="1" count="1" selected="0">
            <x v="275"/>
          </reference>
          <reference field="2" count="1" selected="0">
            <x v="56"/>
          </reference>
          <reference field="3" count="1" selected="0">
            <x v="3"/>
          </reference>
          <reference field="4" count="1">
            <x v="174"/>
          </reference>
        </references>
      </pivotArea>
    </format>
    <format dxfId="28">
      <pivotArea collapsedLevelsAreSubtotals="1" fieldPosition="0">
        <references count="2">
          <reference field="0" count="1" selected="0">
            <x v="65"/>
          </reference>
          <reference field="2" count="1" defaultSubtotal="1">
            <x v="56"/>
          </reference>
        </references>
      </pivotArea>
    </format>
    <format dxfId="27">
      <pivotArea dataOnly="0" labelOnly="1" fieldPosition="0">
        <references count="1">
          <reference field="0" count="1">
            <x v="65"/>
          </reference>
        </references>
      </pivotArea>
    </format>
    <format dxfId="26">
      <pivotArea dataOnly="0" labelOnly="1" fieldPosition="0">
        <references count="2">
          <reference field="0" count="1" selected="0">
            <x v="65"/>
          </reference>
          <reference field="2" count="1">
            <x v="56"/>
          </reference>
        </references>
      </pivotArea>
    </format>
    <format dxfId="25">
      <pivotArea dataOnly="0" labelOnly="1" fieldPosition="0">
        <references count="2">
          <reference field="0" count="1" selected="0">
            <x v="65"/>
          </reference>
          <reference field="2" count="1" defaultSubtotal="1">
            <x v="56"/>
          </reference>
        </references>
      </pivotArea>
    </format>
    <format dxfId="24">
      <pivotArea dataOnly="0" labelOnly="1" fieldPosition="0">
        <references count="3">
          <reference field="0" count="1" selected="0">
            <x v="65"/>
          </reference>
          <reference field="1" count="3">
            <x v="25"/>
            <x v="56"/>
            <x v="275"/>
          </reference>
          <reference field="2" count="1" selected="0">
            <x v="56"/>
          </reference>
        </references>
      </pivotArea>
    </format>
    <format dxfId="23">
      <pivotArea dataOnly="0" labelOnly="1" fieldPosition="0">
        <references count="4">
          <reference field="0" count="1" selected="0">
            <x v="65"/>
          </reference>
          <reference field="1" count="1" selected="0">
            <x v="25"/>
          </reference>
          <reference field="2" count="1" selected="0">
            <x v="56"/>
          </reference>
          <reference field="3" count="1">
            <x v="0"/>
          </reference>
        </references>
      </pivotArea>
    </format>
    <format dxfId="22">
      <pivotArea dataOnly="0" labelOnly="1" fieldPosition="0">
        <references count="4">
          <reference field="0" count="1" selected="0">
            <x v="65"/>
          </reference>
          <reference field="1" count="1" selected="0">
            <x v="56"/>
          </reference>
          <reference field="2" count="1" selected="0">
            <x v="56"/>
          </reference>
          <reference field="3" count="1">
            <x v="4"/>
          </reference>
        </references>
      </pivotArea>
    </format>
    <format dxfId="21">
      <pivotArea dataOnly="0" labelOnly="1" fieldPosition="0">
        <references count="4">
          <reference field="0" count="1" selected="0">
            <x v="65"/>
          </reference>
          <reference field="1" count="1" selected="0">
            <x v="275"/>
          </reference>
          <reference field="2" count="1" selected="0">
            <x v="56"/>
          </reference>
          <reference field="3" count="1">
            <x v="3"/>
          </reference>
        </references>
      </pivotArea>
    </format>
    <format dxfId="20">
      <pivotArea dataOnly="0" labelOnly="1" fieldPosition="0">
        <references count="5">
          <reference field="0" count="1" selected="0">
            <x v="65"/>
          </reference>
          <reference field="1" count="1" selected="0">
            <x v="25"/>
          </reference>
          <reference field="2" count="1" selected="0">
            <x v="56"/>
          </reference>
          <reference field="3" count="1" selected="0">
            <x v="0"/>
          </reference>
          <reference field="4" count="1">
            <x v="64"/>
          </reference>
        </references>
      </pivotArea>
    </format>
    <format dxfId="19">
      <pivotArea dataOnly="0" labelOnly="1" fieldPosition="0">
        <references count="5">
          <reference field="0" count="1" selected="0">
            <x v="65"/>
          </reference>
          <reference field="1" count="1" selected="0">
            <x v="56"/>
          </reference>
          <reference field="2" count="1" selected="0">
            <x v="56"/>
          </reference>
          <reference field="3" count="1" selected="0">
            <x v="4"/>
          </reference>
          <reference field="4" count="1">
            <x v="55"/>
          </reference>
        </references>
      </pivotArea>
    </format>
    <format dxfId="18">
      <pivotArea dataOnly="0" labelOnly="1" fieldPosition="0">
        <references count="5">
          <reference field="0" count="1" selected="0">
            <x v="65"/>
          </reference>
          <reference field="1" count="1" selected="0">
            <x v="275"/>
          </reference>
          <reference field="2" count="1" selected="0">
            <x v="56"/>
          </reference>
          <reference field="3" count="1" selected="0">
            <x v="3"/>
          </reference>
          <reference field="4" count="1">
            <x v="174"/>
          </reference>
        </references>
      </pivotArea>
    </format>
    <format dxfId="17">
      <pivotArea grandRow="1" outline="0" collapsedLevelsAreSubtotals="1" fieldPosition="0"/>
    </format>
    <format dxfId="16">
      <pivotArea grandRow="1" outline="0" collapsedLevelsAreSubtotals="1" fieldPosition="0"/>
    </format>
    <format dxfId="15">
      <pivotArea outline="0" collapsedLevelsAreSubtotals="1" fieldPosition="0"/>
    </format>
    <format dxfId="1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Değerler" updatedVersion="4" minRefreshableVersion="3" useAutoFormatting="1" itemPrintTitles="1" createdVersion="4" indent="0" outline="1" outlineData="1" multipleFieldFilters="0">
  <location ref="A457:B524" firstHeaderRow="1" firstDataRow="1" firstDataCol="1"/>
  <pivotFields count="7">
    <pivotField showAll="0"/>
    <pivotField showAll="0"/>
    <pivotField axis="axisRow" showAll="0">
      <items count="67">
        <item x="53"/>
        <item x="26"/>
        <item x="37"/>
        <item x="4"/>
        <item x="54"/>
        <item x="21"/>
        <item x="60"/>
        <item x="9"/>
        <item x="44"/>
        <item x="41"/>
        <item x="28"/>
        <item x="55"/>
        <item x="27"/>
        <item x="1"/>
        <item x="62"/>
        <item x="22"/>
        <item x="52"/>
        <item x="12"/>
        <item x="65"/>
        <item x="56"/>
        <item x="39"/>
        <item x="59"/>
        <item x="29"/>
        <item x="42"/>
        <item x="15"/>
        <item x="32"/>
        <item x="31"/>
        <item x="51"/>
        <item x="46"/>
        <item x="47"/>
        <item x="24"/>
        <item x="14"/>
        <item x="7"/>
        <item x="25"/>
        <item x="6"/>
        <item x="64"/>
        <item x="10"/>
        <item x="8"/>
        <item x="45"/>
        <item x="20"/>
        <item x="57"/>
        <item x="58"/>
        <item x="2"/>
        <item x="34"/>
        <item x="16"/>
        <item x="18"/>
        <item x="30"/>
        <item x="40"/>
        <item x="23"/>
        <item x="49"/>
        <item x="35"/>
        <item x="43"/>
        <item x="13"/>
        <item x="33"/>
        <item x="0"/>
        <item x="3"/>
        <item x="48"/>
        <item x="50"/>
        <item x="38"/>
        <item x="36"/>
        <item x="19"/>
        <item x="61"/>
        <item x="11"/>
        <item x="17"/>
        <item x="5"/>
        <item x="63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Items count="1">
    <i/>
  </colItems>
  <dataFields count="1">
    <dataField name="Toplam Ortalama Enerji Üretimi(GWh/Yıl)" fld="6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26"/>
  <sheetViews>
    <sheetView tabSelected="1" zoomScale="85" zoomScaleNormal="85" workbookViewId="0">
      <pane ySplit="3" topLeftCell="A4" activePane="bottomLeft" state="frozen"/>
      <selection pane="bottomLeft" activeCell="O3" sqref="O3"/>
    </sheetView>
  </sheetViews>
  <sheetFormatPr defaultRowHeight="15" x14ac:dyDescent="0.25"/>
  <cols>
    <col min="1" max="1" width="5.28515625" customWidth="1"/>
    <col min="2" max="2" width="19.140625" customWidth="1"/>
    <col min="3" max="3" width="22.5703125" customWidth="1"/>
    <col min="4" max="4" width="43" customWidth="1"/>
    <col min="5" max="5" width="15.42578125" customWidth="1"/>
    <col min="6" max="6" width="16.42578125" style="144" customWidth="1"/>
    <col min="7" max="9" width="14.7109375" style="144" customWidth="1"/>
    <col min="10" max="10" width="5.85546875" customWidth="1"/>
    <col min="20" max="20" width="5.140625" customWidth="1"/>
  </cols>
  <sheetData>
    <row r="1" spans="2:9" ht="11.25" customHeight="1" thickBot="1" x14ac:dyDescent="0.3"/>
    <row r="2" spans="2:9" ht="28.5" customHeight="1" thickBot="1" x14ac:dyDescent="0.3">
      <c r="B2" s="194" t="s">
        <v>681</v>
      </c>
      <c r="C2" s="195"/>
      <c r="D2" s="195"/>
      <c r="E2" s="195"/>
      <c r="F2" s="195"/>
      <c r="G2" s="195"/>
      <c r="H2" s="195"/>
      <c r="I2" s="196"/>
    </row>
    <row r="3" spans="2:9" ht="63.75" customHeight="1" thickBot="1" x14ac:dyDescent="0.3">
      <c r="B3" s="145" t="s">
        <v>678</v>
      </c>
      <c r="C3" s="146" t="s">
        <v>68</v>
      </c>
      <c r="D3" s="138" t="s">
        <v>147</v>
      </c>
      <c r="E3" s="139" t="s">
        <v>69</v>
      </c>
      <c r="F3" s="140" t="s">
        <v>70</v>
      </c>
      <c r="G3" s="140" t="s">
        <v>679</v>
      </c>
      <c r="H3" s="147" t="s">
        <v>680</v>
      </c>
      <c r="I3" s="148" t="s">
        <v>682</v>
      </c>
    </row>
    <row r="4" spans="2:9" x14ac:dyDescent="0.25">
      <c r="B4" s="152" t="s">
        <v>79</v>
      </c>
      <c r="C4" s="149" t="s">
        <v>12</v>
      </c>
      <c r="D4" s="160" t="s">
        <v>435</v>
      </c>
      <c r="E4" s="160" t="s">
        <v>72</v>
      </c>
      <c r="F4" s="169">
        <v>2006</v>
      </c>
      <c r="G4" s="185">
        <v>1</v>
      </c>
      <c r="H4" s="173">
        <v>3.6</v>
      </c>
      <c r="I4" s="174">
        <v>20.66</v>
      </c>
    </row>
    <row r="5" spans="2:9" x14ac:dyDescent="0.25">
      <c r="B5" s="153"/>
      <c r="C5" s="150"/>
      <c r="D5" s="141" t="s">
        <v>409</v>
      </c>
      <c r="E5" s="141" t="s">
        <v>72</v>
      </c>
      <c r="F5" s="167">
        <v>1998</v>
      </c>
      <c r="G5" s="186">
        <v>1</v>
      </c>
      <c r="H5" s="175">
        <v>10.6</v>
      </c>
      <c r="I5" s="176">
        <v>47</v>
      </c>
    </row>
    <row r="6" spans="2:9" ht="15.75" thickBot="1" x14ac:dyDescent="0.3">
      <c r="B6" s="154"/>
      <c r="C6" s="151" t="s">
        <v>612</v>
      </c>
      <c r="D6" s="156"/>
      <c r="E6" s="156"/>
      <c r="F6" s="157"/>
      <c r="G6" s="187">
        <v>2</v>
      </c>
      <c r="H6" s="177">
        <v>14.2</v>
      </c>
      <c r="I6" s="178">
        <v>67.66</v>
      </c>
    </row>
    <row r="7" spans="2:9" x14ac:dyDescent="0.25">
      <c r="B7" s="155" t="s">
        <v>80</v>
      </c>
      <c r="C7" s="143" t="s">
        <v>11</v>
      </c>
      <c r="D7" s="162" t="s">
        <v>226</v>
      </c>
      <c r="E7" s="162" t="s">
        <v>75</v>
      </c>
      <c r="F7" s="164">
        <v>2009</v>
      </c>
      <c r="G7" s="188">
        <v>1</v>
      </c>
      <c r="H7" s="179">
        <v>28.78</v>
      </c>
      <c r="I7" s="180">
        <v>94.88</v>
      </c>
    </row>
    <row r="8" spans="2:9" x14ac:dyDescent="0.25">
      <c r="B8" s="153"/>
      <c r="C8" s="150"/>
      <c r="D8" s="141" t="s">
        <v>238</v>
      </c>
      <c r="E8" s="141" t="s">
        <v>75</v>
      </c>
      <c r="F8" s="158">
        <v>2006</v>
      </c>
      <c r="G8" s="189">
        <v>1</v>
      </c>
      <c r="H8" s="175">
        <v>0.55000000000000004</v>
      </c>
      <c r="I8" s="176">
        <v>4.2699999999999996</v>
      </c>
    </row>
    <row r="9" spans="2:9" x14ac:dyDescent="0.25">
      <c r="B9" s="153"/>
      <c r="C9" s="150"/>
      <c r="D9" s="141" t="s">
        <v>287</v>
      </c>
      <c r="E9" s="141" t="s">
        <v>75</v>
      </c>
      <c r="F9" s="158">
        <v>2004</v>
      </c>
      <c r="G9" s="189">
        <v>1</v>
      </c>
      <c r="H9" s="175">
        <v>8.84</v>
      </c>
      <c r="I9" s="176">
        <v>41</v>
      </c>
    </row>
    <row r="10" spans="2:9" x14ac:dyDescent="0.25">
      <c r="B10" s="153"/>
      <c r="C10" s="150"/>
      <c r="D10" s="141" t="s">
        <v>374</v>
      </c>
      <c r="E10" s="141" t="s">
        <v>75</v>
      </c>
      <c r="F10" s="158">
        <v>2009</v>
      </c>
      <c r="G10" s="189">
        <v>1</v>
      </c>
      <c r="H10" s="175">
        <v>5.85</v>
      </c>
      <c r="I10" s="176">
        <v>23.2</v>
      </c>
    </row>
    <row r="11" spans="2:9" ht="15.75" thickBot="1" x14ac:dyDescent="0.3">
      <c r="B11" s="154"/>
      <c r="C11" s="151" t="s">
        <v>613</v>
      </c>
      <c r="D11" s="156"/>
      <c r="E11" s="156"/>
      <c r="F11" s="157"/>
      <c r="G11" s="190">
        <v>4</v>
      </c>
      <c r="H11" s="177">
        <v>44.02</v>
      </c>
      <c r="I11" s="178">
        <v>163.34999999999997</v>
      </c>
    </row>
    <row r="12" spans="2:9" x14ac:dyDescent="0.25">
      <c r="B12" s="152" t="s">
        <v>81</v>
      </c>
      <c r="C12" s="149" t="s">
        <v>23</v>
      </c>
      <c r="D12" s="141" t="s">
        <v>225</v>
      </c>
      <c r="E12" s="141" t="s">
        <v>75</v>
      </c>
      <c r="F12" s="159">
        <v>41556</v>
      </c>
      <c r="G12" s="191">
        <v>1</v>
      </c>
      <c r="H12" s="173">
        <v>12.502000000000001</v>
      </c>
      <c r="I12" s="174">
        <v>45.5</v>
      </c>
    </row>
    <row r="13" spans="2:9" x14ac:dyDescent="0.25">
      <c r="B13" s="153"/>
      <c r="C13" s="150"/>
      <c r="D13" s="141" t="s">
        <v>228</v>
      </c>
      <c r="E13" s="141" t="s">
        <v>75</v>
      </c>
      <c r="F13" s="159">
        <v>41556</v>
      </c>
      <c r="G13" s="189">
        <v>1</v>
      </c>
      <c r="H13" s="175">
        <v>13.49</v>
      </c>
      <c r="I13" s="176">
        <v>39.89</v>
      </c>
    </row>
    <row r="14" spans="2:9" x14ac:dyDescent="0.25">
      <c r="B14" s="153"/>
      <c r="C14" s="150"/>
      <c r="D14" s="141" t="s">
        <v>242</v>
      </c>
      <c r="E14" s="141" t="s">
        <v>75</v>
      </c>
      <c r="F14" s="158">
        <v>1997</v>
      </c>
      <c r="G14" s="189">
        <v>1</v>
      </c>
      <c r="H14" s="175">
        <v>3.15</v>
      </c>
      <c r="I14" s="176">
        <v>16</v>
      </c>
    </row>
    <row r="15" spans="2:9" x14ac:dyDescent="0.25">
      <c r="B15" s="153"/>
      <c r="C15" s="150"/>
      <c r="D15" s="141" t="s">
        <v>517</v>
      </c>
      <c r="E15" s="141" t="s">
        <v>75</v>
      </c>
      <c r="F15" s="158">
        <v>1997</v>
      </c>
      <c r="G15" s="189">
        <v>1</v>
      </c>
      <c r="H15" s="175"/>
      <c r="I15" s="176"/>
    </row>
    <row r="16" spans="2:9" x14ac:dyDescent="0.25">
      <c r="B16" s="153"/>
      <c r="C16" s="150"/>
      <c r="D16" s="141" t="s">
        <v>427</v>
      </c>
      <c r="E16" s="141" t="s">
        <v>72</v>
      </c>
      <c r="F16" s="158">
        <v>2010</v>
      </c>
      <c r="G16" s="189">
        <v>1</v>
      </c>
      <c r="H16" s="175">
        <v>28.72</v>
      </c>
      <c r="I16" s="176">
        <v>88.1</v>
      </c>
    </row>
    <row r="17" spans="2:9" x14ac:dyDescent="0.25">
      <c r="B17" s="153"/>
      <c r="C17" s="150"/>
      <c r="D17" s="141" t="s">
        <v>217</v>
      </c>
      <c r="E17" s="141" t="s">
        <v>75</v>
      </c>
      <c r="F17" s="158">
        <v>2001</v>
      </c>
      <c r="G17" s="189">
        <v>1</v>
      </c>
      <c r="H17" s="175">
        <v>2.2000000000000002</v>
      </c>
      <c r="I17" s="176">
        <v>11.75</v>
      </c>
    </row>
    <row r="18" spans="2:9" x14ac:dyDescent="0.25">
      <c r="B18" s="153"/>
      <c r="C18" s="150"/>
      <c r="D18" s="141" t="s">
        <v>267</v>
      </c>
      <c r="E18" s="141" t="s">
        <v>75</v>
      </c>
      <c r="F18" s="158">
        <v>2013</v>
      </c>
      <c r="G18" s="189">
        <v>1</v>
      </c>
      <c r="H18" s="175">
        <v>3.0649999999999999</v>
      </c>
      <c r="I18" s="176">
        <v>5.64</v>
      </c>
    </row>
    <row r="19" spans="2:9" x14ac:dyDescent="0.25">
      <c r="B19" s="153"/>
      <c r="C19" s="150"/>
      <c r="D19" s="141" t="s">
        <v>271</v>
      </c>
      <c r="E19" s="141" t="s">
        <v>75</v>
      </c>
      <c r="F19" s="159">
        <v>41124</v>
      </c>
      <c r="G19" s="189">
        <v>1</v>
      </c>
      <c r="H19" s="175">
        <v>9.4</v>
      </c>
      <c r="I19" s="176">
        <v>30.5</v>
      </c>
    </row>
    <row r="20" spans="2:9" x14ac:dyDescent="0.25">
      <c r="B20" s="153"/>
      <c r="C20" s="150"/>
      <c r="D20" s="141" t="s">
        <v>273</v>
      </c>
      <c r="E20" s="141" t="s">
        <v>75</v>
      </c>
      <c r="F20" s="158">
        <v>2010</v>
      </c>
      <c r="G20" s="189">
        <v>1</v>
      </c>
      <c r="H20" s="175">
        <v>3.66</v>
      </c>
      <c r="I20" s="176">
        <v>14.904</v>
      </c>
    </row>
    <row r="21" spans="2:9" x14ac:dyDescent="0.25">
      <c r="B21" s="153"/>
      <c r="C21" s="150"/>
      <c r="D21" s="141" t="s">
        <v>276</v>
      </c>
      <c r="E21" s="141" t="s">
        <v>75</v>
      </c>
      <c r="F21" s="158">
        <v>2009</v>
      </c>
      <c r="G21" s="189">
        <v>1</v>
      </c>
      <c r="H21" s="175">
        <v>0.92</v>
      </c>
      <c r="I21" s="176">
        <v>4.38</v>
      </c>
    </row>
    <row r="22" spans="2:9" ht="15.75" thickBot="1" x14ac:dyDescent="0.3">
      <c r="B22" s="154"/>
      <c r="C22" s="151" t="s">
        <v>614</v>
      </c>
      <c r="D22" s="156"/>
      <c r="E22" s="156"/>
      <c r="F22" s="168"/>
      <c r="G22" s="190">
        <v>10</v>
      </c>
      <c r="H22" s="177">
        <v>77.106999999999999</v>
      </c>
      <c r="I22" s="178">
        <v>256.66399999999999</v>
      </c>
    </row>
    <row r="23" spans="2:9" x14ac:dyDescent="0.25">
      <c r="B23" s="152" t="s">
        <v>82</v>
      </c>
      <c r="C23" s="149" t="s">
        <v>50</v>
      </c>
      <c r="D23" s="141" t="s">
        <v>505</v>
      </c>
      <c r="E23" s="141" t="s">
        <v>75</v>
      </c>
      <c r="F23" s="158">
        <v>2000</v>
      </c>
      <c r="G23" s="191">
        <v>1</v>
      </c>
      <c r="H23" s="173">
        <v>7.5</v>
      </c>
      <c r="I23" s="174">
        <v>30</v>
      </c>
    </row>
    <row r="24" spans="2:9" x14ac:dyDescent="0.25">
      <c r="B24" s="153"/>
      <c r="C24" s="150"/>
      <c r="D24" s="141" t="s">
        <v>506</v>
      </c>
      <c r="E24" s="141" t="s">
        <v>75</v>
      </c>
      <c r="F24" s="158">
        <v>2001</v>
      </c>
      <c r="G24" s="189">
        <v>1</v>
      </c>
      <c r="H24" s="175">
        <v>7.5</v>
      </c>
      <c r="I24" s="176">
        <v>30</v>
      </c>
    </row>
    <row r="25" spans="2:9" x14ac:dyDescent="0.25">
      <c r="B25" s="153"/>
      <c r="C25" s="150"/>
      <c r="D25" s="141" t="s">
        <v>507</v>
      </c>
      <c r="E25" s="141" t="s">
        <v>75</v>
      </c>
      <c r="F25" s="158">
        <v>2002</v>
      </c>
      <c r="G25" s="189">
        <v>1</v>
      </c>
      <c r="H25" s="175">
        <v>7.5</v>
      </c>
      <c r="I25" s="176">
        <v>30</v>
      </c>
    </row>
    <row r="26" spans="2:9" x14ac:dyDescent="0.25">
      <c r="B26" s="153"/>
      <c r="C26" s="150"/>
      <c r="D26" s="141" t="s">
        <v>508</v>
      </c>
      <c r="E26" s="141" t="s">
        <v>75</v>
      </c>
      <c r="F26" s="158">
        <v>2002</v>
      </c>
      <c r="G26" s="189">
        <v>1</v>
      </c>
      <c r="H26" s="175">
        <v>7.5</v>
      </c>
      <c r="I26" s="176">
        <v>30</v>
      </c>
    </row>
    <row r="27" spans="2:9" x14ac:dyDescent="0.25">
      <c r="B27" s="153"/>
      <c r="C27" s="150"/>
      <c r="D27" s="141" t="s">
        <v>509</v>
      </c>
      <c r="E27" s="141" t="s">
        <v>75</v>
      </c>
      <c r="F27" s="158">
        <v>2003</v>
      </c>
      <c r="G27" s="189">
        <v>1</v>
      </c>
      <c r="H27" s="175">
        <v>7.5</v>
      </c>
      <c r="I27" s="176">
        <v>30</v>
      </c>
    </row>
    <row r="28" spans="2:9" x14ac:dyDescent="0.25">
      <c r="B28" s="153"/>
      <c r="C28" s="150"/>
      <c r="D28" s="141" t="s">
        <v>512</v>
      </c>
      <c r="E28" s="141" t="s">
        <v>75</v>
      </c>
      <c r="F28" s="158">
        <v>1998</v>
      </c>
      <c r="G28" s="189">
        <v>1</v>
      </c>
      <c r="H28" s="175">
        <v>0.3</v>
      </c>
      <c r="I28" s="176">
        <v>1.7</v>
      </c>
    </row>
    <row r="29" spans="2:9" x14ac:dyDescent="0.25">
      <c r="B29" s="153"/>
      <c r="C29" s="150"/>
      <c r="D29" s="141" t="s">
        <v>253</v>
      </c>
      <c r="E29" s="141" t="s">
        <v>75</v>
      </c>
      <c r="F29" s="158">
        <v>2008</v>
      </c>
      <c r="G29" s="189">
        <v>1</v>
      </c>
      <c r="H29" s="175">
        <v>8.74</v>
      </c>
      <c r="I29" s="176">
        <v>35</v>
      </c>
    </row>
    <row r="30" spans="2:9" x14ac:dyDescent="0.25">
      <c r="B30" s="153"/>
      <c r="C30" s="150"/>
      <c r="D30" s="141" t="s">
        <v>527</v>
      </c>
      <c r="E30" s="141" t="s">
        <v>75</v>
      </c>
      <c r="F30" s="158">
        <v>2002</v>
      </c>
      <c r="G30" s="189">
        <v>1</v>
      </c>
      <c r="H30" s="175">
        <v>42</v>
      </c>
      <c r="I30" s="176">
        <v>187.5</v>
      </c>
    </row>
    <row r="31" spans="2:9" x14ac:dyDescent="0.25">
      <c r="B31" s="153"/>
      <c r="C31" s="150"/>
      <c r="D31" s="141" t="s">
        <v>285</v>
      </c>
      <c r="E31" s="141" t="s">
        <v>72</v>
      </c>
      <c r="F31" s="159">
        <v>40657</v>
      </c>
      <c r="G31" s="189">
        <v>1</v>
      </c>
      <c r="H31" s="175">
        <v>60</v>
      </c>
      <c r="I31" s="176">
        <v>206</v>
      </c>
    </row>
    <row r="32" spans="2:9" x14ac:dyDescent="0.25">
      <c r="B32" s="153"/>
      <c r="C32" s="150"/>
      <c r="D32" s="141" t="s">
        <v>218</v>
      </c>
      <c r="E32" s="141" t="s">
        <v>75</v>
      </c>
      <c r="F32" s="158">
        <v>1999</v>
      </c>
      <c r="G32" s="189">
        <v>1</v>
      </c>
      <c r="H32" s="175">
        <v>16.5</v>
      </c>
      <c r="I32" s="176">
        <v>90</v>
      </c>
    </row>
    <row r="33" spans="2:9" x14ac:dyDescent="0.25">
      <c r="B33" s="153"/>
      <c r="C33" s="150"/>
      <c r="D33" s="141" t="s">
        <v>295</v>
      </c>
      <c r="E33" s="141" t="s">
        <v>75</v>
      </c>
      <c r="F33" s="158">
        <v>2006</v>
      </c>
      <c r="G33" s="189">
        <v>1</v>
      </c>
      <c r="H33" s="175">
        <v>10.8</v>
      </c>
      <c r="I33" s="176">
        <v>60</v>
      </c>
    </row>
    <row r="34" spans="2:9" x14ac:dyDescent="0.25">
      <c r="B34" s="153"/>
      <c r="C34" s="150"/>
      <c r="D34" s="141" t="s">
        <v>324</v>
      </c>
      <c r="E34" s="141" t="s">
        <v>75</v>
      </c>
      <c r="F34" s="159">
        <v>41348</v>
      </c>
      <c r="G34" s="189">
        <v>1</v>
      </c>
      <c r="H34" s="175">
        <v>11.143000000000001</v>
      </c>
      <c r="I34" s="176">
        <v>44.29</v>
      </c>
    </row>
    <row r="35" spans="2:9" ht="15.75" thickBot="1" x14ac:dyDescent="0.3">
      <c r="B35" s="154"/>
      <c r="C35" s="151" t="s">
        <v>615</v>
      </c>
      <c r="D35" s="156"/>
      <c r="E35" s="156"/>
      <c r="F35" s="168"/>
      <c r="G35" s="190">
        <v>12</v>
      </c>
      <c r="H35" s="177">
        <v>186.983</v>
      </c>
      <c r="I35" s="178">
        <v>774.49</v>
      </c>
    </row>
    <row r="36" spans="2:9" x14ac:dyDescent="0.25">
      <c r="B36" s="152" t="s">
        <v>83</v>
      </c>
      <c r="C36" s="149" t="s">
        <v>84</v>
      </c>
      <c r="D36" s="160" t="s">
        <v>212</v>
      </c>
      <c r="E36" s="160" t="s">
        <v>75</v>
      </c>
      <c r="F36" s="161">
        <v>2000</v>
      </c>
      <c r="G36" s="191">
        <v>1</v>
      </c>
      <c r="H36" s="173">
        <v>3</v>
      </c>
      <c r="I36" s="174">
        <v>22.3</v>
      </c>
    </row>
    <row r="37" spans="2:9" ht="15.75" thickBot="1" x14ac:dyDescent="0.3">
      <c r="B37" s="154"/>
      <c r="C37" s="151" t="s">
        <v>616</v>
      </c>
      <c r="D37" s="156"/>
      <c r="E37" s="156"/>
      <c r="F37" s="157"/>
      <c r="G37" s="190">
        <v>1</v>
      </c>
      <c r="H37" s="177">
        <v>3</v>
      </c>
      <c r="I37" s="178">
        <v>22.3</v>
      </c>
    </row>
    <row r="38" spans="2:9" x14ac:dyDescent="0.25">
      <c r="B38" s="152" t="s">
        <v>85</v>
      </c>
      <c r="C38" s="149" t="s">
        <v>46</v>
      </c>
      <c r="D38" s="160" t="s">
        <v>277</v>
      </c>
      <c r="E38" s="160" t="s">
        <v>75</v>
      </c>
      <c r="F38" s="163">
        <v>40927</v>
      </c>
      <c r="G38" s="191">
        <v>1</v>
      </c>
      <c r="H38" s="173">
        <v>1.92</v>
      </c>
      <c r="I38" s="174">
        <v>10</v>
      </c>
    </row>
    <row r="39" spans="2:9" x14ac:dyDescent="0.25">
      <c r="B39" s="153"/>
      <c r="C39" s="150"/>
      <c r="D39" s="141" t="s">
        <v>204</v>
      </c>
      <c r="E39" s="141" t="s">
        <v>75</v>
      </c>
      <c r="F39" s="158">
        <v>1960</v>
      </c>
      <c r="G39" s="189">
        <v>1</v>
      </c>
      <c r="H39" s="175">
        <v>2.56</v>
      </c>
      <c r="I39" s="176">
        <v>8</v>
      </c>
    </row>
    <row r="40" spans="2:9" ht="15.75" thickBot="1" x14ac:dyDescent="0.3">
      <c r="B40" s="154"/>
      <c r="C40" s="151" t="s">
        <v>617</v>
      </c>
      <c r="D40" s="156"/>
      <c r="E40" s="156"/>
      <c r="F40" s="157"/>
      <c r="G40" s="192">
        <v>2</v>
      </c>
      <c r="H40" s="181">
        <v>4.4800000000000004</v>
      </c>
      <c r="I40" s="182">
        <v>18</v>
      </c>
    </row>
    <row r="41" spans="2:9" x14ac:dyDescent="0.25">
      <c r="B41" s="152" t="s">
        <v>86</v>
      </c>
      <c r="C41" s="149" t="s">
        <v>20</v>
      </c>
      <c r="D41" s="160" t="s">
        <v>564</v>
      </c>
      <c r="E41" s="160" t="s">
        <v>603</v>
      </c>
      <c r="F41" s="165">
        <v>41832</v>
      </c>
      <c r="G41" s="185">
        <v>1</v>
      </c>
      <c r="H41" s="173">
        <v>7.48</v>
      </c>
      <c r="I41" s="174">
        <v>23.16</v>
      </c>
    </row>
    <row r="42" spans="2:9" x14ac:dyDescent="0.25">
      <c r="B42" s="153"/>
      <c r="C42" s="150"/>
      <c r="D42" s="141" t="s">
        <v>571</v>
      </c>
      <c r="E42" s="141" t="s">
        <v>72</v>
      </c>
      <c r="F42" s="166">
        <v>41717</v>
      </c>
      <c r="G42" s="186">
        <v>1</v>
      </c>
      <c r="H42" s="175">
        <v>10</v>
      </c>
      <c r="I42" s="176">
        <v>20</v>
      </c>
    </row>
    <row r="43" spans="2:9" x14ac:dyDescent="0.25">
      <c r="B43" s="153"/>
      <c r="C43" s="150"/>
      <c r="D43" s="141" t="s">
        <v>440</v>
      </c>
      <c r="E43" s="141" t="s">
        <v>72</v>
      </c>
      <c r="F43" s="166">
        <v>41506</v>
      </c>
      <c r="G43" s="186">
        <v>1</v>
      </c>
      <c r="H43" s="175">
        <v>23</v>
      </c>
      <c r="I43" s="176">
        <v>46</v>
      </c>
    </row>
    <row r="44" spans="2:9" x14ac:dyDescent="0.25">
      <c r="B44" s="153"/>
      <c r="C44" s="150"/>
      <c r="D44" s="141" t="s">
        <v>525</v>
      </c>
      <c r="E44" s="141" t="s">
        <v>75</v>
      </c>
      <c r="F44" s="167">
        <v>2009</v>
      </c>
      <c r="G44" s="186">
        <v>1</v>
      </c>
      <c r="H44" s="175">
        <v>19.920000000000002</v>
      </c>
      <c r="I44" s="176">
        <v>72</v>
      </c>
    </row>
    <row r="45" spans="2:9" x14ac:dyDescent="0.25">
      <c r="B45" s="153"/>
      <c r="C45" s="150"/>
      <c r="D45" s="141" t="s">
        <v>296</v>
      </c>
      <c r="E45" s="141" t="s">
        <v>75</v>
      </c>
      <c r="F45" s="167">
        <v>2008</v>
      </c>
      <c r="G45" s="186">
        <v>1</v>
      </c>
      <c r="H45" s="175">
        <v>2.2999999999999998</v>
      </c>
      <c r="I45" s="176">
        <v>4.28</v>
      </c>
    </row>
    <row r="46" spans="2:9" x14ac:dyDescent="0.25">
      <c r="B46" s="153"/>
      <c r="C46" s="150"/>
      <c r="D46" s="141" t="s">
        <v>529</v>
      </c>
      <c r="E46" s="141" t="s">
        <v>75</v>
      </c>
      <c r="F46" s="166">
        <v>41319</v>
      </c>
      <c r="G46" s="186">
        <v>1</v>
      </c>
      <c r="H46" s="175">
        <v>4</v>
      </c>
      <c r="I46" s="176">
        <v>12</v>
      </c>
    </row>
    <row r="47" spans="2:9" x14ac:dyDescent="0.25">
      <c r="B47" s="153"/>
      <c r="C47" s="150"/>
      <c r="D47" s="141" t="s">
        <v>202</v>
      </c>
      <c r="E47" s="141" t="s">
        <v>75</v>
      </c>
      <c r="F47" s="167">
        <v>1952</v>
      </c>
      <c r="G47" s="186">
        <v>1</v>
      </c>
      <c r="H47" s="175">
        <v>1.181</v>
      </c>
      <c r="I47" s="176">
        <v>4</v>
      </c>
    </row>
    <row r="48" spans="2:9" x14ac:dyDescent="0.25">
      <c r="B48" s="153"/>
      <c r="C48" s="150"/>
      <c r="D48" s="141" t="s">
        <v>203</v>
      </c>
      <c r="E48" s="141" t="s">
        <v>75</v>
      </c>
      <c r="F48" s="167">
        <v>1952</v>
      </c>
      <c r="G48" s="186">
        <v>1</v>
      </c>
      <c r="H48" s="175">
        <v>0.71499999999999997</v>
      </c>
      <c r="I48" s="176">
        <v>3</v>
      </c>
    </row>
    <row r="49" spans="2:9" x14ac:dyDescent="0.25">
      <c r="B49" s="153"/>
      <c r="C49" s="150"/>
      <c r="D49" s="141" t="s">
        <v>354</v>
      </c>
      <c r="E49" s="141" t="s">
        <v>75</v>
      </c>
      <c r="F49" s="166">
        <v>41522</v>
      </c>
      <c r="G49" s="186">
        <v>1</v>
      </c>
      <c r="H49" s="175">
        <v>1.9</v>
      </c>
      <c r="I49" s="176">
        <v>8.08</v>
      </c>
    </row>
    <row r="50" spans="2:9" x14ac:dyDescent="0.25">
      <c r="B50" s="153"/>
      <c r="C50" s="150"/>
      <c r="D50" s="141" t="s">
        <v>377</v>
      </c>
      <c r="E50" s="141" t="s">
        <v>75</v>
      </c>
      <c r="F50" s="166">
        <v>40984</v>
      </c>
      <c r="G50" s="186">
        <v>1</v>
      </c>
      <c r="H50" s="175">
        <v>6.9240000000000004</v>
      </c>
      <c r="I50" s="176">
        <v>20</v>
      </c>
    </row>
    <row r="51" spans="2:9" x14ac:dyDescent="0.25">
      <c r="B51" s="153"/>
      <c r="C51" s="150"/>
      <c r="D51" s="141" t="s">
        <v>167</v>
      </c>
      <c r="E51" s="141" t="s">
        <v>75</v>
      </c>
      <c r="F51" s="167">
        <v>1952</v>
      </c>
      <c r="G51" s="186">
        <v>1</v>
      </c>
      <c r="H51" s="175">
        <v>2.3039999999999998</v>
      </c>
      <c r="I51" s="176">
        <v>8</v>
      </c>
    </row>
    <row r="52" spans="2:9" x14ac:dyDescent="0.25">
      <c r="B52" s="153"/>
      <c r="C52" s="150"/>
      <c r="D52" s="141" t="s">
        <v>476</v>
      </c>
      <c r="E52" s="141" t="s">
        <v>77</v>
      </c>
      <c r="F52" s="167">
        <v>2011</v>
      </c>
      <c r="G52" s="186">
        <v>1</v>
      </c>
      <c r="H52" s="175">
        <v>100</v>
      </c>
      <c r="I52" s="176">
        <v>423</v>
      </c>
    </row>
    <row r="53" spans="2:9" ht="15.75" thickBot="1" x14ac:dyDescent="0.3">
      <c r="B53" s="154"/>
      <c r="C53" s="151" t="s">
        <v>618</v>
      </c>
      <c r="D53" s="156"/>
      <c r="E53" s="156"/>
      <c r="F53" s="157"/>
      <c r="G53" s="187">
        <v>12</v>
      </c>
      <c r="H53" s="177">
        <v>179.72400000000002</v>
      </c>
      <c r="I53" s="178">
        <v>643.52</v>
      </c>
    </row>
    <row r="54" spans="2:9" x14ac:dyDescent="0.25">
      <c r="B54" s="152" t="s">
        <v>87</v>
      </c>
      <c r="C54" s="149" t="s">
        <v>29</v>
      </c>
      <c r="D54" s="160" t="s">
        <v>195</v>
      </c>
      <c r="E54" s="160" t="s">
        <v>75</v>
      </c>
      <c r="F54" s="161">
        <v>2000</v>
      </c>
      <c r="G54" s="191">
        <v>1</v>
      </c>
      <c r="H54" s="173">
        <v>16.8</v>
      </c>
      <c r="I54" s="174">
        <v>87.2</v>
      </c>
    </row>
    <row r="55" spans="2:9" ht="15.75" thickBot="1" x14ac:dyDescent="0.3">
      <c r="B55" s="154"/>
      <c r="C55" s="151" t="s">
        <v>619</v>
      </c>
      <c r="D55" s="156"/>
      <c r="E55" s="156"/>
      <c r="F55" s="157"/>
      <c r="G55" s="190">
        <v>1</v>
      </c>
      <c r="H55" s="177">
        <v>16.8</v>
      </c>
      <c r="I55" s="178">
        <v>87.2</v>
      </c>
    </row>
    <row r="56" spans="2:9" x14ac:dyDescent="0.25">
      <c r="B56" s="152" t="s">
        <v>88</v>
      </c>
      <c r="C56" s="149" t="s">
        <v>16</v>
      </c>
      <c r="D56" s="160" t="s">
        <v>151</v>
      </c>
      <c r="E56" s="160" t="s">
        <v>75</v>
      </c>
      <c r="F56" s="161">
        <v>1938</v>
      </c>
      <c r="G56" s="191">
        <v>1</v>
      </c>
      <c r="H56" s="173">
        <v>0.36</v>
      </c>
      <c r="I56" s="174">
        <v>1</v>
      </c>
    </row>
    <row r="57" spans="2:9" x14ac:dyDescent="0.25">
      <c r="B57" s="153"/>
      <c r="C57" s="150"/>
      <c r="D57" s="141" t="s">
        <v>518</v>
      </c>
      <c r="E57" s="141" t="s">
        <v>75</v>
      </c>
      <c r="F57" s="159">
        <v>41424</v>
      </c>
      <c r="G57" s="189">
        <v>1</v>
      </c>
      <c r="H57" s="175">
        <v>12.597</v>
      </c>
      <c r="I57" s="176">
        <v>58.11</v>
      </c>
    </row>
    <row r="58" spans="2:9" x14ac:dyDescent="0.25">
      <c r="B58" s="153"/>
      <c r="C58" s="150"/>
      <c r="D58" s="141" t="s">
        <v>266</v>
      </c>
      <c r="E58" s="141" t="s">
        <v>0</v>
      </c>
      <c r="F58" s="159">
        <v>40689</v>
      </c>
      <c r="G58" s="189">
        <v>1</v>
      </c>
      <c r="H58" s="175">
        <v>8.92</v>
      </c>
      <c r="I58" s="176">
        <v>63</v>
      </c>
    </row>
    <row r="59" spans="2:9" ht="15.75" thickBot="1" x14ac:dyDescent="0.3">
      <c r="B59" s="154"/>
      <c r="C59" s="151" t="s">
        <v>620</v>
      </c>
      <c r="D59" s="156"/>
      <c r="E59" s="156"/>
      <c r="F59" s="157"/>
      <c r="G59" s="190">
        <v>3</v>
      </c>
      <c r="H59" s="177">
        <v>21.876999999999999</v>
      </c>
      <c r="I59" s="178">
        <v>122.11</v>
      </c>
    </row>
    <row r="60" spans="2:9" x14ac:dyDescent="0.25">
      <c r="B60" s="152" t="s">
        <v>134</v>
      </c>
      <c r="C60" s="149" t="s">
        <v>44</v>
      </c>
      <c r="D60" s="160" t="s">
        <v>539</v>
      </c>
      <c r="E60" s="160" t="s">
        <v>75</v>
      </c>
      <c r="F60" s="161">
        <v>2011</v>
      </c>
      <c r="G60" s="191">
        <v>1</v>
      </c>
      <c r="H60" s="173">
        <v>0.38</v>
      </c>
      <c r="I60" s="174">
        <v>1.44</v>
      </c>
    </row>
    <row r="61" spans="2:9" ht="15.75" thickBot="1" x14ac:dyDescent="0.3">
      <c r="B61" s="154"/>
      <c r="C61" s="151" t="s">
        <v>621</v>
      </c>
      <c r="D61" s="156"/>
      <c r="E61" s="156"/>
      <c r="F61" s="157"/>
      <c r="G61" s="190">
        <v>1</v>
      </c>
      <c r="H61" s="177">
        <v>0.38</v>
      </c>
      <c r="I61" s="178">
        <v>1.44</v>
      </c>
    </row>
    <row r="62" spans="2:9" x14ac:dyDescent="0.25">
      <c r="B62" s="152" t="s">
        <v>135</v>
      </c>
      <c r="C62" s="149" t="s">
        <v>57</v>
      </c>
      <c r="D62" s="160" t="s">
        <v>223</v>
      </c>
      <c r="E62" s="160" t="s">
        <v>75</v>
      </c>
      <c r="F62" s="161">
        <v>2013</v>
      </c>
      <c r="G62" s="191">
        <v>1</v>
      </c>
      <c r="H62" s="173">
        <v>9.6</v>
      </c>
      <c r="I62" s="174">
        <v>56.16</v>
      </c>
    </row>
    <row r="63" spans="2:9" x14ac:dyDescent="0.25">
      <c r="B63" s="153"/>
      <c r="C63" s="150"/>
      <c r="D63" s="141" t="s">
        <v>576</v>
      </c>
      <c r="E63" s="141" t="s">
        <v>603</v>
      </c>
      <c r="F63" s="159">
        <v>41880</v>
      </c>
      <c r="G63" s="189">
        <v>1</v>
      </c>
      <c r="H63" s="175">
        <v>30.24</v>
      </c>
      <c r="I63" s="176">
        <v>171.68</v>
      </c>
    </row>
    <row r="64" spans="2:9" x14ac:dyDescent="0.25">
      <c r="B64" s="153"/>
      <c r="C64" s="150"/>
      <c r="D64" s="141" t="s">
        <v>150</v>
      </c>
      <c r="E64" s="141" t="s">
        <v>75</v>
      </c>
      <c r="F64" s="158">
        <v>1953</v>
      </c>
      <c r="G64" s="189">
        <v>1</v>
      </c>
      <c r="H64" s="175">
        <v>0.26400000000000001</v>
      </c>
      <c r="I64" s="176">
        <v>1</v>
      </c>
    </row>
    <row r="65" spans="2:9" x14ac:dyDescent="0.25">
      <c r="B65" s="153"/>
      <c r="C65" s="150"/>
      <c r="D65" s="141" t="s">
        <v>357</v>
      </c>
      <c r="E65" s="141" t="s">
        <v>75</v>
      </c>
      <c r="F65" s="158">
        <v>2000</v>
      </c>
      <c r="G65" s="189">
        <v>1</v>
      </c>
      <c r="H65" s="175">
        <v>9.3000000000000007</v>
      </c>
      <c r="I65" s="176">
        <v>55</v>
      </c>
    </row>
    <row r="66" spans="2:9" x14ac:dyDescent="0.25">
      <c r="B66" s="153"/>
      <c r="C66" s="150"/>
      <c r="D66" s="141" t="s">
        <v>149</v>
      </c>
      <c r="E66" s="141" t="s">
        <v>75</v>
      </c>
      <c r="F66" s="158">
        <v>1953</v>
      </c>
      <c r="G66" s="189">
        <v>1</v>
      </c>
      <c r="H66" s="175">
        <v>0.18</v>
      </c>
      <c r="I66" s="176">
        <v>0.5</v>
      </c>
    </row>
    <row r="67" spans="2:9" ht="15.75" thickBot="1" x14ac:dyDescent="0.3">
      <c r="B67" s="154"/>
      <c r="C67" s="151" t="s">
        <v>622</v>
      </c>
      <c r="D67" s="156"/>
      <c r="E67" s="156"/>
      <c r="F67" s="157"/>
      <c r="G67" s="190">
        <v>5</v>
      </c>
      <c r="H67" s="177">
        <v>49.583999999999996</v>
      </c>
      <c r="I67" s="178">
        <v>284.34000000000003</v>
      </c>
    </row>
    <row r="68" spans="2:9" x14ac:dyDescent="0.25">
      <c r="B68" s="152" t="s">
        <v>136</v>
      </c>
      <c r="C68" s="149" t="s">
        <v>25</v>
      </c>
      <c r="D68" s="160" t="s">
        <v>259</v>
      </c>
      <c r="E68" s="160" t="s">
        <v>75</v>
      </c>
      <c r="F68" s="163">
        <v>40991</v>
      </c>
      <c r="G68" s="191">
        <v>1</v>
      </c>
      <c r="H68" s="173">
        <v>9.26</v>
      </c>
      <c r="I68" s="174">
        <v>35</v>
      </c>
    </row>
    <row r="69" spans="2:9" x14ac:dyDescent="0.25">
      <c r="B69" s="153"/>
      <c r="C69" s="150"/>
      <c r="D69" s="141" t="s">
        <v>268</v>
      </c>
      <c r="E69" s="141" t="s">
        <v>75</v>
      </c>
      <c r="F69" s="158">
        <v>2009</v>
      </c>
      <c r="G69" s="189">
        <v>1</v>
      </c>
      <c r="H69" s="175">
        <v>7.23</v>
      </c>
      <c r="I69" s="176">
        <v>22</v>
      </c>
    </row>
    <row r="70" spans="2:9" x14ac:dyDescent="0.25">
      <c r="B70" s="153"/>
      <c r="C70" s="150"/>
      <c r="D70" s="141" t="s">
        <v>606</v>
      </c>
      <c r="E70" s="141" t="s">
        <v>603</v>
      </c>
      <c r="F70" s="159">
        <v>41754</v>
      </c>
      <c r="G70" s="189">
        <v>1</v>
      </c>
      <c r="H70" s="175">
        <v>46.2</v>
      </c>
      <c r="I70" s="176">
        <v>141.37</v>
      </c>
    </row>
    <row r="71" spans="2:9" x14ac:dyDescent="0.25">
      <c r="B71" s="153"/>
      <c r="C71" s="150"/>
      <c r="D71" s="141" t="s">
        <v>192</v>
      </c>
      <c r="E71" s="141" t="s">
        <v>72</v>
      </c>
      <c r="F71" s="158">
        <v>1991</v>
      </c>
      <c r="G71" s="189">
        <v>1</v>
      </c>
      <c r="H71" s="175">
        <v>9.35</v>
      </c>
      <c r="I71" s="176">
        <v>42</v>
      </c>
    </row>
    <row r="72" spans="2:9" x14ac:dyDescent="0.25">
      <c r="B72" s="153"/>
      <c r="C72" s="150"/>
      <c r="D72" s="141" t="s">
        <v>303</v>
      </c>
      <c r="E72" s="141" t="s">
        <v>75</v>
      </c>
      <c r="F72" s="159">
        <v>40879</v>
      </c>
      <c r="G72" s="189">
        <v>1</v>
      </c>
      <c r="H72" s="175">
        <v>4.67</v>
      </c>
      <c r="I72" s="176">
        <v>21</v>
      </c>
    </row>
    <row r="73" spans="2:9" x14ac:dyDescent="0.25">
      <c r="B73" s="153"/>
      <c r="C73" s="150"/>
      <c r="D73" s="141" t="s">
        <v>339</v>
      </c>
      <c r="E73" s="141" t="s">
        <v>75</v>
      </c>
      <c r="F73" s="159">
        <v>41003</v>
      </c>
      <c r="G73" s="189">
        <v>1</v>
      </c>
      <c r="H73" s="175">
        <v>8.0239999999999991</v>
      </c>
      <c r="I73" s="176">
        <v>30</v>
      </c>
    </row>
    <row r="74" spans="2:9" ht="15.75" thickBot="1" x14ac:dyDescent="0.3">
      <c r="B74" s="154"/>
      <c r="C74" s="151" t="s">
        <v>623</v>
      </c>
      <c r="D74" s="156"/>
      <c r="E74" s="156"/>
      <c r="F74" s="157"/>
      <c r="G74" s="190">
        <v>6</v>
      </c>
      <c r="H74" s="177">
        <v>84.734000000000009</v>
      </c>
      <c r="I74" s="178">
        <v>291.37</v>
      </c>
    </row>
    <row r="75" spans="2:9" x14ac:dyDescent="0.25">
      <c r="B75" s="152" t="s">
        <v>89</v>
      </c>
      <c r="C75" s="149" t="s">
        <v>19</v>
      </c>
      <c r="D75" s="160" t="s">
        <v>250</v>
      </c>
      <c r="E75" s="160" t="s">
        <v>75</v>
      </c>
      <c r="F75" s="163">
        <v>41302</v>
      </c>
      <c r="G75" s="191">
        <v>1</v>
      </c>
      <c r="H75" s="173">
        <v>3.4079999999999999</v>
      </c>
      <c r="I75" s="174">
        <v>10.351000000000001</v>
      </c>
    </row>
    <row r="76" spans="2:9" x14ac:dyDescent="0.25">
      <c r="B76" s="153"/>
      <c r="C76" s="150"/>
      <c r="D76" s="141" t="s">
        <v>257</v>
      </c>
      <c r="E76" s="141" t="s">
        <v>75</v>
      </c>
      <c r="F76" s="159">
        <v>41198</v>
      </c>
      <c r="G76" s="189">
        <v>1</v>
      </c>
      <c r="H76" s="175">
        <v>2.15</v>
      </c>
      <c r="I76" s="176">
        <v>6.2590000000000003</v>
      </c>
    </row>
    <row r="77" spans="2:9" x14ac:dyDescent="0.25">
      <c r="B77" s="153"/>
      <c r="C77" s="150"/>
      <c r="D77" s="141" t="s">
        <v>317</v>
      </c>
      <c r="E77" s="141" t="s">
        <v>75</v>
      </c>
      <c r="F77" s="159">
        <v>41338</v>
      </c>
      <c r="G77" s="189">
        <v>1</v>
      </c>
      <c r="H77" s="175">
        <v>4.0469999999999997</v>
      </c>
      <c r="I77" s="176">
        <v>12.56</v>
      </c>
    </row>
    <row r="78" spans="2:9" x14ac:dyDescent="0.25">
      <c r="B78" s="153"/>
      <c r="C78" s="150"/>
      <c r="D78" s="141" t="s">
        <v>326</v>
      </c>
      <c r="E78" s="141" t="s">
        <v>75</v>
      </c>
      <c r="F78" s="158">
        <v>2005</v>
      </c>
      <c r="G78" s="189">
        <v>1</v>
      </c>
      <c r="H78" s="175">
        <v>14.61</v>
      </c>
      <c r="I78" s="176">
        <v>50</v>
      </c>
    </row>
    <row r="79" spans="2:9" x14ac:dyDescent="0.25">
      <c r="B79" s="153"/>
      <c r="C79" s="150"/>
      <c r="D79" s="141" t="s">
        <v>456</v>
      </c>
      <c r="E79" s="141" t="s">
        <v>72</v>
      </c>
      <c r="F79" s="158">
        <v>2012</v>
      </c>
      <c r="G79" s="189">
        <v>1</v>
      </c>
      <c r="H79" s="175">
        <v>74.849999999999994</v>
      </c>
      <c r="I79" s="176">
        <v>203</v>
      </c>
    </row>
    <row r="80" spans="2:9" x14ac:dyDescent="0.25">
      <c r="B80" s="153"/>
      <c r="C80" s="150"/>
      <c r="D80" s="141" t="s">
        <v>464</v>
      </c>
      <c r="E80" s="141" t="s">
        <v>75</v>
      </c>
      <c r="F80" s="158">
        <v>2012</v>
      </c>
      <c r="G80" s="189">
        <v>1</v>
      </c>
      <c r="H80" s="175">
        <v>8.68</v>
      </c>
      <c r="I80" s="176">
        <v>34</v>
      </c>
    </row>
    <row r="81" spans="2:9" ht="15.75" thickBot="1" x14ac:dyDescent="0.3">
      <c r="B81" s="154"/>
      <c r="C81" s="151" t="s">
        <v>624</v>
      </c>
      <c r="D81" s="156"/>
      <c r="E81" s="156"/>
      <c r="F81" s="157"/>
      <c r="G81" s="190">
        <v>6</v>
      </c>
      <c r="H81" s="177">
        <v>107.745</v>
      </c>
      <c r="I81" s="178">
        <v>316.17</v>
      </c>
    </row>
    <row r="82" spans="2:9" x14ac:dyDescent="0.25">
      <c r="B82" s="152" t="s">
        <v>90</v>
      </c>
      <c r="C82" s="149" t="s">
        <v>7</v>
      </c>
      <c r="D82" s="160" t="s">
        <v>258</v>
      </c>
      <c r="E82" s="160" t="s">
        <v>75</v>
      </c>
      <c r="F82" s="163">
        <v>40555</v>
      </c>
      <c r="G82" s="191">
        <v>1</v>
      </c>
      <c r="H82" s="173">
        <v>8.1999999999999993</v>
      </c>
      <c r="I82" s="174">
        <v>60</v>
      </c>
    </row>
    <row r="83" spans="2:9" x14ac:dyDescent="0.25">
      <c r="B83" s="153"/>
      <c r="C83" s="150"/>
      <c r="D83" s="141" t="s">
        <v>533</v>
      </c>
      <c r="E83" s="141" t="s">
        <v>75</v>
      </c>
      <c r="F83" s="158">
        <v>2012</v>
      </c>
      <c r="G83" s="189">
        <v>1</v>
      </c>
      <c r="H83" s="175">
        <v>19.109000000000002</v>
      </c>
      <c r="I83" s="176">
        <v>111</v>
      </c>
    </row>
    <row r="84" spans="2:9" ht="15.75" thickBot="1" x14ac:dyDescent="0.3">
      <c r="B84" s="154"/>
      <c r="C84" s="151" t="s">
        <v>625</v>
      </c>
      <c r="D84" s="156"/>
      <c r="E84" s="156"/>
      <c r="F84" s="157"/>
      <c r="G84" s="190">
        <v>2</v>
      </c>
      <c r="H84" s="177">
        <v>27.309000000000001</v>
      </c>
      <c r="I84" s="178">
        <v>171</v>
      </c>
    </row>
    <row r="85" spans="2:9" x14ac:dyDescent="0.25">
      <c r="B85" s="152" t="s">
        <v>91</v>
      </c>
      <c r="C85" s="149" t="s">
        <v>45</v>
      </c>
      <c r="D85" s="160" t="s">
        <v>165</v>
      </c>
      <c r="E85" s="160" t="s">
        <v>75</v>
      </c>
      <c r="F85" s="161">
        <v>1952</v>
      </c>
      <c r="G85" s="191">
        <v>1</v>
      </c>
      <c r="H85" s="173">
        <v>7.4999999999999997E-2</v>
      </c>
      <c r="I85" s="174">
        <v>0.4</v>
      </c>
    </row>
    <row r="86" spans="2:9" x14ac:dyDescent="0.25">
      <c r="B86" s="153"/>
      <c r="C86" s="150"/>
      <c r="D86" s="141" t="s">
        <v>153</v>
      </c>
      <c r="E86" s="141" t="s">
        <v>75</v>
      </c>
      <c r="F86" s="158">
        <v>1972</v>
      </c>
      <c r="G86" s="189">
        <v>1</v>
      </c>
      <c r="H86" s="175">
        <v>0.6</v>
      </c>
      <c r="I86" s="176">
        <v>1</v>
      </c>
    </row>
    <row r="87" spans="2:9" x14ac:dyDescent="0.25">
      <c r="B87" s="153"/>
      <c r="C87" s="150"/>
      <c r="D87" s="141" t="s">
        <v>154</v>
      </c>
      <c r="E87" s="141" t="s">
        <v>75</v>
      </c>
      <c r="F87" s="158">
        <v>1959</v>
      </c>
      <c r="G87" s="189">
        <v>1</v>
      </c>
      <c r="H87" s="175">
        <v>10.8</v>
      </c>
      <c r="I87" s="176">
        <v>70</v>
      </c>
    </row>
    <row r="88" spans="2:9" x14ac:dyDescent="0.25">
      <c r="B88" s="153"/>
      <c r="C88" s="150"/>
      <c r="D88" s="141" t="s">
        <v>152</v>
      </c>
      <c r="E88" s="141" t="s">
        <v>75</v>
      </c>
      <c r="F88" s="158">
        <v>1986</v>
      </c>
      <c r="G88" s="189">
        <v>1</v>
      </c>
      <c r="H88" s="175">
        <v>1.04</v>
      </c>
      <c r="I88" s="176">
        <v>2</v>
      </c>
    </row>
    <row r="89" spans="2:9" ht="15.75" thickBot="1" x14ac:dyDescent="0.3">
      <c r="B89" s="154"/>
      <c r="C89" s="151" t="s">
        <v>626</v>
      </c>
      <c r="D89" s="156"/>
      <c r="E89" s="156"/>
      <c r="F89" s="157"/>
      <c r="G89" s="190">
        <v>4</v>
      </c>
      <c r="H89" s="177">
        <v>12.515000000000001</v>
      </c>
      <c r="I89" s="178">
        <v>73.400000000000006</v>
      </c>
    </row>
    <row r="90" spans="2:9" x14ac:dyDescent="0.25">
      <c r="B90" s="152" t="s">
        <v>92</v>
      </c>
      <c r="C90" s="149" t="s">
        <v>39</v>
      </c>
      <c r="D90" s="160" t="s">
        <v>419</v>
      </c>
      <c r="E90" s="160" t="s">
        <v>72</v>
      </c>
      <c r="F90" s="163">
        <v>41125</v>
      </c>
      <c r="G90" s="191">
        <v>1</v>
      </c>
      <c r="H90" s="173">
        <v>38</v>
      </c>
      <c r="I90" s="174">
        <v>120.5</v>
      </c>
    </row>
    <row r="91" spans="2:9" x14ac:dyDescent="0.25">
      <c r="B91" s="153"/>
      <c r="C91" s="150"/>
      <c r="D91" s="141" t="s">
        <v>264</v>
      </c>
      <c r="E91" s="141" t="s">
        <v>75</v>
      </c>
      <c r="F91" s="158">
        <v>2011</v>
      </c>
      <c r="G91" s="189">
        <v>1</v>
      </c>
      <c r="H91" s="175">
        <v>16.425000000000001</v>
      </c>
      <c r="I91" s="176">
        <v>92.2</v>
      </c>
    </row>
    <row r="92" spans="2:9" x14ac:dyDescent="0.25">
      <c r="B92" s="153"/>
      <c r="C92" s="150"/>
      <c r="D92" s="141" t="s">
        <v>265</v>
      </c>
      <c r="E92" s="141" t="s">
        <v>75</v>
      </c>
      <c r="F92" s="159">
        <v>41297</v>
      </c>
      <c r="G92" s="189">
        <v>1</v>
      </c>
      <c r="H92" s="175">
        <v>63.878</v>
      </c>
      <c r="I92" s="176">
        <v>185</v>
      </c>
    </row>
    <row r="93" spans="2:9" x14ac:dyDescent="0.25">
      <c r="B93" s="153"/>
      <c r="C93" s="150"/>
      <c r="D93" s="141" t="s">
        <v>166</v>
      </c>
      <c r="E93" s="141" t="s">
        <v>75</v>
      </c>
      <c r="F93" s="158">
        <v>1934</v>
      </c>
      <c r="G93" s="189">
        <v>1</v>
      </c>
      <c r="H93" s="175">
        <v>1.1200000000000001</v>
      </c>
      <c r="I93" s="176">
        <v>1.25</v>
      </c>
    </row>
    <row r="94" spans="2:9" x14ac:dyDescent="0.25">
      <c r="B94" s="153"/>
      <c r="C94" s="150"/>
      <c r="D94" s="141" t="s">
        <v>448</v>
      </c>
      <c r="E94" s="141" t="s">
        <v>72</v>
      </c>
      <c r="F94" s="159">
        <v>41060</v>
      </c>
      <c r="G94" s="189">
        <v>1</v>
      </c>
      <c r="H94" s="175">
        <v>28.22</v>
      </c>
      <c r="I94" s="176">
        <v>73.58</v>
      </c>
    </row>
    <row r="95" spans="2:9" x14ac:dyDescent="0.25">
      <c r="B95" s="153"/>
      <c r="C95" s="150"/>
      <c r="D95" s="141" t="s">
        <v>330</v>
      </c>
      <c r="E95" s="141" t="s">
        <v>75</v>
      </c>
      <c r="F95" s="158">
        <v>2008</v>
      </c>
      <c r="G95" s="189">
        <v>1</v>
      </c>
      <c r="H95" s="175">
        <v>28</v>
      </c>
      <c r="I95" s="176">
        <v>123</v>
      </c>
    </row>
    <row r="96" spans="2:9" ht="15.75" thickBot="1" x14ac:dyDescent="0.3">
      <c r="B96" s="154"/>
      <c r="C96" s="151" t="s">
        <v>627</v>
      </c>
      <c r="D96" s="156"/>
      <c r="E96" s="156"/>
      <c r="F96" s="157"/>
      <c r="G96" s="190">
        <v>6</v>
      </c>
      <c r="H96" s="177">
        <v>175.643</v>
      </c>
      <c r="I96" s="178">
        <v>595.53</v>
      </c>
    </row>
    <row r="97" spans="2:9" x14ac:dyDescent="0.25">
      <c r="B97" s="152" t="s">
        <v>93</v>
      </c>
      <c r="C97" s="149" t="s">
        <v>8</v>
      </c>
      <c r="D97" s="160" t="s">
        <v>410</v>
      </c>
      <c r="E97" s="160" t="s">
        <v>75</v>
      </c>
      <c r="F97" s="161">
        <v>2006</v>
      </c>
      <c r="G97" s="191">
        <v>1</v>
      </c>
      <c r="H97" s="173">
        <v>14</v>
      </c>
      <c r="I97" s="174">
        <v>55.61</v>
      </c>
    </row>
    <row r="98" spans="2:9" x14ac:dyDescent="0.25">
      <c r="B98" s="153"/>
      <c r="C98" s="150"/>
      <c r="D98" s="141" t="s">
        <v>231</v>
      </c>
      <c r="E98" s="141" t="s">
        <v>75</v>
      </c>
      <c r="F98" s="158">
        <v>2010</v>
      </c>
      <c r="G98" s="189">
        <v>1</v>
      </c>
      <c r="H98" s="175">
        <v>2.06</v>
      </c>
      <c r="I98" s="176">
        <v>14.06</v>
      </c>
    </row>
    <row r="99" spans="2:9" x14ac:dyDescent="0.25">
      <c r="B99" s="153"/>
      <c r="C99" s="150"/>
      <c r="D99" s="141" t="s">
        <v>232</v>
      </c>
      <c r="E99" s="141" t="s">
        <v>75</v>
      </c>
      <c r="F99" s="159">
        <v>41026</v>
      </c>
      <c r="G99" s="189">
        <v>1</v>
      </c>
      <c r="H99" s="175">
        <v>3.76</v>
      </c>
      <c r="I99" s="176">
        <v>15.07</v>
      </c>
    </row>
    <row r="100" spans="2:9" x14ac:dyDescent="0.25">
      <c r="B100" s="153"/>
      <c r="C100" s="150"/>
      <c r="D100" s="141" t="s">
        <v>245</v>
      </c>
      <c r="E100" s="141" t="s">
        <v>75</v>
      </c>
      <c r="F100" s="159">
        <v>41264</v>
      </c>
      <c r="G100" s="189">
        <v>1</v>
      </c>
      <c r="H100" s="175">
        <v>9.6</v>
      </c>
      <c r="I100" s="176">
        <v>44</v>
      </c>
    </row>
    <row r="101" spans="2:9" x14ac:dyDescent="0.25">
      <c r="B101" s="153"/>
      <c r="C101" s="150"/>
      <c r="D101" s="141" t="s">
        <v>436</v>
      </c>
      <c r="E101" s="141" t="s">
        <v>75</v>
      </c>
      <c r="F101" s="158">
        <v>2012</v>
      </c>
      <c r="G101" s="189">
        <v>1</v>
      </c>
      <c r="H101" s="175">
        <v>20.12</v>
      </c>
      <c r="I101" s="176">
        <v>32.29</v>
      </c>
    </row>
    <row r="102" spans="2:9" x14ac:dyDescent="0.25">
      <c r="B102" s="153"/>
      <c r="C102" s="150"/>
      <c r="D102" s="141" t="s">
        <v>269</v>
      </c>
      <c r="E102" s="141" t="s">
        <v>603</v>
      </c>
      <c r="F102" s="159">
        <v>41711</v>
      </c>
      <c r="G102" s="189">
        <v>1</v>
      </c>
      <c r="H102" s="175">
        <v>6.84</v>
      </c>
      <c r="I102" s="176">
        <v>20</v>
      </c>
    </row>
    <row r="103" spans="2:9" x14ac:dyDescent="0.25">
      <c r="B103" s="153"/>
      <c r="C103" s="150"/>
      <c r="D103" s="141" t="s">
        <v>441</v>
      </c>
      <c r="E103" s="141" t="s">
        <v>72</v>
      </c>
      <c r="F103" s="158">
        <v>2010</v>
      </c>
      <c r="G103" s="189">
        <v>1</v>
      </c>
      <c r="H103" s="175">
        <v>38.25</v>
      </c>
      <c r="I103" s="176">
        <v>123</v>
      </c>
    </row>
    <row r="104" spans="2:9" x14ac:dyDescent="0.25">
      <c r="B104" s="153"/>
      <c r="C104" s="150"/>
      <c r="D104" s="141" t="s">
        <v>284</v>
      </c>
      <c r="E104" s="141" t="s">
        <v>75</v>
      </c>
      <c r="F104" s="159">
        <v>41438</v>
      </c>
      <c r="G104" s="189">
        <v>1</v>
      </c>
      <c r="H104" s="175">
        <v>2.63</v>
      </c>
      <c r="I104" s="176">
        <v>9.4499999999999993</v>
      </c>
    </row>
    <row r="105" spans="2:9" x14ac:dyDescent="0.25">
      <c r="B105" s="153"/>
      <c r="C105" s="150"/>
      <c r="D105" s="141" t="s">
        <v>338</v>
      </c>
      <c r="E105" s="141" t="s">
        <v>75</v>
      </c>
      <c r="F105" s="158">
        <v>2011</v>
      </c>
      <c r="G105" s="189">
        <v>1</v>
      </c>
      <c r="H105" s="175">
        <v>9.2650000000000006</v>
      </c>
      <c r="I105" s="176">
        <v>41</v>
      </c>
    </row>
    <row r="106" spans="2:9" x14ac:dyDescent="0.25">
      <c r="B106" s="153"/>
      <c r="C106" s="150"/>
      <c r="D106" s="141" t="s">
        <v>344</v>
      </c>
      <c r="E106" s="141" t="s">
        <v>75</v>
      </c>
      <c r="F106" s="158">
        <v>2011</v>
      </c>
      <c r="G106" s="189">
        <v>1</v>
      </c>
      <c r="H106" s="175">
        <v>12.045999999999999</v>
      </c>
      <c r="I106" s="176">
        <v>47.56</v>
      </c>
    </row>
    <row r="107" spans="2:9" x14ac:dyDescent="0.25">
      <c r="B107" s="153"/>
      <c r="C107" s="150"/>
      <c r="D107" s="141" t="s">
        <v>194</v>
      </c>
      <c r="E107" s="141" t="s">
        <v>72</v>
      </c>
      <c r="F107" s="158">
        <v>1984</v>
      </c>
      <c r="G107" s="189">
        <v>1</v>
      </c>
      <c r="H107" s="175">
        <v>540</v>
      </c>
      <c r="I107" s="176">
        <v>1620</v>
      </c>
    </row>
    <row r="108" spans="2:9" x14ac:dyDescent="0.25">
      <c r="B108" s="153"/>
      <c r="C108" s="150"/>
      <c r="D108" s="141" t="s">
        <v>470</v>
      </c>
      <c r="E108" s="141" t="s">
        <v>75</v>
      </c>
      <c r="F108" s="158">
        <v>2006</v>
      </c>
      <c r="G108" s="189">
        <v>1</v>
      </c>
      <c r="H108" s="175">
        <v>15.4</v>
      </c>
      <c r="I108" s="176">
        <v>53.061</v>
      </c>
    </row>
    <row r="109" spans="2:9" x14ac:dyDescent="0.25">
      <c r="B109" s="153"/>
      <c r="C109" s="150"/>
      <c r="D109" s="141" t="s">
        <v>384</v>
      </c>
      <c r="E109" s="141" t="s">
        <v>75</v>
      </c>
      <c r="F109" s="158">
        <v>2008</v>
      </c>
      <c r="G109" s="189">
        <v>1</v>
      </c>
      <c r="H109" s="175">
        <v>7.5</v>
      </c>
      <c r="I109" s="176">
        <v>35</v>
      </c>
    </row>
    <row r="110" spans="2:9" x14ac:dyDescent="0.25">
      <c r="B110" s="153"/>
      <c r="C110" s="150"/>
      <c r="D110" s="141" t="s">
        <v>385</v>
      </c>
      <c r="E110" s="141" t="s">
        <v>72</v>
      </c>
      <c r="F110" s="158">
        <v>2009</v>
      </c>
      <c r="G110" s="189">
        <v>1</v>
      </c>
      <c r="H110" s="175">
        <v>4.76</v>
      </c>
      <c r="I110" s="176">
        <v>14.93</v>
      </c>
    </row>
    <row r="111" spans="2:9" x14ac:dyDescent="0.25">
      <c r="B111" s="153"/>
      <c r="C111" s="150"/>
      <c r="D111" s="141" t="s">
        <v>181</v>
      </c>
      <c r="E111" s="141" t="s">
        <v>75</v>
      </c>
      <c r="F111" s="158">
        <v>1962</v>
      </c>
      <c r="G111" s="189">
        <v>1</v>
      </c>
      <c r="H111" s="175">
        <v>0.55200000000000005</v>
      </c>
      <c r="I111" s="176">
        <v>1</v>
      </c>
    </row>
    <row r="112" spans="2:9" x14ac:dyDescent="0.25">
      <c r="B112" s="153"/>
      <c r="C112" s="150"/>
      <c r="D112" s="141" t="s">
        <v>396</v>
      </c>
      <c r="E112" s="141" t="s">
        <v>75</v>
      </c>
      <c r="F112" s="159">
        <v>41481</v>
      </c>
      <c r="G112" s="189">
        <v>1</v>
      </c>
      <c r="H112" s="175">
        <v>8.9700000000000006</v>
      </c>
      <c r="I112" s="176">
        <v>24.84</v>
      </c>
    </row>
    <row r="113" spans="2:9" ht="15.75" thickBot="1" x14ac:dyDescent="0.3">
      <c r="B113" s="154"/>
      <c r="C113" s="151" t="s">
        <v>628</v>
      </c>
      <c r="D113" s="156"/>
      <c r="E113" s="156"/>
      <c r="F113" s="157"/>
      <c r="G113" s="190">
        <v>16</v>
      </c>
      <c r="H113" s="177">
        <v>695.75300000000004</v>
      </c>
      <c r="I113" s="178">
        <v>2150.8710000000001</v>
      </c>
    </row>
    <row r="114" spans="2:9" x14ac:dyDescent="0.25">
      <c r="B114" s="152" t="s">
        <v>94</v>
      </c>
      <c r="C114" s="149" t="s">
        <v>36</v>
      </c>
      <c r="D114" s="160" t="s">
        <v>211</v>
      </c>
      <c r="E114" s="160" t="s">
        <v>75</v>
      </c>
      <c r="F114" s="161">
        <v>1989</v>
      </c>
      <c r="G114" s="191">
        <v>1</v>
      </c>
      <c r="H114" s="173">
        <v>13</v>
      </c>
      <c r="I114" s="174">
        <v>36</v>
      </c>
    </row>
    <row r="115" spans="2:9" x14ac:dyDescent="0.25">
      <c r="B115" s="153"/>
      <c r="C115" s="150"/>
      <c r="D115" s="141" t="s">
        <v>263</v>
      </c>
      <c r="E115" s="141" t="s">
        <v>75</v>
      </c>
      <c r="F115" s="159">
        <v>40850</v>
      </c>
      <c r="G115" s="189">
        <v>1</v>
      </c>
      <c r="H115" s="175">
        <v>3.6</v>
      </c>
      <c r="I115" s="176">
        <v>16.510000000000002</v>
      </c>
    </row>
    <row r="116" spans="2:9" x14ac:dyDescent="0.25">
      <c r="B116" s="153"/>
      <c r="C116" s="150"/>
      <c r="D116" s="141" t="s">
        <v>581</v>
      </c>
      <c r="E116" s="141" t="s">
        <v>603</v>
      </c>
      <c r="F116" s="159">
        <v>41747</v>
      </c>
      <c r="G116" s="189">
        <v>1</v>
      </c>
      <c r="H116" s="175">
        <v>18.77</v>
      </c>
      <c r="I116" s="176">
        <v>83.36</v>
      </c>
    </row>
    <row r="117" spans="2:9" x14ac:dyDescent="0.25">
      <c r="B117" s="153"/>
      <c r="C117" s="150"/>
      <c r="D117" s="141" t="s">
        <v>187</v>
      </c>
      <c r="E117" s="141" t="s">
        <v>73</v>
      </c>
      <c r="F117" s="158">
        <v>1960</v>
      </c>
      <c r="G117" s="189">
        <v>1</v>
      </c>
      <c r="H117" s="175">
        <v>8.25</v>
      </c>
      <c r="I117" s="176">
        <v>3</v>
      </c>
    </row>
    <row r="118" spans="2:9" x14ac:dyDescent="0.25">
      <c r="B118" s="153"/>
      <c r="C118" s="150"/>
      <c r="D118" s="141" t="s">
        <v>188</v>
      </c>
      <c r="E118" s="141" t="s">
        <v>73</v>
      </c>
      <c r="F118" s="158">
        <v>1971</v>
      </c>
      <c r="G118" s="189">
        <v>1</v>
      </c>
      <c r="H118" s="175">
        <v>51.2</v>
      </c>
      <c r="I118" s="176">
        <v>222</v>
      </c>
    </row>
    <row r="119" spans="2:9" x14ac:dyDescent="0.25">
      <c r="B119" s="153"/>
      <c r="C119" s="150"/>
      <c r="D119" s="141" t="s">
        <v>213</v>
      </c>
      <c r="E119" s="141" t="s">
        <v>75</v>
      </c>
      <c r="F119" s="158">
        <v>1998</v>
      </c>
      <c r="G119" s="189">
        <v>1</v>
      </c>
      <c r="H119" s="175">
        <v>2.2000000000000002</v>
      </c>
      <c r="I119" s="176">
        <v>12.22</v>
      </c>
    </row>
    <row r="120" spans="2:9" x14ac:dyDescent="0.25">
      <c r="B120" s="153"/>
      <c r="C120" s="150"/>
      <c r="D120" s="141" t="s">
        <v>401</v>
      </c>
      <c r="E120" s="141" t="s">
        <v>75</v>
      </c>
      <c r="F120" s="158">
        <v>2009</v>
      </c>
      <c r="G120" s="189">
        <v>1</v>
      </c>
      <c r="H120" s="175">
        <v>5.0999999999999996</v>
      </c>
      <c r="I120" s="176">
        <v>20</v>
      </c>
    </row>
    <row r="121" spans="2:9" ht="15.75" thickBot="1" x14ac:dyDescent="0.3">
      <c r="B121" s="154"/>
      <c r="C121" s="151" t="s">
        <v>629</v>
      </c>
      <c r="D121" s="156"/>
      <c r="E121" s="156"/>
      <c r="F121" s="157"/>
      <c r="G121" s="190">
        <v>7</v>
      </c>
      <c r="H121" s="177">
        <v>102.12</v>
      </c>
      <c r="I121" s="178">
        <v>393.09000000000003</v>
      </c>
    </row>
    <row r="122" spans="2:9" x14ac:dyDescent="0.25">
      <c r="B122" s="152" t="s">
        <v>95</v>
      </c>
      <c r="C122" s="149" t="s">
        <v>4</v>
      </c>
      <c r="D122" s="160" t="s">
        <v>252</v>
      </c>
      <c r="E122" s="160" t="s">
        <v>75</v>
      </c>
      <c r="F122" s="161">
        <v>2011</v>
      </c>
      <c r="G122" s="191">
        <v>1</v>
      </c>
      <c r="H122" s="173">
        <v>20</v>
      </c>
      <c r="I122" s="174">
        <v>95</v>
      </c>
    </row>
    <row r="123" spans="2:9" x14ac:dyDescent="0.25">
      <c r="B123" s="153"/>
      <c r="C123" s="150"/>
      <c r="D123" s="141" t="s">
        <v>262</v>
      </c>
      <c r="E123" s="141" t="s">
        <v>75</v>
      </c>
      <c r="F123" s="159">
        <v>41592</v>
      </c>
      <c r="G123" s="189">
        <v>1</v>
      </c>
      <c r="H123" s="175">
        <v>2.6</v>
      </c>
      <c r="I123" s="176">
        <v>12</v>
      </c>
    </row>
    <row r="124" spans="2:9" x14ac:dyDescent="0.25">
      <c r="B124" s="153"/>
      <c r="C124" s="150"/>
      <c r="D124" s="141" t="s">
        <v>278</v>
      </c>
      <c r="E124" s="141" t="s">
        <v>75</v>
      </c>
      <c r="F124" s="159">
        <v>41421</v>
      </c>
      <c r="G124" s="189">
        <v>1</v>
      </c>
      <c r="H124" s="175">
        <v>42.65</v>
      </c>
      <c r="I124" s="176">
        <v>130</v>
      </c>
    </row>
    <row r="125" spans="2:9" x14ac:dyDescent="0.25">
      <c r="B125" s="153"/>
      <c r="C125" s="150"/>
      <c r="D125" s="141" t="s">
        <v>526</v>
      </c>
      <c r="E125" s="141" t="s">
        <v>75</v>
      </c>
      <c r="F125" s="159">
        <v>41375</v>
      </c>
      <c r="G125" s="189">
        <v>1</v>
      </c>
      <c r="H125" s="175">
        <v>26</v>
      </c>
      <c r="I125" s="176">
        <v>85</v>
      </c>
    </row>
    <row r="126" spans="2:9" x14ac:dyDescent="0.25">
      <c r="B126" s="153"/>
      <c r="C126" s="150"/>
      <c r="D126" s="141" t="s">
        <v>286</v>
      </c>
      <c r="E126" s="141" t="s">
        <v>75</v>
      </c>
      <c r="F126" s="159">
        <v>41087</v>
      </c>
      <c r="G126" s="189">
        <v>1</v>
      </c>
      <c r="H126" s="175">
        <v>29.4</v>
      </c>
      <c r="I126" s="176">
        <v>117</v>
      </c>
    </row>
    <row r="127" spans="2:9" x14ac:dyDescent="0.25">
      <c r="B127" s="153"/>
      <c r="C127" s="150"/>
      <c r="D127" s="141" t="s">
        <v>528</v>
      </c>
      <c r="E127" s="141" t="s">
        <v>72</v>
      </c>
      <c r="F127" s="158">
        <v>2010</v>
      </c>
      <c r="G127" s="189">
        <v>1</v>
      </c>
      <c r="H127" s="175">
        <v>69.349999999999994</v>
      </c>
      <c r="I127" s="176">
        <v>223</v>
      </c>
    </row>
    <row r="128" spans="2:9" x14ac:dyDescent="0.25">
      <c r="B128" s="153"/>
      <c r="C128" s="150"/>
      <c r="D128" s="141" t="s">
        <v>325</v>
      </c>
      <c r="E128" s="141" t="s">
        <v>72</v>
      </c>
      <c r="F128" s="158">
        <v>2013</v>
      </c>
      <c r="G128" s="189">
        <v>1</v>
      </c>
      <c r="H128" s="175">
        <v>191.28</v>
      </c>
      <c r="I128" s="176">
        <v>766</v>
      </c>
    </row>
    <row r="129" spans="2:9" x14ac:dyDescent="0.25">
      <c r="B129" s="153"/>
      <c r="C129" s="150"/>
      <c r="D129" s="141" t="s">
        <v>333</v>
      </c>
      <c r="E129" s="141" t="s">
        <v>75</v>
      </c>
      <c r="F129" s="159">
        <v>41389</v>
      </c>
      <c r="G129" s="189">
        <v>1</v>
      </c>
      <c r="H129" s="175">
        <v>23.8</v>
      </c>
      <c r="I129" s="176">
        <v>72.293999999999997</v>
      </c>
    </row>
    <row r="130" spans="2:9" x14ac:dyDescent="0.25">
      <c r="B130" s="153"/>
      <c r="C130" s="150"/>
      <c r="D130" s="141" t="s">
        <v>337</v>
      </c>
      <c r="E130" s="141" t="s">
        <v>75</v>
      </c>
      <c r="F130" s="158">
        <v>2009</v>
      </c>
      <c r="G130" s="189">
        <v>1</v>
      </c>
      <c r="H130" s="175">
        <v>4.6760000000000002</v>
      </c>
      <c r="I130" s="176">
        <v>10</v>
      </c>
    </row>
    <row r="131" spans="2:9" x14ac:dyDescent="0.25">
      <c r="B131" s="153"/>
      <c r="C131" s="150"/>
      <c r="D131" s="141" t="s">
        <v>455</v>
      </c>
      <c r="E131" s="141" t="s">
        <v>72</v>
      </c>
      <c r="F131" s="159">
        <v>41324</v>
      </c>
      <c r="G131" s="189">
        <v>1</v>
      </c>
      <c r="H131" s="175">
        <v>155.85</v>
      </c>
      <c r="I131" s="176">
        <v>378.38</v>
      </c>
    </row>
    <row r="132" spans="2:9" x14ac:dyDescent="0.25">
      <c r="B132" s="153"/>
      <c r="C132" s="150"/>
      <c r="D132" s="141" t="s">
        <v>457</v>
      </c>
      <c r="E132" s="141" t="s">
        <v>72</v>
      </c>
      <c r="F132" s="159">
        <v>41487</v>
      </c>
      <c r="G132" s="189">
        <v>1</v>
      </c>
      <c r="H132" s="175">
        <v>20</v>
      </c>
      <c r="I132" s="176">
        <v>120.215</v>
      </c>
    </row>
    <row r="133" spans="2:9" x14ac:dyDescent="0.25">
      <c r="B133" s="153"/>
      <c r="C133" s="150"/>
      <c r="D133" s="141" t="s">
        <v>458</v>
      </c>
      <c r="E133" s="141" t="s">
        <v>72</v>
      </c>
      <c r="F133" s="158">
        <v>2011</v>
      </c>
      <c r="G133" s="189">
        <v>1</v>
      </c>
      <c r="H133" s="175">
        <v>89.42</v>
      </c>
      <c r="I133" s="176">
        <v>203.14</v>
      </c>
    </row>
    <row r="134" spans="2:9" x14ac:dyDescent="0.25">
      <c r="B134" s="153"/>
      <c r="C134" s="150"/>
      <c r="D134" s="141" t="s">
        <v>459</v>
      </c>
      <c r="E134" s="141" t="s">
        <v>75</v>
      </c>
      <c r="F134" s="158">
        <v>2006</v>
      </c>
      <c r="G134" s="189">
        <v>1</v>
      </c>
      <c r="H134" s="175">
        <v>49.6</v>
      </c>
      <c r="I134" s="176">
        <v>163</v>
      </c>
    </row>
    <row r="135" spans="2:9" x14ac:dyDescent="0.25">
      <c r="B135" s="153"/>
      <c r="C135" s="150"/>
      <c r="D135" s="141" t="s">
        <v>387</v>
      </c>
      <c r="E135" s="141" t="s">
        <v>75</v>
      </c>
      <c r="F135" s="159">
        <v>41331</v>
      </c>
      <c r="G135" s="189">
        <v>1</v>
      </c>
      <c r="H135" s="175">
        <v>49.99</v>
      </c>
      <c r="I135" s="176">
        <v>208</v>
      </c>
    </row>
    <row r="136" spans="2:9" x14ac:dyDescent="0.25">
      <c r="B136" s="153"/>
      <c r="C136" s="150"/>
      <c r="D136" s="141" t="s">
        <v>489</v>
      </c>
      <c r="E136" s="141" t="s">
        <v>72</v>
      </c>
      <c r="F136" s="159">
        <v>41166</v>
      </c>
      <c r="G136" s="189">
        <v>1</v>
      </c>
      <c r="H136" s="175">
        <v>28.54</v>
      </c>
      <c r="I136" s="176">
        <v>95.26</v>
      </c>
    </row>
    <row r="137" spans="2:9" x14ac:dyDescent="0.25">
      <c r="B137" s="153"/>
      <c r="C137" s="150"/>
      <c r="D137" s="141" t="s">
        <v>490</v>
      </c>
      <c r="E137" s="141" t="s">
        <v>76</v>
      </c>
      <c r="F137" s="159">
        <v>41041</v>
      </c>
      <c r="G137" s="189">
        <v>1</v>
      </c>
      <c r="H137" s="175">
        <v>26.98</v>
      </c>
      <c r="I137" s="176">
        <v>110</v>
      </c>
    </row>
    <row r="138" spans="2:9" x14ac:dyDescent="0.25">
      <c r="B138" s="153"/>
      <c r="C138" s="150"/>
      <c r="D138" s="141" t="s">
        <v>480</v>
      </c>
      <c r="E138" s="141" t="s">
        <v>72</v>
      </c>
      <c r="F138" s="158">
        <v>2010</v>
      </c>
      <c r="G138" s="189">
        <v>1</v>
      </c>
      <c r="H138" s="175">
        <v>310.66000000000003</v>
      </c>
      <c r="I138" s="176">
        <v>1141</v>
      </c>
    </row>
    <row r="139" spans="2:9" ht="15.75" thickBot="1" x14ac:dyDescent="0.3">
      <c r="B139" s="154"/>
      <c r="C139" s="151" t="s">
        <v>630</v>
      </c>
      <c r="D139" s="156"/>
      <c r="E139" s="156"/>
      <c r="F139" s="157"/>
      <c r="G139" s="190">
        <v>17</v>
      </c>
      <c r="H139" s="177">
        <v>1140.796</v>
      </c>
      <c r="I139" s="178">
        <v>3929.2890000000002</v>
      </c>
    </row>
    <row r="140" spans="2:9" x14ac:dyDescent="0.25">
      <c r="B140" s="152" t="s">
        <v>96</v>
      </c>
      <c r="C140" s="149" t="s">
        <v>49</v>
      </c>
      <c r="D140" s="160" t="s">
        <v>510</v>
      </c>
      <c r="E140" s="160" t="s">
        <v>75</v>
      </c>
      <c r="F140" s="161">
        <v>2010</v>
      </c>
      <c r="G140" s="191">
        <v>1</v>
      </c>
      <c r="H140" s="173">
        <v>24.407</v>
      </c>
      <c r="I140" s="174">
        <v>90.5</v>
      </c>
    </row>
    <row r="141" spans="2:9" x14ac:dyDescent="0.25">
      <c r="B141" s="153"/>
      <c r="C141" s="150"/>
      <c r="D141" s="141" t="s">
        <v>193</v>
      </c>
      <c r="E141" s="141" t="s">
        <v>72</v>
      </c>
      <c r="F141" s="158">
        <v>1996</v>
      </c>
      <c r="G141" s="189">
        <v>1</v>
      </c>
      <c r="H141" s="175">
        <v>10.199999999999999</v>
      </c>
      <c r="I141" s="176">
        <v>47</v>
      </c>
    </row>
    <row r="142" spans="2:9" x14ac:dyDescent="0.25">
      <c r="B142" s="153"/>
      <c r="C142" s="150"/>
      <c r="D142" s="141" t="s">
        <v>244</v>
      </c>
      <c r="E142" s="141" t="s">
        <v>75</v>
      </c>
      <c r="F142" s="158">
        <v>2004</v>
      </c>
      <c r="G142" s="189">
        <v>1</v>
      </c>
      <c r="H142" s="175">
        <v>48.5</v>
      </c>
      <c r="I142" s="176">
        <v>74.8</v>
      </c>
    </row>
    <row r="143" spans="2:9" x14ac:dyDescent="0.25">
      <c r="B143" s="153"/>
      <c r="C143" s="150"/>
      <c r="D143" s="141" t="s">
        <v>574</v>
      </c>
      <c r="E143" s="141" t="s">
        <v>603</v>
      </c>
      <c r="F143" s="159">
        <v>41740</v>
      </c>
      <c r="G143" s="189">
        <v>1</v>
      </c>
      <c r="H143" s="175">
        <v>10.433</v>
      </c>
      <c r="I143" s="176">
        <v>38</v>
      </c>
    </row>
    <row r="144" spans="2:9" x14ac:dyDescent="0.25">
      <c r="B144" s="153"/>
      <c r="C144" s="150"/>
      <c r="D144" s="141" t="s">
        <v>522</v>
      </c>
      <c r="E144" s="141" t="s">
        <v>75</v>
      </c>
      <c r="F144" s="159">
        <v>41306</v>
      </c>
      <c r="G144" s="189">
        <v>1</v>
      </c>
      <c r="H144" s="175">
        <v>1.97</v>
      </c>
      <c r="I144" s="176">
        <v>11</v>
      </c>
    </row>
    <row r="145" spans="2:9" x14ac:dyDescent="0.25">
      <c r="B145" s="153"/>
      <c r="C145" s="150"/>
      <c r="D145" s="141" t="s">
        <v>292</v>
      </c>
      <c r="E145" s="141" t="s">
        <v>75</v>
      </c>
      <c r="F145" s="158">
        <v>2008</v>
      </c>
      <c r="G145" s="189">
        <v>1</v>
      </c>
      <c r="H145" s="175">
        <v>10.01</v>
      </c>
      <c r="I145" s="176">
        <v>43</v>
      </c>
    </row>
    <row r="146" spans="2:9" x14ac:dyDescent="0.25">
      <c r="B146" s="153"/>
      <c r="C146" s="150"/>
      <c r="D146" s="141" t="s">
        <v>541</v>
      </c>
      <c r="E146" s="141" t="s">
        <v>75</v>
      </c>
      <c r="F146" s="158">
        <v>2009</v>
      </c>
      <c r="G146" s="189">
        <v>1</v>
      </c>
      <c r="H146" s="175">
        <v>35.258000000000003</v>
      </c>
      <c r="I146" s="176">
        <v>120</v>
      </c>
    </row>
    <row r="147" spans="2:9" x14ac:dyDescent="0.25">
      <c r="B147" s="153"/>
      <c r="C147" s="150"/>
      <c r="D147" s="141" t="s">
        <v>353</v>
      </c>
      <c r="E147" s="141" t="s">
        <v>75</v>
      </c>
      <c r="F147" s="158">
        <v>2011</v>
      </c>
      <c r="G147" s="189">
        <v>1</v>
      </c>
      <c r="H147" s="175">
        <v>47.7</v>
      </c>
      <c r="I147" s="176">
        <v>224</v>
      </c>
    </row>
    <row r="148" spans="2:9" x14ac:dyDescent="0.25">
      <c r="B148" s="153"/>
      <c r="C148" s="150"/>
      <c r="D148" s="141" t="s">
        <v>463</v>
      </c>
      <c r="E148" s="141" t="s">
        <v>75</v>
      </c>
      <c r="F148" s="158">
        <v>2004</v>
      </c>
      <c r="G148" s="189">
        <v>1</v>
      </c>
      <c r="H148" s="175">
        <v>23</v>
      </c>
      <c r="I148" s="176">
        <v>93.2</v>
      </c>
    </row>
    <row r="149" spans="2:9" x14ac:dyDescent="0.25">
      <c r="B149" s="153"/>
      <c r="C149" s="150"/>
      <c r="D149" s="141" t="s">
        <v>362</v>
      </c>
      <c r="E149" s="141" t="s">
        <v>75</v>
      </c>
      <c r="F149" s="159">
        <v>41306</v>
      </c>
      <c r="G149" s="189">
        <v>1</v>
      </c>
      <c r="H149" s="175">
        <v>1.958</v>
      </c>
      <c r="I149" s="176">
        <v>7.1</v>
      </c>
    </row>
    <row r="150" spans="2:9" x14ac:dyDescent="0.25">
      <c r="B150" s="153"/>
      <c r="C150" s="150"/>
      <c r="D150" s="141" t="s">
        <v>367</v>
      </c>
      <c r="E150" s="141" t="s">
        <v>75</v>
      </c>
      <c r="F150" s="158">
        <v>2011</v>
      </c>
      <c r="G150" s="189">
        <v>1</v>
      </c>
      <c r="H150" s="175">
        <v>8.06</v>
      </c>
      <c r="I150" s="176">
        <v>42.6</v>
      </c>
    </row>
    <row r="151" spans="2:9" x14ac:dyDescent="0.25">
      <c r="B151" s="153"/>
      <c r="C151" s="150"/>
      <c r="D151" s="141" t="s">
        <v>596</v>
      </c>
      <c r="E151" s="141" t="s">
        <v>603</v>
      </c>
      <c r="F151" s="159">
        <v>42003</v>
      </c>
      <c r="G151" s="189">
        <v>1</v>
      </c>
      <c r="H151" s="175">
        <v>6.62</v>
      </c>
      <c r="I151" s="176">
        <v>23</v>
      </c>
    </row>
    <row r="152" spans="2:9" ht="15.75" thickBot="1" x14ac:dyDescent="0.3">
      <c r="B152" s="154"/>
      <c r="C152" s="151" t="s">
        <v>631</v>
      </c>
      <c r="D152" s="156"/>
      <c r="E152" s="156"/>
      <c r="F152" s="157"/>
      <c r="G152" s="190">
        <v>12</v>
      </c>
      <c r="H152" s="177">
        <v>228.11600000000001</v>
      </c>
      <c r="I152" s="178">
        <v>814.2</v>
      </c>
    </row>
    <row r="153" spans="2:9" x14ac:dyDescent="0.25">
      <c r="B153" s="152" t="s">
        <v>97</v>
      </c>
      <c r="C153" s="149" t="s">
        <v>34</v>
      </c>
      <c r="D153" s="160" t="s">
        <v>170</v>
      </c>
      <c r="E153" s="160" t="s">
        <v>75</v>
      </c>
      <c r="F153" s="161">
        <v>1954</v>
      </c>
      <c r="G153" s="191">
        <v>1</v>
      </c>
      <c r="H153" s="173">
        <v>4.0919999999999996</v>
      </c>
      <c r="I153" s="174">
        <v>15</v>
      </c>
    </row>
    <row r="154" spans="2:9" x14ac:dyDescent="0.25">
      <c r="B154" s="153"/>
      <c r="C154" s="150"/>
      <c r="D154" s="141" t="s">
        <v>405</v>
      </c>
      <c r="E154" s="141" t="s">
        <v>75</v>
      </c>
      <c r="F154" s="158">
        <v>2013</v>
      </c>
      <c r="G154" s="189">
        <v>1</v>
      </c>
      <c r="H154" s="175">
        <v>9.98</v>
      </c>
      <c r="I154" s="176">
        <v>35.67</v>
      </c>
    </row>
    <row r="155" spans="2:9" ht="15.75" thickBot="1" x14ac:dyDescent="0.3">
      <c r="B155" s="154"/>
      <c r="C155" s="151" t="s">
        <v>632</v>
      </c>
      <c r="D155" s="156"/>
      <c r="E155" s="156"/>
      <c r="F155" s="157"/>
      <c r="G155" s="190">
        <v>2</v>
      </c>
      <c r="H155" s="177">
        <v>14.071999999999999</v>
      </c>
      <c r="I155" s="178">
        <v>50.67</v>
      </c>
    </row>
    <row r="156" spans="2:9" x14ac:dyDescent="0.25">
      <c r="B156" s="152" t="s">
        <v>98</v>
      </c>
      <c r="C156" s="149" t="s">
        <v>37</v>
      </c>
      <c r="D156" s="160" t="s">
        <v>233</v>
      </c>
      <c r="E156" s="160" t="s">
        <v>75</v>
      </c>
      <c r="F156" s="161">
        <v>2007</v>
      </c>
      <c r="G156" s="191">
        <v>1</v>
      </c>
      <c r="H156" s="173">
        <v>40.5</v>
      </c>
      <c r="I156" s="174">
        <v>105</v>
      </c>
    </row>
    <row r="157" spans="2:9" x14ac:dyDescent="0.25">
      <c r="B157" s="153"/>
      <c r="C157" s="150"/>
      <c r="D157" s="141" t="s">
        <v>416</v>
      </c>
      <c r="E157" s="141" t="s">
        <v>75</v>
      </c>
      <c r="F157" s="159">
        <v>41003</v>
      </c>
      <c r="G157" s="189">
        <v>1</v>
      </c>
      <c r="H157" s="175">
        <v>16.742999999999999</v>
      </c>
      <c r="I157" s="176">
        <v>46.395000000000003</v>
      </c>
    </row>
    <row r="158" spans="2:9" x14ac:dyDescent="0.25">
      <c r="B158" s="153"/>
      <c r="C158" s="150"/>
      <c r="D158" s="141" t="s">
        <v>256</v>
      </c>
      <c r="E158" s="141" t="s">
        <v>75</v>
      </c>
      <c r="F158" s="158">
        <v>2011</v>
      </c>
      <c r="G158" s="189">
        <v>1</v>
      </c>
      <c r="H158" s="175">
        <v>9.5399999999999991</v>
      </c>
      <c r="I158" s="176">
        <v>32</v>
      </c>
    </row>
    <row r="159" spans="2:9" x14ac:dyDescent="0.25">
      <c r="B159" s="153"/>
      <c r="C159" s="150"/>
      <c r="D159" s="141" t="s">
        <v>270</v>
      </c>
      <c r="E159" s="141" t="s">
        <v>75</v>
      </c>
      <c r="F159" s="158">
        <v>2008</v>
      </c>
      <c r="G159" s="189">
        <v>1</v>
      </c>
      <c r="H159" s="175">
        <v>38.72</v>
      </c>
      <c r="I159" s="176">
        <v>114.26</v>
      </c>
    </row>
    <row r="160" spans="2:9" x14ac:dyDescent="0.25">
      <c r="B160" s="153"/>
      <c r="C160" s="150"/>
      <c r="D160" s="141" t="s">
        <v>289</v>
      </c>
      <c r="E160" s="141" t="s">
        <v>75</v>
      </c>
      <c r="F160" s="158">
        <v>2008</v>
      </c>
      <c r="G160" s="189">
        <v>1</v>
      </c>
      <c r="H160" s="175">
        <v>9.26</v>
      </c>
      <c r="I160" s="176">
        <v>36</v>
      </c>
    </row>
    <row r="161" spans="2:9" x14ac:dyDescent="0.25">
      <c r="B161" s="153"/>
      <c r="C161" s="150"/>
      <c r="D161" s="141" t="s">
        <v>293</v>
      </c>
      <c r="E161" s="141" t="s">
        <v>75</v>
      </c>
      <c r="F161" s="159">
        <v>40998</v>
      </c>
      <c r="G161" s="189">
        <v>1</v>
      </c>
      <c r="H161" s="175">
        <v>24.265999999999998</v>
      </c>
      <c r="I161" s="176">
        <v>60.26</v>
      </c>
    </row>
    <row r="162" spans="2:9" x14ac:dyDescent="0.25">
      <c r="B162" s="153"/>
      <c r="C162" s="150"/>
      <c r="D162" s="141" t="s">
        <v>297</v>
      </c>
      <c r="E162" s="141" t="s">
        <v>75</v>
      </c>
      <c r="F162" s="158">
        <v>2009</v>
      </c>
      <c r="G162" s="189">
        <v>1</v>
      </c>
      <c r="H162" s="175">
        <v>1.8</v>
      </c>
      <c r="I162" s="176">
        <v>4.28</v>
      </c>
    </row>
    <row r="163" spans="2:9" x14ac:dyDescent="0.25">
      <c r="B163" s="153"/>
      <c r="C163" s="150"/>
      <c r="D163" s="141" t="s">
        <v>300</v>
      </c>
      <c r="E163" s="141" t="s">
        <v>75</v>
      </c>
      <c r="F163" s="159">
        <v>40619</v>
      </c>
      <c r="G163" s="189">
        <v>1</v>
      </c>
      <c r="H163" s="175">
        <v>142.28</v>
      </c>
      <c r="I163" s="176">
        <v>334.02100000000002</v>
      </c>
    </row>
    <row r="164" spans="2:9" x14ac:dyDescent="0.25">
      <c r="B164" s="153"/>
      <c r="C164" s="150"/>
      <c r="D164" s="141" t="s">
        <v>310</v>
      </c>
      <c r="E164" s="141" t="s">
        <v>75</v>
      </c>
      <c r="F164" s="158">
        <v>2009</v>
      </c>
      <c r="G164" s="189">
        <v>1</v>
      </c>
      <c r="H164" s="175">
        <v>34.130000000000003</v>
      </c>
      <c r="I164" s="176">
        <v>107</v>
      </c>
    </row>
    <row r="165" spans="2:9" x14ac:dyDescent="0.25">
      <c r="B165" s="153"/>
      <c r="C165" s="150"/>
      <c r="D165" s="141" t="s">
        <v>451</v>
      </c>
      <c r="E165" s="141" t="s">
        <v>72</v>
      </c>
      <c r="F165" s="159">
        <v>41569</v>
      </c>
      <c r="G165" s="189">
        <v>1</v>
      </c>
      <c r="H165" s="175">
        <v>207.92</v>
      </c>
      <c r="I165" s="176">
        <v>502</v>
      </c>
    </row>
    <row r="166" spans="2:9" x14ac:dyDescent="0.25">
      <c r="B166" s="153"/>
      <c r="C166" s="150"/>
      <c r="D166" s="141" t="s">
        <v>316</v>
      </c>
      <c r="E166" s="141" t="s">
        <v>75</v>
      </c>
      <c r="F166" s="159">
        <v>41405</v>
      </c>
      <c r="G166" s="189">
        <v>1</v>
      </c>
      <c r="H166" s="175">
        <v>8</v>
      </c>
      <c r="I166" s="176">
        <v>24</v>
      </c>
    </row>
    <row r="167" spans="2:9" x14ac:dyDescent="0.25">
      <c r="B167" s="153"/>
      <c r="C167" s="150"/>
      <c r="D167" s="141" t="s">
        <v>466</v>
      </c>
      <c r="E167" s="141" t="s">
        <v>72</v>
      </c>
      <c r="F167" s="159">
        <v>41537</v>
      </c>
      <c r="G167" s="189">
        <v>1</v>
      </c>
      <c r="H167" s="175">
        <v>102.54</v>
      </c>
      <c r="I167" s="176">
        <v>282</v>
      </c>
    </row>
    <row r="168" spans="2:9" x14ac:dyDescent="0.25">
      <c r="B168" s="153"/>
      <c r="C168" s="150"/>
      <c r="D168" s="141" t="s">
        <v>318</v>
      </c>
      <c r="E168" s="141" t="s">
        <v>75</v>
      </c>
      <c r="F168" s="158">
        <v>2007</v>
      </c>
      <c r="G168" s="189">
        <v>1</v>
      </c>
      <c r="H168" s="175">
        <v>2.4</v>
      </c>
      <c r="I168" s="176">
        <v>18.72</v>
      </c>
    </row>
    <row r="169" spans="2:9" x14ac:dyDescent="0.25">
      <c r="B169" s="153"/>
      <c r="C169" s="150"/>
      <c r="D169" s="141" t="s">
        <v>321</v>
      </c>
      <c r="E169" s="141" t="s">
        <v>75</v>
      </c>
      <c r="F169" s="158">
        <v>2005</v>
      </c>
      <c r="G169" s="189">
        <v>1</v>
      </c>
      <c r="H169" s="175">
        <v>24</v>
      </c>
      <c r="I169" s="176">
        <v>71</v>
      </c>
    </row>
    <row r="170" spans="2:9" x14ac:dyDescent="0.25">
      <c r="B170" s="153"/>
      <c r="C170" s="150"/>
      <c r="D170" s="141" t="s">
        <v>323</v>
      </c>
      <c r="E170" s="141" t="s">
        <v>72</v>
      </c>
      <c r="F170" s="159">
        <v>41088</v>
      </c>
      <c r="G170" s="189">
        <v>1</v>
      </c>
      <c r="H170" s="175">
        <v>8</v>
      </c>
      <c r="I170" s="176">
        <v>26.51</v>
      </c>
    </row>
    <row r="171" spans="2:9" x14ac:dyDescent="0.25">
      <c r="B171" s="153"/>
      <c r="C171" s="150"/>
      <c r="D171" s="141" t="s">
        <v>453</v>
      </c>
      <c r="E171" s="141" t="s">
        <v>75</v>
      </c>
      <c r="F171" s="158">
        <v>2011</v>
      </c>
      <c r="G171" s="189">
        <v>1</v>
      </c>
      <c r="H171" s="175">
        <v>4.6093999999999999</v>
      </c>
      <c r="I171" s="176">
        <v>16.100000000000001</v>
      </c>
    </row>
    <row r="172" spans="2:9" x14ac:dyDescent="0.25">
      <c r="B172" s="153"/>
      <c r="C172" s="150"/>
      <c r="D172" s="141" t="s">
        <v>161</v>
      </c>
      <c r="E172" s="141" t="s">
        <v>75</v>
      </c>
      <c r="F172" s="158">
        <v>1993</v>
      </c>
      <c r="G172" s="189">
        <v>1</v>
      </c>
      <c r="H172" s="175">
        <v>9.2639999999999993</v>
      </c>
      <c r="I172" s="176">
        <v>35</v>
      </c>
    </row>
    <row r="173" spans="2:9" x14ac:dyDescent="0.25">
      <c r="B173" s="153"/>
      <c r="C173" s="150"/>
      <c r="D173" s="141" t="s">
        <v>454</v>
      </c>
      <c r="E173" s="141" t="s">
        <v>75</v>
      </c>
      <c r="F173" s="158">
        <v>2009</v>
      </c>
      <c r="G173" s="189">
        <v>1</v>
      </c>
      <c r="H173" s="175">
        <v>4.4000000000000004</v>
      </c>
      <c r="I173" s="176">
        <v>13.34</v>
      </c>
    </row>
    <row r="174" spans="2:9" x14ac:dyDescent="0.25">
      <c r="B174" s="153"/>
      <c r="C174" s="150"/>
      <c r="D174" s="141" t="s">
        <v>341</v>
      </c>
      <c r="E174" s="141" t="s">
        <v>75</v>
      </c>
      <c r="F174" s="158">
        <v>2011</v>
      </c>
      <c r="G174" s="189">
        <v>1</v>
      </c>
      <c r="H174" s="175">
        <v>1.07</v>
      </c>
      <c r="I174" s="176">
        <v>4.5999999999999996</v>
      </c>
    </row>
    <row r="175" spans="2:9" x14ac:dyDescent="0.25">
      <c r="B175" s="153"/>
      <c r="C175" s="150"/>
      <c r="D175" s="141" t="s">
        <v>361</v>
      </c>
      <c r="E175" s="141" t="s">
        <v>75</v>
      </c>
      <c r="F175" s="158">
        <v>2011</v>
      </c>
      <c r="G175" s="189">
        <v>1</v>
      </c>
      <c r="H175" s="175">
        <v>2.66</v>
      </c>
      <c r="I175" s="176">
        <v>9.98</v>
      </c>
    </row>
    <row r="176" spans="2:9" x14ac:dyDescent="0.25">
      <c r="B176" s="153"/>
      <c r="C176" s="150"/>
      <c r="D176" s="141" t="s">
        <v>216</v>
      </c>
      <c r="E176" s="141" t="s">
        <v>72</v>
      </c>
      <c r="F176" s="158">
        <v>2000</v>
      </c>
      <c r="G176" s="189">
        <v>1</v>
      </c>
      <c r="H176" s="175">
        <v>7</v>
      </c>
      <c r="I176" s="176">
        <v>28</v>
      </c>
    </row>
    <row r="177" spans="2:9" x14ac:dyDescent="0.25">
      <c r="B177" s="153"/>
      <c r="C177" s="150"/>
      <c r="D177" s="141" t="s">
        <v>514</v>
      </c>
      <c r="E177" s="141" t="s">
        <v>75</v>
      </c>
      <c r="F177" s="158">
        <v>2004</v>
      </c>
      <c r="G177" s="189">
        <v>1</v>
      </c>
      <c r="H177" s="175">
        <v>4.5</v>
      </c>
      <c r="I177" s="176">
        <v>18.88</v>
      </c>
    </row>
    <row r="178" spans="2:9" x14ac:dyDescent="0.25">
      <c r="B178" s="153"/>
      <c r="C178" s="150"/>
      <c r="D178" s="141" t="s">
        <v>471</v>
      </c>
      <c r="E178" s="141" t="s">
        <v>75</v>
      </c>
      <c r="F178" s="158">
        <v>2007</v>
      </c>
      <c r="G178" s="189">
        <v>1</v>
      </c>
      <c r="H178" s="175">
        <v>12.3</v>
      </c>
      <c r="I178" s="176">
        <v>48.292999999999999</v>
      </c>
    </row>
    <row r="179" spans="2:9" x14ac:dyDescent="0.25">
      <c r="B179" s="153"/>
      <c r="C179" s="150"/>
      <c r="D179" s="141" t="s">
        <v>381</v>
      </c>
      <c r="E179" s="141" t="s">
        <v>75</v>
      </c>
      <c r="F179" s="158">
        <v>2008</v>
      </c>
      <c r="G179" s="189">
        <v>1</v>
      </c>
      <c r="H179" s="175">
        <v>0.82</v>
      </c>
      <c r="I179" s="176">
        <v>5.28</v>
      </c>
    </row>
    <row r="180" spans="2:9" x14ac:dyDescent="0.25">
      <c r="B180" s="153"/>
      <c r="C180" s="150"/>
      <c r="D180" s="141" t="s">
        <v>473</v>
      </c>
      <c r="E180" s="141" t="s">
        <v>75</v>
      </c>
      <c r="F180" s="159">
        <v>41121</v>
      </c>
      <c r="G180" s="189">
        <v>1</v>
      </c>
      <c r="H180" s="175">
        <v>1.57</v>
      </c>
      <c r="I180" s="176">
        <v>10.86</v>
      </c>
    </row>
    <row r="181" spans="2:9" x14ac:dyDescent="0.25">
      <c r="B181" s="153"/>
      <c r="C181" s="150"/>
      <c r="D181" s="141" t="s">
        <v>386</v>
      </c>
      <c r="E181" s="141" t="s">
        <v>75</v>
      </c>
      <c r="F181" s="159">
        <v>41314</v>
      </c>
      <c r="G181" s="189">
        <v>1</v>
      </c>
      <c r="H181" s="175">
        <v>14.834</v>
      </c>
      <c r="I181" s="176">
        <v>35</v>
      </c>
    </row>
    <row r="182" spans="2:9" x14ac:dyDescent="0.25">
      <c r="B182" s="153"/>
      <c r="C182" s="150"/>
      <c r="D182" s="141" t="s">
        <v>391</v>
      </c>
      <c r="E182" s="141" t="s">
        <v>75</v>
      </c>
      <c r="F182" s="159">
        <v>41104</v>
      </c>
      <c r="G182" s="189">
        <v>1</v>
      </c>
      <c r="H182" s="175">
        <v>1.04</v>
      </c>
      <c r="I182" s="176">
        <v>4.59</v>
      </c>
    </row>
    <row r="183" spans="2:9" x14ac:dyDescent="0.25">
      <c r="B183" s="153"/>
      <c r="C183" s="150"/>
      <c r="D183" s="141" t="s">
        <v>397</v>
      </c>
      <c r="E183" s="141" t="s">
        <v>75</v>
      </c>
      <c r="F183" s="158">
        <v>2011</v>
      </c>
      <c r="G183" s="189">
        <v>1</v>
      </c>
      <c r="H183" s="175">
        <v>3.794</v>
      </c>
      <c r="I183" s="176">
        <v>14.92</v>
      </c>
    </row>
    <row r="184" spans="2:9" x14ac:dyDescent="0.25">
      <c r="B184" s="153"/>
      <c r="C184" s="150"/>
      <c r="D184" s="141" t="s">
        <v>487</v>
      </c>
      <c r="E184" s="141" t="s">
        <v>75</v>
      </c>
      <c r="F184" s="158">
        <v>41026</v>
      </c>
      <c r="G184" s="189">
        <v>1</v>
      </c>
      <c r="H184" s="175">
        <v>5.2</v>
      </c>
      <c r="I184" s="176">
        <v>18.280999999999999</v>
      </c>
    </row>
    <row r="185" spans="2:9" ht="15.75" thickBot="1" x14ac:dyDescent="0.3">
      <c r="B185" s="154"/>
      <c r="C185" s="151" t="s">
        <v>633</v>
      </c>
      <c r="D185" s="156"/>
      <c r="E185" s="156"/>
      <c r="F185" s="157"/>
      <c r="G185" s="190">
        <v>29</v>
      </c>
      <c r="H185" s="177">
        <v>743.16039999999998</v>
      </c>
      <c r="I185" s="178">
        <v>2026.5699999999995</v>
      </c>
    </row>
    <row r="186" spans="2:9" x14ac:dyDescent="0.25">
      <c r="B186" s="152" t="s">
        <v>99</v>
      </c>
      <c r="C186" s="149" t="s">
        <v>55</v>
      </c>
      <c r="D186" s="160" t="s">
        <v>426</v>
      </c>
      <c r="E186" s="160" t="s">
        <v>72</v>
      </c>
      <c r="F186" s="161">
        <v>2010</v>
      </c>
      <c r="G186" s="191">
        <v>1</v>
      </c>
      <c r="H186" s="173">
        <v>60</v>
      </c>
      <c r="I186" s="174">
        <v>250</v>
      </c>
    </row>
    <row r="187" spans="2:9" x14ac:dyDescent="0.25">
      <c r="B187" s="153"/>
      <c r="C187" s="150"/>
      <c r="D187" s="141" t="s">
        <v>168</v>
      </c>
      <c r="E187" s="141" t="s">
        <v>75</v>
      </c>
      <c r="F187" s="158">
        <v>1987</v>
      </c>
      <c r="G187" s="189">
        <v>1</v>
      </c>
      <c r="H187" s="175">
        <v>0.5</v>
      </c>
      <c r="I187" s="176">
        <v>1</v>
      </c>
    </row>
    <row r="188" spans="2:9" x14ac:dyDescent="0.25">
      <c r="B188" s="153"/>
      <c r="C188" s="150"/>
      <c r="D188" s="141" t="s">
        <v>279</v>
      </c>
      <c r="E188" s="141" t="s">
        <v>75</v>
      </c>
      <c r="F188" s="159">
        <v>41520</v>
      </c>
      <c r="G188" s="189">
        <v>1</v>
      </c>
      <c r="H188" s="175">
        <v>3.05</v>
      </c>
      <c r="I188" s="176">
        <v>12.5</v>
      </c>
    </row>
    <row r="189" spans="2:9" x14ac:dyDescent="0.25">
      <c r="B189" s="153"/>
      <c r="C189" s="150"/>
      <c r="D189" s="141" t="s">
        <v>600</v>
      </c>
      <c r="E189" s="141" t="s">
        <v>603</v>
      </c>
      <c r="F189" s="159">
        <v>41932</v>
      </c>
      <c r="G189" s="189">
        <v>1</v>
      </c>
      <c r="H189" s="175">
        <v>5</v>
      </c>
      <c r="I189" s="176">
        <v>12.57</v>
      </c>
    </row>
    <row r="190" spans="2:9" x14ac:dyDescent="0.25">
      <c r="B190" s="153"/>
      <c r="C190" s="150"/>
      <c r="D190" s="141" t="s">
        <v>304</v>
      </c>
      <c r="E190" s="141" t="s">
        <v>75</v>
      </c>
      <c r="F190" s="158" t="s">
        <v>3</v>
      </c>
      <c r="G190" s="189">
        <v>1</v>
      </c>
      <c r="H190" s="175">
        <v>8.48</v>
      </c>
      <c r="I190" s="176">
        <v>30</v>
      </c>
    </row>
    <row r="191" spans="2:9" x14ac:dyDescent="0.25">
      <c r="B191" s="153"/>
      <c r="C191" s="150"/>
      <c r="D191" s="141" t="s">
        <v>312</v>
      </c>
      <c r="E191" s="141" t="s">
        <v>75</v>
      </c>
      <c r="F191" s="158">
        <v>2006</v>
      </c>
      <c r="G191" s="189">
        <v>1</v>
      </c>
      <c r="H191" s="175">
        <v>28.81</v>
      </c>
      <c r="I191" s="176">
        <v>51.64</v>
      </c>
    </row>
    <row r="192" spans="2:9" x14ac:dyDescent="0.25">
      <c r="B192" s="153"/>
      <c r="C192" s="150"/>
      <c r="D192" s="141" t="s">
        <v>169</v>
      </c>
      <c r="E192" s="141" t="s">
        <v>75</v>
      </c>
      <c r="F192" s="158">
        <v>1955</v>
      </c>
      <c r="G192" s="189">
        <v>1</v>
      </c>
      <c r="H192" s="175">
        <v>0.4</v>
      </c>
      <c r="I192" s="176">
        <v>1.5</v>
      </c>
    </row>
    <row r="193" spans="2:9" x14ac:dyDescent="0.25">
      <c r="B193" s="153"/>
      <c r="C193" s="150"/>
      <c r="D193" s="141" t="s">
        <v>585</v>
      </c>
      <c r="E193" s="141" t="s">
        <v>603</v>
      </c>
      <c r="F193" s="159">
        <v>41810</v>
      </c>
      <c r="G193" s="189">
        <v>1</v>
      </c>
      <c r="H193" s="175">
        <v>9.06</v>
      </c>
      <c r="I193" s="176">
        <v>26.13</v>
      </c>
    </row>
    <row r="194" spans="2:9" x14ac:dyDescent="0.25">
      <c r="B194" s="153"/>
      <c r="C194" s="150"/>
      <c r="D194" s="141" t="s">
        <v>547</v>
      </c>
      <c r="E194" s="141" t="s">
        <v>75</v>
      </c>
      <c r="F194" s="158" t="s">
        <v>1</v>
      </c>
      <c r="G194" s="189">
        <v>1</v>
      </c>
      <c r="H194" s="175">
        <v>7.35</v>
      </c>
      <c r="I194" s="176">
        <v>25</v>
      </c>
    </row>
    <row r="195" spans="2:9" x14ac:dyDescent="0.25">
      <c r="B195" s="153"/>
      <c r="C195" s="150"/>
      <c r="D195" s="141" t="s">
        <v>369</v>
      </c>
      <c r="E195" s="141" t="s">
        <v>75</v>
      </c>
      <c r="F195" s="158">
        <v>2009</v>
      </c>
      <c r="G195" s="189">
        <v>1</v>
      </c>
      <c r="H195" s="175">
        <v>4.9000000000000004</v>
      </c>
      <c r="I195" s="176">
        <v>17</v>
      </c>
    </row>
    <row r="196" spans="2:9" x14ac:dyDescent="0.25">
      <c r="B196" s="153"/>
      <c r="C196" s="150"/>
      <c r="D196" s="141" t="s">
        <v>371</v>
      </c>
      <c r="E196" s="141" t="s">
        <v>75</v>
      </c>
      <c r="F196" s="158">
        <v>2011</v>
      </c>
      <c r="G196" s="189">
        <v>1</v>
      </c>
      <c r="H196" s="175">
        <v>15.2</v>
      </c>
      <c r="I196" s="176">
        <v>48.3</v>
      </c>
    </row>
    <row r="197" spans="2:9" x14ac:dyDescent="0.25">
      <c r="B197" s="153"/>
      <c r="C197" s="150"/>
      <c r="D197" s="141" t="s">
        <v>594</v>
      </c>
      <c r="E197" s="141" t="s">
        <v>603</v>
      </c>
      <c r="F197" s="159">
        <v>41950</v>
      </c>
      <c r="G197" s="189">
        <v>1</v>
      </c>
      <c r="H197" s="175">
        <v>3.3879999999999999</v>
      </c>
      <c r="I197" s="176">
        <v>13.4</v>
      </c>
    </row>
    <row r="198" spans="2:9" x14ac:dyDescent="0.25">
      <c r="B198" s="153"/>
      <c r="C198" s="150"/>
      <c r="D198" s="141" t="s">
        <v>395</v>
      </c>
      <c r="E198" s="141" t="s">
        <v>72</v>
      </c>
      <c r="F198" s="158">
        <v>2011</v>
      </c>
      <c r="G198" s="189">
        <v>1</v>
      </c>
      <c r="H198" s="175">
        <v>5.46</v>
      </c>
      <c r="I198" s="176">
        <v>17</v>
      </c>
    </row>
    <row r="199" spans="2:9" ht="15.75" thickBot="1" x14ac:dyDescent="0.3">
      <c r="B199" s="154"/>
      <c r="C199" s="151" t="s">
        <v>634</v>
      </c>
      <c r="D199" s="156"/>
      <c r="E199" s="156"/>
      <c r="F199" s="157"/>
      <c r="G199" s="190">
        <v>13</v>
      </c>
      <c r="H199" s="177">
        <v>151.59800000000001</v>
      </c>
      <c r="I199" s="178">
        <v>506.03999999999996</v>
      </c>
    </row>
    <row r="200" spans="2:9" x14ac:dyDescent="0.25">
      <c r="B200" s="152" t="s">
        <v>100</v>
      </c>
      <c r="C200" s="149" t="s">
        <v>43</v>
      </c>
      <c r="D200" s="160" t="s">
        <v>301</v>
      </c>
      <c r="E200" s="160" t="s">
        <v>75</v>
      </c>
      <c r="F200" s="161">
        <v>2008</v>
      </c>
      <c r="G200" s="191">
        <v>1</v>
      </c>
      <c r="H200" s="173">
        <v>16.7</v>
      </c>
      <c r="I200" s="174">
        <v>90</v>
      </c>
    </row>
    <row r="201" spans="2:9" ht="15.75" thickBot="1" x14ac:dyDescent="0.3">
      <c r="B201" s="154"/>
      <c r="C201" s="151" t="s">
        <v>635</v>
      </c>
      <c r="D201" s="156"/>
      <c r="E201" s="156"/>
      <c r="F201" s="157"/>
      <c r="G201" s="190">
        <v>1</v>
      </c>
      <c r="H201" s="177">
        <v>16.7</v>
      </c>
      <c r="I201" s="178">
        <v>90</v>
      </c>
    </row>
    <row r="202" spans="2:9" x14ac:dyDescent="0.25">
      <c r="B202" s="152" t="s">
        <v>101</v>
      </c>
      <c r="C202" s="149" t="s">
        <v>53</v>
      </c>
      <c r="D202" s="160" t="s">
        <v>205</v>
      </c>
      <c r="E202" s="160" t="s">
        <v>75</v>
      </c>
      <c r="F202" s="161">
        <v>1965</v>
      </c>
      <c r="G202" s="191">
        <v>1</v>
      </c>
      <c r="H202" s="173">
        <v>6.88E-2</v>
      </c>
      <c r="I202" s="174">
        <v>0.6</v>
      </c>
    </row>
    <row r="203" spans="2:9" ht="15.75" thickBot="1" x14ac:dyDescent="0.3">
      <c r="B203" s="154"/>
      <c r="C203" s="151" t="s">
        <v>636</v>
      </c>
      <c r="D203" s="156"/>
      <c r="E203" s="156"/>
      <c r="F203" s="157"/>
      <c r="G203" s="190">
        <v>1</v>
      </c>
      <c r="H203" s="177">
        <v>6.88E-2</v>
      </c>
      <c r="I203" s="178">
        <v>0.6</v>
      </c>
    </row>
    <row r="204" spans="2:9" x14ac:dyDescent="0.25">
      <c r="B204" s="152" t="s">
        <v>102</v>
      </c>
      <c r="C204" s="149" t="s">
        <v>52</v>
      </c>
      <c r="D204" s="160" t="s">
        <v>415</v>
      </c>
      <c r="E204" s="160" t="s">
        <v>75</v>
      </c>
      <c r="F204" s="163">
        <v>41423</v>
      </c>
      <c r="G204" s="191">
        <v>1</v>
      </c>
      <c r="H204" s="173">
        <v>19.53</v>
      </c>
      <c r="I204" s="174">
        <v>80.260000000000005</v>
      </c>
    </row>
    <row r="205" spans="2:9" x14ac:dyDescent="0.25">
      <c r="B205" s="153"/>
      <c r="C205" s="150"/>
      <c r="D205" s="141" t="s">
        <v>420</v>
      </c>
      <c r="E205" s="141" t="s">
        <v>72</v>
      </c>
      <c r="F205" s="159">
        <v>40563</v>
      </c>
      <c r="G205" s="189">
        <v>1</v>
      </c>
      <c r="H205" s="175">
        <v>47</v>
      </c>
      <c r="I205" s="176">
        <v>166</v>
      </c>
    </row>
    <row r="206" spans="2:9" x14ac:dyDescent="0.25">
      <c r="B206" s="153"/>
      <c r="C206" s="150"/>
      <c r="D206" s="141" t="s">
        <v>302</v>
      </c>
      <c r="E206" s="141" t="s">
        <v>75</v>
      </c>
      <c r="F206" s="159">
        <v>41410</v>
      </c>
      <c r="G206" s="189">
        <v>1</v>
      </c>
      <c r="H206" s="175">
        <v>5.29</v>
      </c>
      <c r="I206" s="176">
        <v>36.380000000000003</v>
      </c>
    </row>
    <row r="207" spans="2:9" x14ac:dyDescent="0.25">
      <c r="B207" s="153"/>
      <c r="C207" s="150"/>
      <c r="D207" s="141" t="s">
        <v>366</v>
      </c>
      <c r="E207" s="141" t="s">
        <v>75</v>
      </c>
      <c r="F207" s="158">
        <v>2011</v>
      </c>
      <c r="G207" s="189">
        <v>1</v>
      </c>
      <c r="H207" s="175">
        <v>6</v>
      </c>
      <c r="I207" s="176">
        <v>23</v>
      </c>
    </row>
    <row r="208" spans="2:9" x14ac:dyDescent="0.25">
      <c r="B208" s="153"/>
      <c r="C208" s="150"/>
      <c r="D208" s="141" t="s">
        <v>475</v>
      </c>
      <c r="E208" s="141" t="s">
        <v>75</v>
      </c>
      <c r="F208" s="159">
        <v>41180</v>
      </c>
      <c r="G208" s="189">
        <v>1</v>
      </c>
      <c r="H208" s="175">
        <v>8.44</v>
      </c>
      <c r="I208" s="176">
        <v>71</v>
      </c>
    </row>
    <row r="209" spans="2:9" ht="15.75" thickBot="1" x14ac:dyDescent="0.3">
      <c r="B209" s="154"/>
      <c r="C209" s="151" t="s">
        <v>637</v>
      </c>
      <c r="D209" s="156"/>
      <c r="E209" s="156"/>
      <c r="F209" s="157"/>
      <c r="G209" s="190">
        <v>5</v>
      </c>
      <c r="H209" s="177">
        <v>86.26</v>
      </c>
      <c r="I209" s="178">
        <v>376.64</v>
      </c>
    </row>
    <row r="210" spans="2:9" x14ac:dyDescent="0.25">
      <c r="B210" s="152" t="s">
        <v>103</v>
      </c>
      <c r="C210" s="149" t="s">
        <v>42</v>
      </c>
      <c r="D210" s="160" t="s">
        <v>180</v>
      </c>
      <c r="E210" s="160" t="s">
        <v>75</v>
      </c>
      <c r="F210" s="161">
        <v>1928</v>
      </c>
      <c r="G210" s="191">
        <v>1</v>
      </c>
      <c r="H210" s="173">
        <v>1.36</v>
      </c>
      <c r="I210" s="174">
        <v>4</v>
      </c>
    </row>
    <row r="211" spans="2:9" x14ac:dyDescent="0.25">
      <c r="B211" s="153"/>
      <c r="C211" s="150"/>
      <c r="D211" s="141" t="s">
        <v>495</v>
      </c>
      <c r="E211" s="141" t="s">
        <v>75</v>
      </c>
      <c r="F211" s="158">
        <v>1998</v>
      </c>
      <c r="G211" s="189">
        <v>1</v>
      </c>
      <c r="H211" s="175">
        <v>84</v>
      </c>
      <c r="I211" s="176">
        <v>429</v>
      </c>
    </row>
    <row r="212" spans="2:9" x14ac:dyDescent="0.25">
      <c r="B212" s="153"/>
      <c r="C212" s="150"/>
      <c r="D212" s="141" t="s">
        <v>573</v>
      </c>
      <c r="E212" s="141" t="s">
        <v>603</v>
      </c>
      <c r="F212" s="159">
        <v>41761</v>
      </c>
      <c r="G212" s="189">
        <v>1</v>
      </c>
      <c r="H212" s="175">
        <v>17.579999999999998</v>
      </c>
      <c r="I212" s="176">
        <v>89.56</v>
      </c>
    </row>
    <row r="213" spans="2:9" x14ac:dyDescent="0.25">
      <c r="B213" s="153"/>
      <c r="C213" s="150"/>
      <c r="D213" s="141" t="s">
        <v>433</v>
      </c>
      <c r="E213" s="141" t="s">
        <v>72</v>
      </c>
      <c r="F213" s="159">
        <v>40634</v>
      </c>
      <c r="G213" s="189">
        <v>1</v>
      </c>
      <c r="H213" s="175">
        <v>27.617999999999999</v>
      </c>
      <c r="I213" s="176">
        <v>94.47</v>
      </c>
    </row>
    <row r="214" spans="2:9" x14ac:dyDescent="0.25">
      <c r="B214" s="153"/>
      <c r="C214" s="150"/>
      <c r="D214" s="141" t="s">
        <v>346</v>
      </c>
      <c r="E214" s="141" t="s">
        <v>75</v>
      </c>
      <c r="F214" s="158">
        <v>2001</v>
      </c>
      <c r="G214" s="189">
        <v>1</v>
      </c>
      <c r="H214" s="175">
        <v>3.2</v>
      </c>
      <c r="I214" s="176">
        <v>12.5</v>
      </c>
    </row>
    <row r="215" spans="2:9" x14ac:dyDescent="0.25">
      <c r="B215" s="153"/>
      <c r="C215" s="150"/>
      <c r="D215" s="141" t="s">
        <v>179</v>
      </c>
      <c r="E215" s="141" t="s">
        <v>75</v>
      </c>
      <c r="F215" s="158">
        <v>1924</v>
      </c>
      <c r="G215" s="189">
        <v>1</v>
      </c>
      <c r="H215" s="175">
        <v>9.9199999999999997E-2</v>
      </c>
      <c r="I215" s="176">
        <v>0.7</v>
      </c>
    </row>
    <row r="216" spans="2:9" x14ac:dyDescent="0.25">
      <c r="B216" s="153"/>
      <c r="C216" s="150"/>
      <c r="D216" s="141" t="s">
        <v>178</v>
      </c>
      <c r="E216" s="141" t="s">
        <v>75</v>
      </c>
      <c r="F216" s="158">
        <v>1961</v>
      </c>
      <c r="G216" s="189">
        <v>1</v>
      </c>
      <c r="H216" s="175">
        <v>6.78</v>
      </c>
      <c r="I216" s="176">
        <v>50</v>
      </c>
    </row>
    <row r="217" spans="2:9" x14ac:dyDescent="0.25">
      <c r="B217" s="153"/>
      <c r="C217" s="150"/>
      <c r="D217" s="141" t="s">
        <v>394</v>
      </c>
      <c r="E217" s="141" t="s">
        <v>75</v>
      </c>
      <c r="F217" s="158">
        <v>2013</v>
      </c>
      <c r="G217" s="189">
        <v>1</v>
      </c>
      <c r="H217" s="175">
        <v>0.31</v>
      </c>
      <c r="I217" s="176">
        <v>1</v>
      </c>
    </row>
    <row r="218" spans="2:9" x14ac:dyDescent="0.25">
      <c r="B218" s="153"/>
      <c r="C218" s="150"/>
      <c r="D218" s="141" t="s">
        <v>209</v>
      </c>
      <c r="E218" s="141" t="s">
        <v>72</v>
      </c>
      <c r="F218" s="158">
        <v>2005</v>
      </c>
      <c r="G218" s="189">
        <v>1</v>
      </c>
      <c r="H218" s="175">
        <v>100</v>
      </c>
      <c r="I218" s="176">
        <v>423.5</v>
      </c>
    </row>
    <row r="219" spans="2:9" x14ac:dyDescent="0.25">
      <c r="B219" s="153"/>
      <c r="C219" s="150"/>
      <c r="D219" s="141" t="s">
        <v>486</v>
      </c>
      <c r="E219" s="141" t="s">
        <v>72</v>
      </c>
      <c r="F219" s="158">
        <v>2006</v>
      </c>
      <c r="G219" s="189">
        <v>1</v>
      </c>
      <c r="H219" s="175">
        <v>4.17</v>
      </c>
      <c r="I219" s="176">
        <v>15</v>
      </c>
    </row>
    <row r="220" spans="2:9" ht="15.75" thickBot="1" x14ac:dyDescent="0.3">
      <c r="B220" s="154"/>
      <c r="C220" s="151" t="s">
        <v>638</v>
      </c>
      <c r="D220" s="156"/>
      <c r="E220" s="156"/>
      <c r="F220" s="157"/>
      <c r="G220" s="190">
        <v>10</v>
      </c>
      <c r="H220" s="177">
        <v>245.11719999999997</v>
      </c>
      <c r="I220" s="178">
        <v>1119.73</v>
      </c>
    </row>
    <row r="221" spans="2:9" x14ac:dyDescent="0.25">
      <c r="B221" s="152" t="s">
        <v>104</v>
      </c>
      <c r="C221" s="149" t="s">
        <v>61</v>
      </c>
      <c r="D221" s="160" t="s">
        <v>214</v>
      </c>
      <c r="E221" s="160" t="s">
        <v>75</v>
      </c>
      <c r="F221" s="161">
        <v>1999</v>
      </c>
      <c r="G221" s="191">
        <v>1</v>
      </c>
      <c r="H221" s="173">
        <v>2.1259999999999999</v>
      </c>
      <c r="I221" s="174">
        <v>11.435</v>
      </c>
    </row>
    <row r="222" spans="2:9" x14ac:dyDescent="0.25">
      <c r="B222" s="153"/>
      <c r="C222" s="150"/>
      <c r="D222" s="141" t="s">
        <v>215</v>
      </c>
      <c r="E222" s="141" t="s">
        <v>75</v>
      </c>
      <c r="F222" s="158">
        <v>2000</v>
      </c>
      <c r="G222" s="189">
        <v>1</v>
      </c>
      <c r="H222" s="175">
        <v>2.4980000000000002</v>
      </c>
      <c r="I222" s="176">
        <v>11.307</v>
      </c>
    </row>
    <row r="223" spans="2:9" x14ac:dyDescent="0.25">
      <c r="B223" s="153"/>
      <c r="C223" s="150"/>
      <c r="D223" s="141" t="s">
        <v>499</v>
      </c>
      <c r="E223" s="141" t="s">
        <v>75</v>
      </c>
      <c r="F223" s="158">
        <v>2007</v>
      </c>
      <c r="G223" s="189">
        <v>1</v>
      </c>
      <c r="H223" s="175">
        <v>4.0819999999999999</v>
      </c>
      <c r="I223" s="176">
        <v>24.306999999999999</v>
      </c>
    </row>
    <row r="224" spans="2:9" x14ac:dyDescent="0.25">
      <c r="B224" s="153"/>
      <c r="C224" s="150"/>
      <c r="D224" s="141" t="s">
        <v>500</v>
      </c>
      <c r="E224" s="141" t="s">
        <v>75</v>
      </c>
      <c r="F224" s="158">
        <v>2007</v>
      </c>
      <c r="G224" s="189">
        <v>1</v>
      </c>
      <c r="H224" s="175">
        <v>3.69</v>
      </c>
      <c r="I224" s="176">
        <v>23.103999999999999</v>
      </c>
    </row>
    <row r="225" spans="2:9" x14ac:dyDescent="0.25">
      <c r="B225" s="153"/>
      <c r="C225" s="150"/>
      <c r="D225" s="141" t="s">
        <v>437</v>
      </c>
      <c r="E225" s="141" t="s">
        <v>72</v>
      </c>
      <c r="F225" s="159">
        <v>41485</v>
      </c>
      <c r="G225" s="189">
        <v>1</v>
      </c>
      <c r="H225" s="175">
        <v>25</v>
      </c>
      <c r="I225" s="176">
        <v>80</v>
      </c>
    </row>
    <row r="226" spans="2:9" x14ac:dyDescent="0.25">
      <c r="B226" s="153"/>
      <c r="C226" s="150"/>
      <c r="D226" s="141" t="s">
        <v>261</v>
      </c>
      <c r="E226" s="141" t="s">
        <v>75</v>
      </c>
      <c r="F226" s="159">
        <v>41313</v>
      </c>
      <c r="G226" s="189">
        <v>1</v>
      </c>
      <c r="H226" s="175">
        <v>19.03</v>
      </c>
      <c r="I226" s="176">
        <v>70</v>
      </c>
    </row>
    <row r="227" spans="2:9" x14ac:dyDescent="0.25">
      <c r="B227" s="153"/>
      <c r="C227" s="150"/>
      <c r="D227" s="141" t="s">
        <v>577</v>
      </c>
      <c r="E227" s="141" t="s">
        <v>603</v>
      </c>
      <c r="F227" s="159">
        <v>41963</v>
      </c>
      <c r="G227" s="189">
        <v>1</v>
      </c>
      <c r="H227" s="175">
        <v>7.52</v>
      </c>
      <c r="I227" s="176">
        <v>19.669</v>
      </c>
    </row>
    <row r="228" spans="2:9" x14ac:dyDescent="0.25">
      <c r="B228" s="153"/>
      <c r="C228" s="150"/>
      <c r="D228" s="141" t="s">
        <v>578</v>
      </c>
      <c r="E228" s="141" t="s">
        <v>603</v>
      </c>
      <c r="F228" s="159">
        <v>41704</v>
      </c>
      <c r="G228" s="189">
        <v>1</v>
      </c>
      <c r="H228" s="175">
        <v>8.9700000000000006</v>
      </c>
      <c r="I228" s="176">
        <v>25.913</v>
      </c>
    </row>
    <row r="229" spans="2:9" x14ac:dyDescent="0.25">
      <c r="B229" s="153"/>
      <c r="C229" s="150"/>
      <c r="D229" s="141" t="s">
        <v>501</v>
      </c>
      <c r="E229" s="141" t="s">
        <v>75</v>
      </c>
      <c r="F229" s="158">
        <v>2009</v>
      </c>
      <c r="G229" s="189">
        <v>1</v>
      </c>
      <c r="H229" s="175">
        <v>1.05</v>
      </c>
      <c r="I229" s="176">
        <v>4</v>
      </c>
    </row>
    <row r="230" spans="2:9" x14ac:dyDescent="0.25">
      <c r="B230" s="153"/>
      <c r="C230" s="150"/>
      <c r="D230" s="141" t="s">
        <v>502</v>
      </c>
      <c r="E230" s="141" t="s">
        <v>75</v>
      </c>
      <c r="F230" s="158">
        <v>2007</v>
      </c>
      <c r="G230" s="189">
        <v>1</v>
      </c>
      <c r="H230" s="175">
        <v>4.016</v>
      </c>
      <c r="I230" s="176">
        <v>25.16</v>
      </c>
    </row>
    <row r="231" spans="2:9" x14ac:dyDescent="0.25">
      <c r="B231" s="153"/>
      <c r="C231" s="150"/>
      <c r="D231" s="141" t="s">
        <v>220</v>
      </c>
      <c r="E231" s="141" t="s">
        <v>75</v>
      </c>
      <c r="F231" s="158">
        <v>2009</v>
      </c>
      <c r="G231" s="189">
        <v>1</v>
      </c>
      <c r="H231" s="175">
        <v>63</v>
      </c>
      <c r="I231" s="176">
        <v>330</v>
      </c>
    </row>
    <row r="232" spans="2:9" x14ac:dyDescent="0.25">
      <c r="B232" s="153"/>
      <c r="C232" s="150"/>
      <c r="D232" s="141" t="s">
        <v>545</v>
      </c>
      <c r="E232" s="141" t="s">
        <v>72</v>
      </c>
      <c r="F232" s="158">
        <v>2010</v>
      </c>
      <c r="G232" s="189">
        <v>1</v>
      </c>
      <c r="H232" s="175">
        <v>8.68</v>
      </c>
      <c r="I232" s="176">
        <v>41</v>
      </c>
    </row>
    <row r="233" spans="2:9" x14ac:dyDescent="0.25">
      <c r="B233" s="153"/>
      <c r="C233" s="150"/>
      <c r="D233" s="141" t="s">
        <v>360</v>
      </c>
      <c r="E233" s="141" t="s">
        <v>75</v>
      </c>
      <c r="F233" s="159">
        <v>40991</v>
      </c>
      <c r="G233" s="189">
        <v>1</v>
      </c>
      <c r="H233" s="175">
        <v>6.56</v>
      </c>
      <c r="I233" s="176">
        <v>23.36</v>
      </c>
    </row>
    <row r="234" spans="2:9" x14ac:dyDescent="0.25">
      <c r="B234" s="153"/>
      <c r="C234" s="150"/>
      <c r="D234" s="141" t="s">
        <v>365</v>
      </c>
      <c r="E234" s="141" t="s">
        <v>75</v>
      </c>
      <c r="F234" s="158">
        <v>2011</v>
      </c>
      <c r="G234" s="189">
        <v>1</v>
      </c>
      <c r="H234" s="175">
        <v>25.49</v>
      </c>
      <c r="I234" s="176">
        <v>101.49</v>
      </c>
    </row>
    <row r="235" spans="2:9" x14ac:dyDescent="0.25">
      <c r="B235" s="153"/>
      <c r="C235" s="150"/>
      <c r="D235" s="141" t="s">
        <v>503</v>
      </c>
      <c r="E235" s="141" t="s">
        <v>75</v>
      </c>
      <c r="F235" s="158">
        <v>2009</v>
      </c>
      <c r="G235" s="189">
        <v>1</v>
      </c>
      <c r="H235" s="175">
        <v>5.7140000000000004</v>
      </c>
      <c r="I235" s="176">
        <v>25</v>
      </c>
    </row>
    <row r="236" spans="2:9" x14ac:dyDescent="0.25">
      <c r="B236" s="153"/>
      <c r="C236" s="150"/>
      <c r="D236" s="141" t="s">
        <v>388</v>
      </c>
      <c r="E236" s="141" t="s">
        <v>75</v>
      </c>
      <c r="F236" s="158">
        <v>2011</v>
      </c>
      <c r="G236" s="189">
        <v>1</v>
      </c>
      <c r="H236" s="175">
        <v>1.605</v>
      </c>
      <c r="I236" s="176">
        <v>7.8609999999999998</v>
      </c>
    </row>
    <row r="237" spans="2:9" x14ac:dyDescent="0.25">
      <c r="B237" s="153"/>
      <c r="C237" s="150"/>
      <c r="D237" s="141" t="s">
        <v>595</v>
      </c>
      <c r="E237" s="141" t="s">
        <v>603</v>
      </c>
      <c r="F237" s="159">
        <v>41957</v>
      </c>
      <c r="G237" s="189">
        <v>1</v>
      </c>
      <c r="H237" s="175">
        <v>11.7</v>
      </c>
      <c r="I237" s="176">
        <v>42.789000000000001</v>
      </c>
    </row>
    <row r="238" spans="2:9" x14ac:dyDescent="0.25">
      <c r="B238" s="153"/>
      <c r="C238" s="150"/>
      <c r="D238" s="141" t="s">
        <v>404</v>
      </c>
      <c r="E238" s="141" t="s">
        <v>75</v>
      </c>
      <c r="F238" s="158">
        <v>2009</v>
      </c>
      <c r="G238" s="189">
        <v>1</v>
      </c>
      <c r="H238" s="175">
        <v>14.000999999999999</v>
      </c>
      <c r="I238" s="176">
        <v>56.16</v>
      </c>
    </row>
    <row r="239" spans="2:9" ht="15.75" thickBot="1" x14ac:dyDescent="0.3">
      <c r="B239" s="154"/>
      <c r="C239" s="151" t="s">
        <v>639</v>
      </c>
      <c r="D239" s="156"/>
      <c r="E239" s="156"/>
      <c r="F239" s="157"/>
      <c r="G239" s="190">
        <v>18</v>
      </c>
      <c r="H239" s="177">
        <v>214.732</v>
      </c>
      <c r="I239" s="178">
        <v>922.55499999999995</v>
      </c>
    </row>
    <row r="240" spans="2:9" x14ac:dyDescent="0.25">
      <c r="B240" s="152" t="s">
        <v>105</v>
      </c>
      <c r="C240" s="149" t="s">
        <v>67</v>
      </c>
      <c r="D240" s="160" t="s">
        <v>382</v>
      </c>
      <c r="E240" s="160" t="s">
        <v>75</v>
      </c>
      <c r="F240" s="161">
        <v>2011</v>
      </c>
      <c r="G240" s="191">
        <v>1</v>
      </c>
      <c r="H240" s="173">
        <v>33</v>
      </c>
      <c r="I240" s="174">
        <v>141</v>
      </c>
    </row>
    <row r="241" spans="2:9" ht="15.75" thickBot="1" x14ac:dyDescent="0.3">
      <c r="B241" s="154"/>
      <c r="C241" s="151" t="s">
        <v>640</v>
      </c>
      <c r="D241" s="156"/>
      <c r="E241" s="156"/>
      <c r="F241" s="157"/>
      <c r="G241" s="190">
        <v>1</v>
      </c>
      <c r="H241" s="177">
        <v>33</v>
      </c>
      <c r="I241" s="178">
        <v>141</v>
      </c>
    </row>
    <row r="242" spans="2:9" x14ac:dyDescent="0.25">
      <c r="B242" s="152" t="s">
        <v>137</v>
      </c>
      <c r="C242" s="149" t="s">
        <v>38</v>
      </c>
      <c r="D242" s="160" t="s">
        <v>579</v>
      </c>
      <c r="E242" s="160" t="s">
        <v>603</v>
      </c>
      <c r="F242" s="163">
        <v>41985</v>
      </c>
      <c r="G242" s="191">
        <v>1</v>
      </c>
      <c r="H242" s="173">
        <v>35.186</v>
      </c>
      <c r="I242" s="174">
        <v>110</v>
      </c>
    </row>
    <row r="243" spans="2:9" x14ac:dyDescent="0.25">
      <c r="B243" s="153"/>
      <c r="C243" s="150"/>
      <c r="D243" s="141" t="s">
        <v>587</v>
      </c>
      <c r="E243" s="141" t="s">
        <v>603</v>
      </c>
      <c r="F243" s="159">
        <v>41957</v>
      </c>
      <c r="G243" s="189">
        <v>1</v>
      </c>
      <c r="H243" s="175">
        <v>21.315000000000001</v>
      </c>
      <c r="I243" s="176">
        <v>83.54</v>
      </c>
    </row>
    <row r="244" spans="2:9" x14ac:dyDescent="0.25">
      <c r="B244" s="153"/>
      <c r="C244" s="150"/>
      <c r="D244" s="141" t="s">
        <v>557</v>
      </c>
      <c r="E244" s="141" t="s">
        <v>75</v>
      </c>
      <c r="F244" s="158">
        <v>2009</v>
      </c>
      <c r="G244" s="189">
        <v>1</v>
      </c>
      <c r="H244" s="175">
        <v>14.835000000000001</v>
      </c>
      <c r="I244" s="176">
        <v>56.89</v>
      </c>
    </row>
    <row r="245" spans="2:9" ht="15.75" thickBot="1" x14ac:dyDescent="0.3">
      <c r="B245" s="154"/>
      <c r="C245" s="151" t="s">
        <v>641</v>
      </c>
      <c r="D245" s="156"/>
      <c r="E245" s="156"/>
      <c r="F245" s="157"/>
      <c r="G245" s="190">
        <v>3</v>
      </c>
      <c r="H245" s="177">
        <v>71.336000000000013</v>
      </c>
      <c r="I245" s="178">
        <v>250.43</v>
      </c>
    </row>
    <row r="246" spans="2:9" x14ac:dyDescent="0.25">
      <c r="B246" s="152" t="s">
        <v>138</v>
      </c>
      <c r="C246" s="149" t="s">
        <v>13</v>
      </c>
      <c r="D246" s="160" t="s">
        <v>237</v>
      </c>
      <c r="E246" s="160" t="s">
        <v>75</v>
      </c>
      <c r="F246" s="161">
        <v>2010</v>
      </c>
      <c r="G246" s="191">
        <v>1</v>
      </c>
      <c r="H246" s="173">
        <v>6.85</v>
      </c>
      <c r="I246" s="174">
        <v>21.5</v>
      </c>
    </row>
    <row r="247" spans="2:9" x14ac:dyDescent="0.25">
      <c r="B247" s="153"/>
      <c r="C247" s="150"/>
      <c r="D247" s="141" t="s">
        <v>191</v>
      </c>
      <c r="E247" s="141" t="s">
        <v>75</v>
      </c>
      <c r="F247" s="158">
        <v>1950</v>
      </c>
      <c r="G247" s="189">
        <v>1</v>
      </c>
      <c r="H247" s="175">
        <v>0.46400000000000002</v>
      </c>
      <c r="I247" s="176">
        <v>2.5</v>
      </c>
    </row>
    <row r="248" spans="2:9" ht="15.75" thickBot="1" x14ac:dyDescent="0.3">
      <c r="B248" s="154"/>
      <c r="C248" s="151" t="s">
        <v>642</v>
      </c>
      <c r="D248" s="156"/>
      <c r="E248" s="156"/>
      <c r="F248" s="157"/>
      <c r="G248" s="190">
        <v>2</v>
      </c>
      <c r="H248" s="177">
        <v>7.3140000000000001</v>
      </c>
      <c r="I248" s="178">
        <v>24</v>
      </c>
    </row>
    <row r="249" spans="2:9" x14ac:dyDescent="0.25">
      <c r="B249" s="152" t="s">
        <v>106</v>
      </c>
      <c r="C249" s="149" t="s">
        <v>41</v>
      </c>
      <c r="D249" s="160" t="s">
        <v>227</v>
      </c>
      <c r="E249" s="160" t="s">
        <v>75</v>
      </c>
      <c r="F249" s="163">
        <v>41319</v>
      </c>
      <c r="G249" s="191">
        <v>1</v>
      </c>
      <c r="H249" s="173">
        <v>4.4000000000000004</v>
      </c>
      <c r="I249" s="174">
        <v>14.41</v>
      </c>
    </row>
    <row r="250" spans="2:9" x14ac:dyDescent="0.25">
      <c r="B250" s="153"/>
      <c r="C250" s="150"/>
      <c r="D250" s="141" t="s">
        <v>243</v>
      </c>
      <c r="E250" s="141" t="s">
        <v>75</v>
      </c>
      <c r="F250" s="159">
        <v>41535</v>
      </c>
      <c r="G250" s="189">
        <v>1</v>
      </c>
      <c r="H250" s="175">
        <v>9.3800000000000008</v>
      </c>
      <c r="I250" s="176">
        <v>23.58</v>
      </c>
    </row>
    <row r="251" spans="2:9" x14ac:dyDescent="0.25">
      <c r="B251" s="153"/>
      <c r="C251" s="150"/>
      <c r="D251" s="141" t="s">
        <v>398</v>
      </c>
      <c r="E251" s="141" t="s">
        <v>75</v>
      </c>
      <c r="F251" s="158">
        <v>2011</v>
      </c>
      <c r="G251" s="189">
        <v>1</v>
      </c>
      <c r="H251" s="175">
        <v>5.8</v>
      </c>
      <c r="I251" s="176">
        <v>14</v>
      </c>
    </row>
    <row r="252" spans="2:9" x14ac:dyDescent="0.25">
      <c r="B252" s="153"/>
      <c r="C252" s="150"/>
      <c r="D252" s="141" t="s">
        <v>598</v>
      </c>
      <c r="E252" s="141" t="s">
        <v>603</v>
      </c>
      <c r="F252" s="159">
        <v>41775</v>
      </c>
      <c r="G252" s="189">
        <v>1</v>
      </c>
      <c r="H252" s="175">
        <v>5.4219999999999997</v>
      </c>
      <c r="I252" s="176">
        <v>18.61</v>
      </c>
    </row>
    <row r="253" spans="2:9" ht="15.75" thickBot="1" x14ac:dyDescent="0.3">
      <c r="B253" s="154"/>
      <c r="C253" s="151" t="s">
        <v>643</v>
      </c>
      <c r="D253" s="156"/>
      <c r="E253" s="156"/>
      <c r="F253" s="157"/>
      <c r="G253" s="190">
        <v>4</v>
      </c>
      <c r="H253" s="177">
        <v>25.002000000000002</v>
      </c>
      <c r="I253" s="178">
        <v>70.599999999999994</v>
      </c>
    </row>
    <row r="254" spans="2:9" x14ac:dyDescent="0.25">
      <c r="B254" s="152" t="s">
        <v>107</v>
      </c>
      <c r="C254" s="149" t="s">
        <v>21</v>
      </c>
      <c r="D254" s="160" t="s">
        <v>402</v>
      </c>
      <c r="E254" s="160" t="s">
        <v>75</v>
      </c>
      <c r="F254" s="161">
        <v>2009</v>
      </c>
      <c r="G254" s="191">
        <v>1</v>
      </c>
      <c r="H254" s="173">
        <v>1.06</v>
      </c>
      <c r="I254" s="174">
        <v>5</v>
      </c>
    </row>
    <row r="255" spans="2:9" ht="15.75" thickBot="1" x14ac:dyDescent="0.3">
      <c r="B255" s="154"/>
      <c r="C255" s="151" t="s">
        <v>644</v>
      </c>
      <c r="D255" s="156"/>
      <c r="E255" s="156"/>
      <c r="F255" s="157"/>
      <c r="G255" s="190">
        <v>1</v>
      </c>
      <c r="H255" s="177">
        <v>1.06</v>
      </c>
      <c r="I255" s="178">
        <v>5</v>
      </c>
    </row>
    <row r="256" spans="2:9" x14ac:dyDescent="0.25">
      <c r="B256" s="152" t="s">
        <v>108</v>
      </c>
      <c r="C256" s="149" t="s">
        <v>60</v>
      </c>
      <c r="D256" s="160" t="s">
        <v>236</v>
      </c>
      <c r="E256" s="160" t="s">
        <v>75</v>
      </c>
      <c r="F256" s="161">
        <v>2012</v>
      </c>
      <c r="G256" s="191">
        <v>1</v>
      </c>
      <c r="H256" s="173">
        <v>8.58</v>
      </c>
      <c r="I256" s="174">
        <v>30.03</v>
      </c>
    </row>
    <row r="257" spans="2:9" x14ac:dyDescent="0.25">
      <c r="B257" s="153"/>
      <c r="C257" s="150"/>
      <c r="D257" s="141" t="s">
        <v>421</v>
      </c>
      <c r="E257" s="141" t="s">
        <v>72</v>
      </c>
      <c r="F257" s="158">
        <v>2012</v>
      </c>
      <c r="G257" s="189">
        <v>1</v>
      </c>
      <c r="H257" s="175">
        <v>513</v>
      </c>
      <c r="I257" s="176">
        <v>1470</v>
      </c>
    </row>
    <row r="258" spans="2:9" x14ac:dyDescent="0.25">
      <c r="B258" s="153"/>
      <c r="C258" s="150"/>
      <c r="D258" s="141" t="s">
        <v>282</v>
      </c>
      <c r="E258" s="141" t="s">
        <v>75</v>
      </c>
      <c r="F258" s="158">
        <v>2012</v>
      </c>
      <c r="G258" s="189">
        <v>1</v>
      </c>
      <c r="H258" s="175">
        <v>6.45</v>
      </c>
      <c r="I258" s="176">
        <v>20</v>
      </c>
    </row>
    <row r="259" spans="2:9" x14ac:dyDescent="0.25">
      <c r="B259" s="153"/>
      <c r="C259" s="150"/>
      <c r="D259" s="141" t="s">
        <v>298</v>
      </c>
      <c r="E259" s="141" t="s">
        <v>75</v>
      </c>
      <c r="F259" s="158">
        <v>2009</v>
      </c>
      <c r="G259" s="189">
        <v>1</v>
      </c>
      <c r="H259" s="175">
        <v>8.1</v>
      </c>
      <c r="I259" s="176">
        <v>40</v>
      </c>
    </row>
    <row r="260" spans="2:9" ht="15.75" thickBot="1" x14ac:dyDescent="0.3">
      <c r="B260" s="154"/>
      <c r="C260" s="151" t="s">
        <v>645</v>
      </c>
      <c r="D260" s="156"/>
      <c r="E260" s="156"/>
      <c r="F260" s="157"/>
      <c r="G260" s="190">
        <v>4</v>
      </c>
      <c r="H260" s="177">
        <v>536.13000000000011</v>
      </c>
      <c r="I260" s="178">
        <v>1560.03</v>
      </c>
    </row>
    <row r="261" spans="2:9" x14ac:dyDescent="0.25">
      <c r="B261" s="152" t="s">
        <v>109</v>
      </c>
      <c r="C261" s="149" t="s">
        <v>58</v>
      </c>
      <c r="D261" s="160" t="s">
        <v>196</v>
      </c>
      <c r="E261" s="160" t="s">
        <v>72</v>
      </c>
      <c r="F261" s="161">
        <v>1989</v>
      </c>
      <c r="G261" s="191">
        <v>1</v>
      </c>
      <c r="H261" s="173">
        <v>5.5</v>
      </c>
      <c r="I261" s="174">
        <v>8</v>
      </c>
    </row>
    <row r="262" spans="2:9" x14ac:dyDescent="0.25">
      <c r="B262" s="153"/>
      <c r="C262" s="150"/>
      <c r="D262" s="141" t="s">
        <v>434</v>
      </c>
      <c r="E262" s="141" t="s">
        <v>75</v>
      </c>
      <c r="F262" s="159">
        <v>41151</v>
      </c>
      <c r="G262" s="189">
        <v>1</v>
      </c>
      <c r="H262" s="175">
        <v>11.31</v>
      </c>
      <c r="I262" s="176">
        <v>62.768000000000001</v>
      </c>
    </row>
    <row r="263" spans="2:9" x14ac:dyDescent="0.25">
      <c r="B263" s="153"/>
      <c r="C263" s="150"/>
      <c r="D263" s="141" t="s">
        <v>343</v>
      </c>
      <c r="E263" s="141" t="s">
        <v>75</v>
      </c>
      <c r="F263" s="158">
        <v>2011</v>
      </c>
      <c r="G263" s="189">
        <v>1</v>
      </c>
      <c r="H263" s="175">
        <v>17.5</v>
      </c>
      <c r="I263" s="176">
        <v>97.7</v>
      </c>
    </row>
    <row r="264" spans="2:9" x14ac:dyDescent="0.25">
      <c r="B264" s="153"/>
      <c r="C264" s="150"/>
      <c r="D264" s="141" t="s">
        <v>155</v>
      </c>
      <c r="E264" s="141" t="s">
        <v>75</v>
      </c>
      <c r="F264" s="158">
        <v>1954</v>
      </c>
      <c r="G264" s="189">
        <v>1</v>
      </c>
      <c r="H264" s="175">
        <v>0.4</v>
      </c>
      <c r="I264" s="176">
        <v>1.5</v>
      </c>
    </row>
    <row r="265" spans="2:9" ht="15.75" thickBot="1" x14ac:dyDescent="0.3">
      <c r="B265" s="154"/>
      <c r="C265" s="151" t="s">
        <v>646</v>
      </c>
      <c r="D265" s="156"/>
      <c r="E265" s="156"/>
      <c r="F265" s="157"/>
      <c r="G265" s="190">
        <v>4</v>
      </c>
      <c r="H265" s="177">
        <v>34.71</v>
      </c>
      <c r="I265" s="178">
        <v>169.96800000000002</v>
      </c>
    </row>
    <row r="266" spans="2:9" x14ac:dyDescent="0.25">
      <c r="B266" s="152" t="s">
        <v>110</v>
      </c>
      <c r="C266" s="149" t="s">
        <v>63</v>
      </c>
      <c r="D266" s="160" t="s">
        <v>349</v>
      </c>
      <c r="E266" s="160" t="s">
        <v>75</v>
      </c>
      <c r="F266" s="163">
        <v>41068</v>
      </c>
      <c r="G266" s="191">
        <v>1</v>
      </c>
      <c r="H266" s="173">
        <v>40.15</v>
      </c>
      <c r="I266" s="174">
        <v>248</v>
      </c>
    </row>
    <row r="267" spans="2:9" x14ac:dyDescent="0.25">
      <c r="B267" s="153"/>
      <c r="C267" s="150"/>
      <c r="D267" s="141" t="s">
        <v>546</v>
      </c>
      <c r="E267" s="141" t="s">
        <v>75</v>
      </c>
      <c r="F267" s="158" t="s">
        <v>1</v>
      </c>
      <c r="G267" s="189">
        <v>1</v>
      </c>
      <c r="H267" s="175">
        <v>64.28</v>
      </c>
      <c r="I267" s="176">
        <v>450</v>
      </c>
    </row>
    <row r="268" spans="2:9" x14ac:dyDescent="0.25">
      <c r="B268" s="153"/>
      <c r="C268" s="150"/>
      <c r="D268" s="141" t="s">
        <v>474</v>
      </c>
      <c r="E268" s="141" t="s">
        <v>72</v>
      </c>
      <c r="F268" s="159">
        <v>40921</v>
      </c>
      <c r="G268" s="189">
        <v>1</v>
      </c>
      <c r="H268" s="175">
        <v>37.19</v>
      </c>
      <c r="I268" s="176">
        <v>100.8</v>
      </c>
    </row>
    <row r="269" spans="2:9" x14ac:dyDescent="0.25">
      <c r="B269" s="153"/>
      <c r="C269" s="150"/>
      <c r="D269" s="141" t="s">
        <v>482</v>
      </c>
      <c r="E269" s="141" t="s">
        <v>75</v>
      </c>
      <c r="F269" s="159">
        <v>41263</v>
      </c>
      <c r="G269" s="189">
        <v>1</v>
      </c>
      <c r="H269" s="175">
        <v>14.25</v>
      </c>
      <c r="I269" s="176">
        <v>35.1</v>
      </c>
    </row>
    <row r="270" spans="2:9" ht="15.75" thickBot="1" x14ac:dyDescent="0.3">
      <c r="B270" s="154"/>
      <c r="C270" s="151" t="s">
        <v>647</v>
      </c>
      <c r="D270" s="156"/>
      <c r="E270" s="156"/>
      <c r="F270" s="157"/>
      <c r="G270" s="190">
        <v>4</v>
      </c>
      <c r="H270" s="177">
        <v>155.87</v>
      </c>
      <c r="I270" s="178">
        <v>833.9</v>
      </c>
    </row>
    <row r="271" spans="2:9" x14ac:dyDescent="0.25">
      <c r="B271" s="152" t="s">
        <v>111</v>
      </c>
      <c r="C271" s="149" t="s">
        <v>22</v>
      </c>
      <c r="D271" s="160" t="s">
        <v>294</v>
      </c>
      <c r="E271" s="160" t="s">
        <v>75</v>
      </c>
      <c r="F271" s="163">
        <v>40709</v>
      </c>
      <c r="G271" s="191">
        <v>1</v>
      </c>
      <c r="H271" s="173">
        <v>2.8690000000000002</v>
      </c>
      <c r="I271" s="174">
        <v>13.2</v>
      </c>
    </row>
    <row r="272" spans="2:9" x14ac:dyDescent="0.25">
      <c r="B272" s="153"/>
      <c r="C272" s="150"/>
      <c r="D272" s="141" t="s">
        <v>307</v>
      </c>
      <c r="E272" s="141" t="s">
        <v>75</v>
      </c>
      <c r="F272" s="159">
        <v>40641</v>
      </c>
      <c r="G272" s="189">
        <v>1</v>
      </c>
      <c r="H272" s="175">
        <v>14.5</v>
      </c>
      <c r="I272" s="176">
        <v>48</v>
      </c>
    </row>
    <row r="273" spans="2:9" x14ac:dyDescent="0.25">
      <c r="B273" s="153"/>
      <c r="C273" s="150"/>
      <c r="D273" s="141" t="s">
        <v>359</v>
      </c>
      <c r="E273" s="141" t="s">
        <v>75</v>
      </c>
      <c r="F273" s="159">
        <v>41319</v>
      </c>
      <c r="G273" s="189">
        <v>1</v>
      </c>
      <c r="H273" s="175">
        <v>18.68</v>
      </c>
      <c r="I273" s="176">
        <v>150</v>
      </c>
    </row>
    <row r="274" spans="2:9" ht="15.75" thickBot="1" x14ac:dyDescent="0.3">
      <c r="B274" s="154"/>
      <c r="C274" s="151" t="s">
        <v>648</v>
      </c>
      <c r="D274" s="156"/>
      <c r="E274" s="156"/>
      <c r="F274" s="157"/>
      <c r="G274" s="190">
        <v>3</v>
      </c>
      <c r="H274" s="177">
        <v>36.048999999999999</v>
      </c>
      <c r="I274" s="178">
        <v>211.2</v>
      </c>
    </row>
    <row r="275" spans="2:9" x14ac:dyDescent="0.25">
      <c r="B275" s="152" t="s">
        <v>112</v>
      </c>
      <c r="C275" s="149" t="s">
        <v>6</v>
      </c>
      <c r="D275" s="160" t="s">
        <v>241</v>
      </c>
      <c r="E275" s="160" t="s">
        <v>75</v>
      </c>
      <c r="F275" s="161">
        <v>2012</v>
      </c>
      <c r="G275" s="191">
        <v>1</v>
      </c>
      <c r="H275" s="173">
        <v>3.6</v>
      </c>
      <c r="I275" s="174">
        <v>19.286999999999999</v>
      </c>
    </row>
    <row r="276" spans="2:9" x14ac:dyDescent="0.25">
      <c r="B276" s="153"/>
      <c r="C276" s="150"/>
      <c r="D276" s="141" t="s">
        <v>523</v>
      </c>
      <c r="E276" s="141" t="s">
        <v>75</v>
      </c>
      <c r="F276" s="159">
        <v>41347</v>
      </c>
      <c r="G276" s="189">
        <v>1</v>
      </c>
      <c r="H276" s="175">
        <v>5.39</v>
      </c>
      <c r="I276" s="176">
        <v>20.07</v>
      </c>
    </row>
    <row r="277" spans="2:9" x14ac:dyDescent="0.25">
      <c r="B277" s="153"/>
      <c r="C277" s="150"/>
      <c r="D277" s="141" t="s">
        <v>524</v>
      </c>
      <c r="E277" s="141" t="s">
        <v>75</v>
      </c>
      <c r="F277" s="159">
        <v>40599</v>
      </c>
      <c r="G277" s="189">
        <v>1</v>
      </c>
      <c r="H277" s="175">
        <v>4.6900000000000004</v>
      </c>
      <c r="I277" s="176">
        <v>16</v>
      </c>
    </row>
    <row r="278" spans="2:9" x14ac:dyDescent="0.25">
      <c r="B278" s="153"/>
      <c r="C278" s="150"/>
      <c r="D278" s="141" t="s">
        <v>156</v>
      </c>
      <c r="E278" s="141" t="s">
        <v>78</v>
      </c>
      <c r="F278" s="158">
        <v>1955</v>
      </c>
      <c r="G278" s="189">
        <v>1</v>
      </c>
      <c r="H278" s="175">
        <v>0.8</v>
      </c>
      <c r="I278" s="176">
        <v>3</v>
      </c>
    </row>
    <row r="279" spans="2:9" x14ac:dyDescent="0.25">
      <c r="B279" s="153"/>
      <c r="C279" s="150"/>
      <c r="D279" s="141" t="s">
        <v>311</v>
      </c>
      <c r="E279" s="141" t="s">
        <v>75</v>
      </c>
      <c r="F279" s="159">
        <v>41312</v>
      </c>
      <c r="G279" s="189">
        <v>1</v>
      </c>
      <c r="H279" s="175">
        <v>29.25</v>
      </c>
      <c r="I279" s="176">
        <v>108</v>
      </c>
    </row>
    <row r="280" spans="2:9" x14ac:dyDescent="0.25">
      <c r="B280" s="153"/>
      <c r="C280" s="150"/>
      <c r="D280" s="141" t="s">
        <v>461</v>
      </c>
      <c r="E280" s="141" t="s">
        <v>75</v>
      </c>
      <c r="F280" s="158">
        <v>2012</v>
      </c>
      <c r="G280" s="189">
        <v>1</v>
      </c>
      <c r="H280" s="175">
        <v>32.548000000000002</v>
      </c>
      <c r="I280" s="176">
        <v>125</v>
      </c>
    </row>
    <row r="281" spans="2:9" x14ac:dyDescent="0.25">
      <c r="B281" s="153"/>
      <c r="C281" s="150"/>
      <c r="D281" s="141" t="s">
        <v>352</v>
      </c>
      <c r="E281" s="141" t="s">
        <v>75</v>
      </c>
      <c r="F281" s="159">
        <v>41310</v>
      </c>
      <c r="G281" s="189">
        <v>1</v>
      </c>
      <c r="H281" s="175">
        <v>9.0299999999999994</v>
      </c>
      <c r="I281" s="176">
        <v>31</v>
      </c>
    </row>
    <row r="282" spans="2:9" x14ac:dyDescent="0.25">
      <c r="B282" s="153"/>
      <c r="C282" s="150"/>
      <c r="D282" s="141" t="s">
        <v>380</v>
      </c>
      <c r="E282" s="141" t="s">
        <v>75</v>
      </c>
      <c r="F282" s="158">
        <v>2009</v>
      </c>
      <c r="G282" s="189">
        <v>1</v>
      </c>
      <c r="H282" s="175">
        <v>1.98</v>
      </c>
      <c r="I282" s="176">
        <v>10.08</v>
      </c>
    </row>
    <row r="283" spans="2:9" x14ac:dyDescent="0.25">
      <c r="B283" s="153"/>
      <c r="C283" s="150"/>
      <c r="D283" s="141" t="s">
        <v>558</v>
      </c>
      <c r="E283" s="141" t="s">
        <v>72</v>
      </c>
      <c r="F283" s="159">
        <v>41285</v>
      </c>
      <c r="G283" s="189">
        <v>1</v>
      </c>
      <c r="H283" s="175">
        <v>24.28</v>
      </c>
      <c r="I283" s="176">
        <v>71.39</v>
      </c>
    </row>
    <row r="284" spans="2:9" x14ac:dyDescent="0.25">
      <c r="B284" s="153"/>
      <c r="C284" s="150"/>
      <c r="D284" s="141" t="s">
        <v>488</v>
      </c>
      <c r="E284" s="141" t="s">
        <v>75</v>
      </c>
      <c r="F284" s="159">
        <v>40636</v>
      </c>
      <c r="G284" s="189">
        <v>1</v>
      </c>
      <c r="H284" s="175"/>
      <c r="I284" s="176"/>
    </row>
    <row r="285" spans="2:9" x14ac:dyDescent="0.25">
      <c r="B285" s="153"/>
      <c r="C285" s="150"/>
      <c r="D285" s="141" t="s">
        <v>399</v>
      </c>
      <c r="E285" s="141" t="s">
        <v>75</v>
      </c>
      <c r="F285" s="158">
        <v>2011</v>
      </c>
      <c r="G285" s="189">
        <v>1</v>
      </c>
      <c r="H285" s="175">
        <v>22.5</v>
      </c>
      <c r="I285" s="176">
        <v>82.74</v>
      </c>
    </row>
    <row r="286" spans="2:9" ht="15.75" thickBot="1" x14ac:dyDescent="0.3">
      <c r="B286" s="154"/>
      <c r="C286" s="151" t="s">
        <v>649</v>
      </c>
      <c r="D286" s="156"/>
      <c r="E286" s="156"/>
      <c r="F286" s="157"/>
      <c r="G286" s="190">
        <v>11</v>
      </c>
      <c r="H286" s="177">
        <v>134.06800000000001</v>
      </c>
      <c r="I286" s="178">
        <v>486.56699999999995</v>
      </c>
    </row>
    <row r="287" spans="2:9" x14ac:dyDescent="0.25">
      <c r="B287" s="152" t="s">
        <v>113</v>
      </c>
      <c r="C287" s="149" t="s">
        <v>64</v>
      </c>
      <c r="D287" s="160" t="s">
        <v>221</v>
      </c>
      <c r="E287" s="160" t="s">
        <v>75</v>
      </c>
      <c r="F287" s="161">
        <v>2013</v>
      </c>
      <c r="G287" s="191">
        <v>1</v>
      </c>
      <c r="H287" s="173">
        <v>2.4</v>
      </c>
      <c r="I287" s="174">
        <v>10</v>
      </c>
    </row>
    <row r="288" spans="2:9" x14ac:dyDescent="0.25">
      <c r="B288" s="153"/>
      <c r="C288" s="150"/>
      <c r="D288" s="141" t="s">
        <v>230</v>
      </c>
      <c r="E288" s="141" t="s">
        <v>75</v>
      </c>
      <c r="F288" s="158">
        <v>2008</v>
      </c>
      <c r="G288" s="189">
        <v>1</v>
      </c>
      <c r="H288" s="175">
        <v>81</v>
      </c>
      <c r="I288" s="176">
        <v>257</v>
      </c>
    </row>
    <row r="289" spans="2:9" x14ac:dyDescent="0.25">
      <c r="B289" s="153"/>
      <c r="C289" s="150"/>
      <c r="D289" s="141" t="s">
        <v>604</v>
      </c>
      <c r="E289" s="141" t="s">
        <v>603</v>
      </c>
      <c r="F289" s="159">
        <v>41974</v>
      </c>
      <c r="G289" s="189">
        <v>1</v>
      </c>
      <c r="H289" s="175">
        <v>0.63100000000000001</v>
      </c>
      <c r="I289" s="176">
        <v>2.5</v>
      </c>
    </row>
    <row r="290" spans="2:9" x14ac:dyDescent="0.25">
      <c r="B290" s="153"/>
      <c r="C290" s="150"/>
      <c r="D290" s="141" t="s">
        <v>504</v>
      </c>
      <c r="E290" s="141" t="s">
        <v>75</v>
      </c>
      <c r="F290" s="159">
        <v>41408</v>
      </c>
      <c r="G290" s="189">
        <v>1</v>
      </c>
      <c r="H290" s="175">
        <v>8.9109999999999996</v>
      </c>
      <c r="I290" s="176">
        <v>25.8</v>
      </c>
    </row>
    <row r="291" spans="2:9" x14ac:dyDescent="0.25">
      <c r="B291" s="153"/>
      <c r="C291" s="150"/>
      <c r="D291" s="141" t="s">
        <v>413</v>
      </c>
      <c r="E291" s="141" t="s">
        <v>75</v>
      </c>
      <c r="F291" s="159">
        <v>41005</v>
      </c>
      <c r="G291" s="189">
        <v>1</v>
      </c>
      <c r="H291" s="175">
        <v>16.350000000000001</v>
      </c>
      <c r="I291" s="176">
        <v>58.18</v>
      </c>
    </row>
    <row r="292" spans="2:9" x14ac:dyDescent="0.25">
      <c r="B292" s="153"/>
      <c r="C292" s="150"/>
      <c r="D292" s="141" t="s">
        <v>568</v>
      </c>
      <c r="E292" s="141" t="s">
        <v>603</v>
      </c>
      <c r="F292" s="159">
        <v>41687</v>
      </c>
      <c r="G292" s="189">
        <v>1</v>
      </c>
      <c r="H292" s="175">
        <v>3.8210000000000002</v>
      </c>
      <c r="I292" s="176">
        <v>10.15</v>
      </c>
    </row>
    <row r="293" spans="2:9" x14ac:dyDescent="0.25">
      <c r="B293" s="153"/>
      <c r="C293" s="150"/>
      <c r="D293" s="141" t="s">
        <v>418</v>
      </c>
      <c r="E293" s="141" t="s">
        <v>75</v>
      </c>
      <c r="F293" s="159">
        <v>40760</v>
      </c>
      <c r="G293" s="189">
        <v>1</v>
      </c>
      <c r="H293" s="175">
        <v>9.19</v>
      </c>
      <c r="I293" s="176">
        <v>35</v>
      </c>
    </row>
    <row r="294" spans="2:9" x14ac:dyDescent="0.25">
      <c r="B294" s="153"/>
      <c r="C294" s="150"/>
      <c r="D294" s="141" t="s">
        <v>516</v>
      </c>
      <c r="E294" s="141" t="s">
        <v>75</v>
      </c>
      <c r="F294" s="159">
        <v>41045</v>
      </c>
      <c r="G294" s="189">
        <v>1</v>
      </c>
      <c r="H294" s="175">
        <v>17.52</v>
      </c>
      <c r="I294" s="176">
        <v>56</v>
      </c>
    </row>
    <row r="295" spans="2:9" x14ac:dyDescent="0.25">
      <c r="B295" s="153"/>
      <c r="C295" s="150"/>
      <c r="D295" s="141" t="s">
        <v>519</v>
      </c>
      <c r="E295" s="141" t="s">
        <v>75</v>
      </c>
      <c r="F295" s="158">
        <v>2011</v>
      </c>
      <c r="G295" s="189">
        <v>1</v>
      </c>
      <c r="H295" s="175">
        <v>16.375</v>
      </c>
      <c r="I295" s="176">
        <v>51.18</v>
      </c>
    </row>
    <row r="296" spans="2:9" x14ac:dyDescent="0.25">
      <c r="B296" s="153"/>
      <c r="C296" s="150"/>
      <c r="D296" s="141" t="s">
        <v>428</v>
      </c>
      <c r="E296" s="141" t="s">
        <v>75</v>
      </c>
      <c r="F296" s="159">
        <v>41118</v>
      </c>
      <c r="G296" s="189">
        <v>1</v>
      </c>
      <c r="H296" s="175">
        <v>8.41</v>
      </c>
      <c r="I296" s="176">
        <v>29.260999999999999</v>
      </c>
    </row>
    <row r="297" spans="2:9" x14ac:dyDescent="0.25">
      <c r="B297" s="153"/>
      <c r="C297" s="150"/>
      <c r="D297" s="141" t="s">
        <v>429</v>
      </c>
      <c r="E297" s="141" t="s">
        <v>75</v>
      </c>
      <c r="F297" s="159">
        <v>41199</v>
      </c>
      <c r="G297" s="189">
        <v>1</v>
      </c>
      <c r="H297" s="175">
        <v>6</v>
      </c>
      <c r="I297" s="176">
        <v>24</v>
      </c>
    </row>
    <row r="298" spans="2:9" x14ac:dyDescent="0.25">
      <c r="B298" s="153"/>
      <c r="C298" s="150"/>
      <c r="D298" s="141" t="s">
        <v>432</v>
      </c>
      <c r="E298" s="141" t="s">
        <v>75</v>
      </c>
      <c r="F298" s="159">
        <v>41613</v>
      </c>
      <c r="G298" s="189">
        <v>1</v>
      </c>
      <c r="H298" s="175">
        <v>44.1</v>
      </c>
      <c r="I298" s="176">
        <v>160</v>
      </c>
    </row>
    <row r="299" spans="2:9" x14ac:dyDescent="0.25">
      <c r="B299" s="153"/>
      <c r="C299" s="150"/>
      <c r="D299" s="141" t="s">
        <v>254</v>
      </c>
      <c r="E299" s="141" t="s">
        <v>75</v>
      </c>
      <c r="F299" s="159">
        <v>40766</v>
      </c>
      <c r="G299" s="189">
        <v>1</v>
      </c>
      <c r="H299" s="175">
        <v>8.4719999999999995</v>
      </c>
      <c r="I299" s="176">
        <v>35.1</v>
      </c>
    </row>
    <row r="300" spans="2:9" x14ac:dyDescent="0.25">
      <c r="B300" s="153"/>
      <c r="C300" s="150"/>
      <c r="D300" s="141" t="s">
        <v>255</v>
      </c>
      <c r="E300" s="141" t="s">
        <v>75</v>
      </c>
      <c r="F300" s="159">
        <v>40815</v>
      </c>
      <c r="G300" s="189">
        <v>1</v>
      </c>
      <c r="H300" s="175">
        <v>9.16</v>
      </c>
      <c r="I300" s="176">
        <v>33</v>
      </c>
    </row>
    <row r="301" spans="2:9" x14ac:dyDescent="0.25">
      <c r="B301" s="153"/>
      <c r="C301" s="150"/>
      <c r="D301" s="141" t="s">
        <v>447</v>
      </c>
      <c r="E301" s="141" t="s">
        <v>75</v>
      </c>
      <c r="F301" s="158">
        <v>2009</v>
      </c>
      <c r="G301" s="189">
        <v>1</v>
      </c>
      <c r="H301" s="175">
        <v>9.1</v>
      </c>
      <c r="I301" s="176">
        <v>27.36</v>
      </c>
    </row>
    <row r="302" spans="2:9" x14ac:dyDescent="0.25">
      <c r="B302" s="153"/>
      <c r="C302" s="150"/>
      <c r="D302" s="141" t="s">
        <v>531</v>
      </c>
      <c r="E302" s="141" t="s">
        <v>75</v>
      </c>
      <c r="F302" s="159">
        <v>41249</v>
      </c>
      <c r="G302" s="189">
        <v>1</v>
      </c>
      <c r="H302" s="175">
        <v>12.38</v>
      </c>
      <c r="I302" s="176">
        <v>61</v>
      </c>
    </row>
    <row r="303" spans="2:9" x14ac:dyDescent="0.25">
      <c r="B303" s="153"/>
      <c r="C303" s="150"/>
      <c r="D303" s="141" t="s">
        <v>305</v>
      </c>
      <c r="E303" s="141" t="s">
        <v>75</v>
      </c>
      <c r="F303" s="159">
        <v>41075</v>
      </c>
      <c r="G303" s="189">
        <v>1</v>
      </c>
      <c r="H303" s="175">
        <v>5.68</v>
      </c>
      <c r="I303" s="176">
        <v>21</v>
      </c>
    </row>
    <row r="304" spans="2:9" x14ac:dyDescent="0.25">
      <c r="B304" s="153"/>
      <c r="C304" s="150"/>
      <c r="D304" s="141" t="s">
        <v>329</v>
      </c>
      <c r="E304" s="141" t="s">
        <v>75</v>
      </c>
      <c r="F304" s="159">
        <v>41449</v>
      </c>
      <c r="G304" s="189">
        <v>1</v>
      </c>
      <c r="H304" s="175">
        <v>15.497999999999999</v>
      </c>
      <c r="I304" s="176">
        <v>52.98</v>
      </c>
    </row>
    <row r="305" spans="2:9" x14ac:dyDescent="0.25">
      <c r="B305" s="153"/>
      <c r="C305" s="150"/>
      <c r="D305" s="141" t="s">
        <v>345</v>
      </c>
      <c r="E305" s="141" t="s">
        <v>75</v>
      </c>
      <c r="F305" s="158">
        <v>2013</v>
      </c>
      <c r="G305" s="189">
        <v>1</v>
      </c>
      <c r="H305" s="175">
        <v>11.39</v>
      </c>
      <c r="I305" s="176">
        <v>40</v>
      </c>
    </row>
    <row r="306" spans="2:9" x14ac:dyDescent="0.25">
      <c r="B306" s="153"/>
      <c r="C306" s="150"/>
      <c r="D306" s="141" t="s">
        <v>351</v>
      </c>
      <c r="E306" s="141" t="s">
        <v>75</v>
      </c>
      <c r="F306" s="159">
        <v>41571</v>
      </c>
      <c r="G306" s="189">
        <v>1</v>
      </c>
      <c r="H306" s="175">
        <v>12.9</v>
      </c>
      <c r="I306" s="176">
        <v>39.61</v>
      </c>
    </row>
    <row r="307" spans="2:9" x14ac:dyDescent="0.25">
      <c r="B307" s="153"/>
      <c r="C307" s="150"/>
      <c r="D307" s="141" t="s">
        <v>370</v>
      </c>
      <c r="E307" s="141" t="s">
        <v>75</v>
      </c>
      <c r="F307" s="158">
        <v>2010</v>
      </c>
      <c r="G307" s="189">
        <v>1</v>
      </c>
      <c r="H307" s="175">
        <v>20</v>
      </c>
      <c r="I307" s="176">
        <v>108.06</v>
      </c>
    </row>
    <row r="308" spans="2:9" x14ac:dyDescent="0.25">
      <c r="B308" s="153"/>
      <c r="C308" s="150"/>
      <c r="D308" s="141" t="s">
        <v>548</v>
      </c>
      <c r="E308" s="141" t="s">
        <v>75</v>
      </c>
      <c r="F308" s="158">
        <v>2010</v>
      </c>
      <c r="G308" s="189">
        <v>1</v>
      </c>
      <c r="H308" s="175">
        <v>21.58</v>
      </c>
      <c r="I308" s="176">
        <v>95.3</v>
      </c>
    </row>
    <row r="309" spans="2:9" x14ac:dyDescent="0.25">
      <c r="B309" s="153"/>
      <c r="C309" s="150"/>
      <c r="D309" s="141" t="s">
        <v>376</v>
      </c>
      <c r="E309" s="141" t="s">
        <v>75</v>
      </c>
      <c r="F309" s="159">
        <v>41457</v>
      </c>
      <c r="G309" s="189">
        <v>1</v>
      </c>
      <c r="H309" s="175">
        <v>8.5660000000000007</v>
      </c>
      <c r="I309" s="176">
        <v>25</v>
      </c>
    </row>
    <row r="310" spans="2:9" x14ac:dyDescent="0.25">
      <c r="B310" s="153"/>
      <c r="C310" s="150"/>
      <c r="D310" s="141" t="s">
        <v>551</v>
      </c>
      <c r="E310" s="141" t="s">
        <v>75</v>
      </c>
      <c r="F310" s="159">
        <v>41477</v>
      </c>
      <c r="G310" s="189">
        <v>1</v>
      </c>
      <c r="H310" s="175">
        <v>2.5</v>
      </c>
      <c r="I310" s="176">
        <v>11</v>
      </c>
    </row>
    <row r="311" spans="2:9" x14ac:dyDescent="0.25">
      <c r="B311" s="153"/>
      <c r="C311" s="150"/>
      <c r="D311" s="141" t="s">
        <v>605</v>
      </c>
      <c r="E311" s="141" t="s">
        <v>603</v>
      </c>
      <c r="F311" s="159">
        <v>41837</v>
      </c>
      <c r="G311" s="189">
        <v>1</v>
      </c>
      <c r="H311" s="175">
        <v>10.319000000000001</v>
      </c>
      <c r="I311" s="176">
        <v>39.033999999999999</v>
      </c>
    </row>
    <row r="312" spans="2:9" x14ac:dyDescent="0.25">
      <c r="B312" s="153"/>
      <c r="C312" s="150"/>
      <c r="D312" s="141" t="s">
        <v>389</v>
      </c>
      <c r="E312" s="141" t="s">
        <v>75</v>
      </c>
      <c r="F312" s="159">
        <v>41449</v>
      </c>
      <c r="G312" s="189">
        <v>1</v>
      </c>
      <c r="H312" s="175">
        <v>11.939</v>
      </c>
      <c r="I312" s="176">
        <v>40</v>
      </c>
    </row>
    <row r="313" spans="2:9" x14ac:dyDescent="0.25">
      <c r="B313" s="153"/>
      <c r="C313" s="150"/>
      <c r="D313" s="141" t="s">
        <v>390</v>
      </c>
      <c r="E313" s="141" t="s">
        <v>75</v>
      </c>
      <c r="F313" s="159">
        <v>41298</v>
      </c>
      <c r="G313" s="189">
        <v>1</v>
      </c>
      <c r="H313" s="175">
        <v>16.64</v>
      </c>
      <c r="I313" s="176">
        <v>60</v>
      </c>
    </row>
    <row r="314" spans="2:9" x14ac:dyDescent="0.25">
      <c r="B314" s="153"/>
      <c r="C314" s="150"/>
      <c r="D314" s="141" t="s">
        <v>494</v>
      </c>
      <c r="E314" s="141" t="s">
        <v>75</v>
      </c>
      <c r="F314" s="158">
        <v>1929</v>
      </c>
      <c r="G314" s="189">
        <v>1</v>
      </c>
      <c r="H314" s="175">
        <v>1.04</v>
      </c>
      <c r="I314" s="176">
        <v>2.4500000000000002</v>
      </c>
    </row>
    <row r="315" spans="2:9" x14ac:dyDescent="0.25">
      <c r="B315" s="153"/>
      <c r="C315" s="150"/>
      <c r="D315" s="141" t="s">
        <v>393</v>
      </c>
      <c r="E315" s="141" t="s">
        <v>75</v>
      </c>
      <c r="F315" s="159">
        <v>41017</v>
      </c>
      <c r="G315" s="189">
        <v>1</v>
      </c>
      <c r="H315" s="175">
        <v>8.5779999999999994</v>
      </c>
      <c r="I315" s="176">
        <v>27</v>
      </c>
    </row>
    <row r="316" spans="2:9" x14ac:dyDescent="0.25">
      <c r="B316" s="153"/>
      <c r="C316" s="150"/>
      <c r="D316" s="141" t="s">
        <v>478</v>
      </c>
      <c r="E316" s="141" t="s">
        <v>75</v>
      </c>
      <c r="F316" s="159">
        <v>41240</v>
      </c>
      <c r="G316" s="189">
        <v>1</v>
      </c>
      <c r="H316" s="175">
        <v>8.9459999999999997</v>
      </c>
      <c r="I316" s="176">
        <v>30</v>
      </c>
    </row>
    <row r="317" spans="2:9" x14ac:dyDescent="0.25">
      <c r="B317" s="153"/>
      <c r="C317" s="150"/>
      <c r="D317" s="141" t="s">
        <v>484</v>
      </c>
      <c r="E317" s="141" t="s">
        <v>75</v>
      </c>
      <c r="F317" s="158">
        <v>2010</v>
      </c>
      <c r="G317" s="189">
        <v>1</v>
      </c>
      <c r="H317" s="175">
        <v>1.2</v>
      </c>
      <c r="I317" s="176">
        <v>5.64</v>
      </c>
    </row>
    <row r="318" spans="2:9" x14ac:dyDescent="0.25">
      <c r="B318" s="153"/>
      <c r="C318" s="150"/>
      <c r="D318" s="141" t="s">
        <v>485</v>
      </c>
      <c r="E318" s="141" t="s">
        <v>75</v>
      </c>
      <c r="F318" s="158">
        <v>2008</v>
      </c>
      <c r="G318" s="189">
        <v>1</v>
      </c>
      <c r="H318" s="175">
        <v>23.6</v>
      </c>
      <c r="I318" s="176">
        <v>88.207999999999998</v>
      </c>
    </row>
    <row r="319" spans="2:9" ht="15.75" thickBot="1" x14ac:dyDescent="0.3">
      <c r="B319" s="154"/>
      <c r="C319" s="151" t="s">
        <v>650</v>
      </c>
      <c r="D319" s="156"/>
      <c r="E319" s="156"/>
      <c r="F319" s="157"/>
      <c r="G319" s="190">
        <v>32</v>
      </c>
      <c r="H319" s="177">
        <v>434.19599999999997</v>
      </c>
      <c r="I319" s="178">
        <v>1560.8130000000003</v>
      </c>
    </row>
    <row r="320" spans="2:9" x14ac:dyDescent="0.25">
      <c r="B320" s="152" t="s">
        <v>114</v>
      </c>
      <c r="C320" s="149" t="s">
        <v>54</v>
      </c>
      <c r="D320" s="160" t="s">
        <v>224</v>
      </c>
      <c r="E320" s="160" t="s">
        <v>75</v>
      </c>
      <c r="F320" s="163">
        <v>41570</v>
      </c>
      <c r="G320" s="191">
        <v>1</v>
      </c>
      <c r="H320" s="173">
        <v>4.38</v>
      </c>
      <c r="I320" s="174">
        <v>18</v>
      </c>
    </row>
    <row r="321" spans="2:9" x14ac:dyDescent="0.25">
      <c r="B321" s="153"/>
      <c r="C321" s="150"/>
      <c r="D321" s="141" t="s">
        <v>422</v>
      </c>
      <c r="E321" s="141" t="s">
        <v>75</v>
      </c>
      <c r="F321" s="158">
        <v>2013</v>
      </c>
      <c r="G321" s="189">
        <v>1</v>
      </c>
      <c r="H321" s="175">
        <v>18.149999999999999</v>
      </c>
      <c r="I321" s="176">
        <v>63.524999999999991</v>
      </c>
    </row>
    <row r="322" spans="2:9" x14ac:dyDescent="0.25">
      <c r="B322" s="153"/>
      <c r="C322" s="150"/>
      <c r="D322" s="141" t="s">
        <v>520</v>
      </c>
      <c r="E322" s="141" t="s">
        <v>75</v>
      </c>
      <c r="F322" s="158">
        <v>2009</v>
      </c>
      <c r="G322" s="189">
        <v>1</v>
      </c>
      <c r="H322" s="175">
        <v>110.32</v>
      </c>
      <c r="I322" s="176">
        <v>370</v>
      </c>
    </row>
    <row r="323" spans="2:9" x14ac:dyDescent="0.25">
      <c r="B323" s="153"/>
      <c r="C323" s="150"/>
      <c r="D323" s="141" t="s">
        <v>580</v>
      </c>
      <c r="E323" s="141" t="s">
        <v>603</v>
      </c>
      <c r="F323" s="159">
        <v>41859</v>
      </c>
      <c r="G323" s="189">
        <v>1</v>
      </c>
      <c r="H323" s="175">
        <v>5.95</v>
      </c>
      <c r="I323" s="176">
        <v>15.6</v>
      </c>
    </row>
    <row r="324" spans="2:9" x14ac:dyDescent="0.25">
      <c r="B324" s="153"/>
      <c r="C324" s="150"/>
      <c r="D324" s="141" t="s">
        <v>306</v>
      </c>
      <c r="E324" s="141" t="s">
        <v>75</v>
      </c>
      <c r="F324" s="159">
        <v>41393</v>
      </c>
      <c r="G324" s="189">
        <v>1</v>
      </c>
      <c r="H324" s="175">
        <v>5.74</v>
      </c>
      <c r="I324" s="176">
        <v>20.64</v>
      </c>
    </row>
    <row r="325" spans="2:9" x14ac:dyDescent="0.25">
      <c r="B325" s="153"/>
      <c r="C325" s="150"/>
      <c r="D325" s="141" t="s">
        <v>586</v>
      </c>
      <c r="E325" s="141" t="s">
        <v>603</v>
      </c>
      <c r="F325" s="159">
        <v>41974</v>
      </c>
      <c r="G325" s="189">
        <v>1</v>
      </c>
      <c r="H325" s="175">
        <v>11.089</v>
      </c>
      <c r="I325" s="176">
        <v>31</v>
      </c>
    </row>
    <row r="326" spans="2:9" x14ac:dyDescent="0.25">
      <c r="B326" s="153"/>
      <c r="C326" s="150"/>
      <c r="D326" s="141" t="s">
        <v>350</v>
      </c>
      <c r="E326" s="141" t="s">
        <v>75</v>
      </c>
      <c r="F326" s="159">
        <v>41591</v>
      </c>
      <c r="G326" s="189">
        <v>1</v>
      </c>
      <c r="H326" s="175">
        <v>42</v>
      </c>
      <c r="I326" s="176">
        <v>146</v>
      </c>
    </row>
    <row r="327" spans="2:9" x14ac:dyDescent="0.25">
      <c r="B327" s="153"/>
      <c r="C327" s="150"/>
      <c r="D327" s="141" t="s">
        <v>588</v>
      </c>
      <c r="E327" s="141" t="s">
        <v>603</v>
      </c>
      <c r="F327" s="159">
        <v>41913</v>
      </c>
      <c r="G327" s="189">
        <v>1</v>
      </c>
      <c r="H327" s="175">
        <v>4.0599999999999996</v>
      </c>
      <c r="I327" s="176">
        <v>12.79</v>
      </c>
    </row>
    <row r="328" spans="2:9" x14ac:dyDescent="0.25">
      <c r="B328" s="153"/>
      <c r="C328" s="150"/>
      <c r="D328" s="141" t="s">
        <v>554</v>
      </c>
      <c r="E328" s="141" t="s">
        <v>75</v>
      </c>
      <c r="F328" s="158" t="s">
        <v>2</v>
      </c>
      <c r="G328" s="189">
        <v>1</v>
      </c>
      <c r="H328" s="175">
        <v>42.25</v>
      </c>
      <c r="I328" s="176">
        <v>92</v>
      </c>
    </row>
    <row r="329" spans="2:9" ht="15.75" thickBot="1" x14ac:dyDescent="0.3">
      <c r="B329" s="154"/>
      <c r="C329" s="151" t="s">
        <v>651</v>
      </c>
      <c r="D329" s="156"/>
      <c r="E329" s="156"/>
      <c r="F329" s="157"/>
      <c r="G329" s="190">
        <v>9</v>
      </c>
      <c r="H329" s="177">
        <v>243.93899999999999</v>
      </c>
      <c r="I329" s="178">
        <v>769.55499999999995</v>
      </c>
    </row>
    <row r="330" spans="2:9" x14ac:dyDescent="0.25">
      <c r="B330" s="152" t="s">
        <v>139</v>
      </c>
      <c r="C330" s="149" t="s">
        <v>31</v>
      </c>
      <c r="D330" s="160" t="s">
        <v>566</v>
      </c>
      <c r="E330" s="160" t="s">
        <v>603</v>
      </c>
      <c r="F330" s="163">
        <v>41870</v>
      </c>
      <c r="G330" s="191">
        <v>1</v>
      </c>
      <c r="H330" s="173">
        <v>7.33</v>
      </c>
      <c r="I330" s="174">
        <v>25</v>
      </c>
    </row>
    <row r="331" spans="2:9" x14ac:dyDescent="0.25">
      <c r="B331" s="153"/>
      <c r="C331" s="150"/>
      <c r="D331" s="141" t="s">
        <v>229</v>
      </c>
      <c r="E331" s="141" t="s">
        <v>75</v>
      </c>
      <c r="F331" s="159">
        <v>41035</v>
      </c>
      <c r="G331" s="189">
        <v>1</v>
      </c>
      <c r="H331" s="175">
        <v>13.37</v>
      </c>
      <c r="I331" s="176">
        <v>58</v>
      </c>
    </row>
    <row r="332" spans="2:9" x14ac:dyDescent="0.25">
      <c r="B332" s="153"/>
      <c r="C332" s="150"/>
      <c r="D332" s="141" t="s">
        <v>314</v>
      </c>
      <c r="E332" s="141" t="s">
        <v>75</v>
      </c>
      <c r="F332" s="158">
        <v>2011</v>
      </c>
      <c r="G332" s="189">
        <v>1</v>
      </c>
      <c r="H332" s="175">
        <v>5.2</v>
      </c>
      <c r="I332" s="176">
        <v>20</v>
      </c>
    </row>
    <row r="333" spans="2:9" x14ac:dyDescent="0.25">
      <c r="B333" s="153"/>
      <c r="C333" s="150"/>
      <c r="D333" s="141" t="s">
        <v>412</v>
      </c>
      <c r="E333" s="141" t="s">
        <v>75</v>
      </c>
      <c r="F333" s="159">
        <v>41089</v>
      </c>
      <c r="G333" s="189">
        <v>1</v>
      </c>
      <c r="H333" s="175">
        <v>14.91</v>
      </c>
      <c r="I333" s="176">
        <v>50</v>
      </c>
    </row>
    <row r="334" spans="2:9" x14ac:dyDescent="0.25">
      <c r="B334" s="153"/>
      <c r="C334" s="150"/>
      <c r="D334" s="141" t="s">
        <v>235</v>
      </c>
      <c r="E334" s="141" t="s">
        <v>72</v>
      </c>
      <c r="F334" s="159">
        <v>41541</v>
      </c>
      <c r="G334" s="189">
        <v>1</v>
      </c>
      <c r="H334" s="175">
        <v>93</v>
      </c>
      <c r="I334" s="176">
        <v>340</v>
      </c>
    </row>
    <row r="335" spans="2:9" x14ac:dyDescent="0.25">
      <c r="B335" s="153"/>
      <c r="C335" s="150"/>
      <c r="D335" s="141" t="s">
        <v>246</v>
      </c>
      <c r="E335" s="141" t="s">
        <v>75</v>
      </c>
      <c r="F335" s="159">
        <v>41316</v>
      </c>
      <c r="G335" s="189">
        <v>1</v>
      </c>
      <c r="H335" s="175">
        <v>66.290000000000006</v>
      </c>
      <c r="I335" s="176">
        <v>224</v>
      </c>
    </row>
    <row r="336" spans="2:9" x14ac:dyDescent="0.25">
      <c r="B336" s="153"/>
      <c r="C336" s="150"/>
      <c r="D336" s="141" t="s">
        <v>438</v>
      </c>
      <c r="E336" s="141" t="s">
        <v>75</v>
      </c>
      <c r="F336" s="158">
        <v>2012</v>
      </c>
      <c r="G336" s="189">
        <v>1</v>
      </c>
      <c r="H336" s="175">
        <v>48.5</v>
      </c>
      <c r="I336" s="176">
        <v>140</v>
      </c>
    </row>
    <row r="337" spans="2:9" x14ac:dyDescent="0.25">
      <c r="B337" s="153"/>
      <c r="C337" s="150"/>
      <c r="D337" s="141" t="s">
        <v>439</v>
      </c>
      <c r="E337" s="141" t="s">
        <v>75</v>
      </c>
      <c r="F337" s="159">
        <v>41499</v>
      </c>
      <c r="G337" s="189">
        <v>1</v>
      </c>
      <c r="H337" s="175">
        <v>17.7</v>
      </c>
      <c r="I337" s="176">
        <v>50</v>
      </c>
    </row>
    <row r="338" spans="2:9" x14ac:dyDescent="0.25">
      <c r="B338" s="153"/>
      <c r="C338" s="150"/>
      <c r="D338" s="141" t="s">
        <v>575</v>
      </c>
      <c r="E338" s="141" t="s">
        <v>603</v>
      </c>
      <c r="F338" s="159">
        <v>2014</v>
      </c>
      <c r="G338" s="189">
        <v>1</v>
      </c>
      <c r="H338" s="175">
        <v>49.2</v>
      </c>
      <c r="I338" s="176">
        <v>152.13</v>
      </c>
    </row>
    <row r="339" spans="2:9" x14ac:dyDescent="0.25">
      <c r="B339" s="153"/>
      <c r="C339" s="150"/>
      <c r="D339" s="141" t="s">
        <v>275</v>
      </c>
      <c r="E339" s="141" t="s">
        <v>75</v>
      </c>
      <c r="F339" s="158">
        <v>2013</v>
      </c>
      <c r="G339" s="189">
        <v>1</v>
      </c>
      <c r="H339" s="175">
        <v>28.277999999999999</v>
      </c>
      <c r="I339" s="176">
        <v>85</v>
      </c>
    </row>
    <row r="340" spans="2:9" x14ac:dyDescent="0.25">
      <c r="B340" s="153"/>
      <c r="C340" s="150"/>
      <c r="D340" s="141" t="s">
        <v>290</v>
      </c>
      <c r="E340" s="141" t="s">
        <v>75</v>
      </c>
      <c r="F340" s="159">
        <v>41421</v>
      </c>
      <c r="G340" s="189">
        <v>1</v>
      </c>
      <c r="H340" s="175">
        <v>3.0979999999999999</v>
      </c>
      <c r="I340" s="176">
        <v>10.199999999999999</v>
      </c>
    </row>
    <row r="341" spans="2:9" x14ac:dyDescent="0.25">
      <c r="B341" s="153"/>
      <c r="C341" s="150"/>
      <c r="D341" s="141" t="s">
        <v>449</v>
      </c>
      <c r="E341" s="141" t="s">
        <v>75</v>
      </c>
      <c r="F341" s="158">
        <v>2009</v>
      </c>
      <c r="G341" s="189">
        <v>1</v>
      </c>
      <c r="H341" s="175">
        <v>1.42</v>
      </c>
      <c r="I341" s="176">
        <v>5.5</v>
      </c>
    </row>
    <row r="342" spans="2:9" x14ac:dyDescent="0.25">
      <c r="B342" s="153"/>
      <c r="C342" s="150"/>
      <c r="D342" s="141" t="s">
        <v>313</v>
      </c>
      <c r="E342" s="141" t="s">
        <v>75</v>
      </c>
      <c r="F342" s="158">
        <v>2008</v>
      </c>
      <c r="G342" s="189">
        <v>1</v>
      </c>
      <c r="H342" s="175">
        <v>31.3</v>
      </c>
      <c r="I342" s="176">
        <v>100</v>
      </c>
    </row>
    <row r="343" spans="2:9" x14ac:dyDescent="0.25">
      <c r="B343" s="153"/>
      <c r="C343" s="150"/>
      <c r="D343" s="141" t="s">
        <v>534</v>
      </c>
      <c r="E343" s="141" t="s">
        <v>75</v>
      </c>
      <c r="F343" s="158">
        <v>2009</v>
      </c>
      <c r="G343" s="189">
        <v>1</v>
      </c>
      <c r="H343" s="175"/>
      <c r="I343" s="176"/>
    </row>
    <row r="344" spans="2:9" x14ac:dyDescent="0.25">
      <c r="B344" s="153"/>
      <c r="C344" s="150"/>
      <c r="D344" s="141" t="s">
        <v>538</v>
      </c>
      <c r="E344" s="141" t="s">
        <v>75</v>
      </c>
      <c r="F344" s="159">
        <v>41094</v>
      </c>
      <c r="G344" s="189">
        <v>1</v>
      </c>
      <c r="H344" s="175">
        <v>38.6</v>
      </c>
      <c r="I344" s="176">
        <v>105</v>
      </c>
    </row>
    <row r="345" spans="2:9" x14ac:dyDescent="0.25">
      <c r="B345" s="153"/>
      <c r="C345" s="150"/>
      <c r="D345" s="141" t="s">
        <v>331</v>
      </c>
      <c r="E345" s="141" t="s">
        <v>75</v>
      </c>
      <c r="F345" s="158">
        <v>2011</v>
      </c>
      <c r="G345" s="189">
        <v>1</v>
      </c>
      <c r="H345" s="175">
        <v>9.74</v>
      </c>
      <c r="I345" s="176">
        <v>41</v>
      </c>
    </row>
    <row r="346" spans="2:9" x14ac:dyDescent="0.25">
      <c r="B346" s="153"/>
      <c r="C346" s="150"/>
      <c r="D346" s="141" t="s">
        <v>335</v>
      </c>
      <c r="E346" s="141" t="s">
        <v>75</v>
      </c>
      <c r="F346" s="159">
        <v>41334</v>
      </c>
      <c r="G346" s="189">
        <v>1</v>
      </c>
      <c r="H346" s="175">
        <v>25.04</v>
      </c>
      <c r="I346" s="176">
        <v>74.92</v>
      </c>
    </row>
    <row r="347" spans="2:9" x14ac:dyDescent="0.25">
      <c r="B347" s="153"/>
      <c r="C347" s="150"/>
      <c r="D347" s="141" t="s">
        <v>584</v>
      </c>
      <c r="E347" s="141" t="s">
        <v>603</v>
      </c>
      <c r="F347" s="159">
        <v>41830</v>
      </c>
      <c r="G347" s="189">
        <v>1</v>
      </c>
      <c r="H347" s="175">
        <v>36.26</v>
      </c>
      <c r="I347" s="176">
        <v>121</v>
      </c>
    </row>
    <row r="348" spans="2:9" x14ac:dyDescent="0.25">
      <c r="B348" s="153"/>
      <c r="C348" s="150"/>
      <c r="D348" s="141" t="s">
        <v>462</v>
      </c>
      <c r="E348" s="141" t="s">
        <v>75</v>
      </c>
      <c r="F348" s="158">
        <v>2011</v>
      </c>
      <c r="G348" s="189">
        <v>1</v>
      </c>
      <c r="H348" s="175">
        <v>37.700000000000003</v>
      </c>
      <c r="I348" s="176">
        <v>130</v>
      </c>
    </row>
    <row r="349" spans="2:9" x14ac:dyDescent="0.25">
      <c r="B349" s="153"/>
      <c r="C349" s="150"/>
      <c r="D349" s="141" t="s">
        <v>355</v>
      </c>
      <c r="E349" s="141" t="s">
        <v>75</v>
      </c>
      <c r="F349" s="158">
        <v>2011</v>
      </c>
      <c r="G349" s="189">
        <v>1</v>
      </c>
      <c r="H349" s="175">
        <v>26.579000000000001</v>
      </c>
      <c r="I349" s="176">
        <v>85</v>
      </c>
    </row>
    <row r="350" spans="2:9" x14ac:dyDescent="0.25">
      <c r="B350" s="153"/>
      <c r="C350" s="150"/>
      <c r="D350" s="141" t="s">
        <v>375</v>
      </c>
      <c r="E350" s="141" t="s">
        <v>75</v>
      </c>
      <c r="F350" s="159">
        <v>41229</v>
      </c>
      <c r="G350" s="189">
        <v>1</v>
      </c>
      <c r="H350" s="175">
        <v>8.9</v>
      </c>
      <c r="I350" s="176">
        <v>26</v>
      </c>
    </row>
    <row r="351" spans="2:9" x14ac:dyDescent="0.25">
      <c r="B351" s="153"/>
      <c r="C351" s="150"/>
      <c r="D351" s="141" t="s">
        <v>378</v>
      </c>
      <c r="E351" s="141" t="s">
        <v>75</v>
      </c>
      <c r="F351" s="158">
        <v>2010</v>
      </c>
      <c r="G351" s="189">
        <v>1</v>
      </c>
      <c r="H351" s="175">
        <v>21.6</v>
      </c>
      <c r="I351" s="176">
        <v>70</v>
      </c>
    </row>
    <row r="352" spans="2:9" x14ac:dyDescent="0.25">
      <c r="B352" s="153"/>
      <c r="C352" s="150"/>
      <c r="D352" s="141" t="s">
        <v>383</v>
      </c>
      <c r="E352" s="141" t="s">
        <v>75</v>
      </c>
      <c r="F352" s="158">
        <v>2012</v>
      </c>
      <c r="G352" s="189">
        <v>1</v>
      </c>
      <c r="H352" s="175">
        <v>8.73</v>
      </c>
      <c r="I352" s="176">
        <v>30</v>
      </c>
    </row>
    <row r="353" spans="2:9" x14ac:dyDescent="0.25">
      <c r="B353" s="153"/>
      <c r="C353" s="150"/>
      <c r="D353" s="141" t="s">
        <v>592</v>
      </c>
      <c r="E353" s="141" t="s">
        <v>603</v>
      </c>
      <c r="F353" s="159">
        <v>41802</v>
      </c>
      <c r="G353" s="189">
        <v>1</v>
      </c>
      <c r="H353" s="175">
        <v>3.43</v>
      </c>
      <c r="I353" s="176">
        <v>10.16</v>
      </c>
    </row>
    <row r="354" spans="2:9" x14ac:dyDescent="0.25">
      <c r="B354" s="153"/>
      <c r="C354" s="150"/>
      <c r="D354" s="141" t="s">
        <v>552</v>
      </c>
      <c r="E354" s="141" t="s">
        <v>75</v>
      </c>
      <c r="F354" s="159">
        <v>41272</v>
      </c>
      <c r="G354" s="189">
        <v>1</v>
      </c>
      <c r="H354" s="175">
        <v>21.24</v>
      </c>
      <c r="I354" s="176">
        <v>80</v>
      </c>
    </row>
    <row r="355" spans="2:9" x14ac:dyDescent="0.25">
      <c r="B355" s="153"/>
      <c r="C355" s="150"/>
      <c r="D355" s="141" t="s">
        <v>408</v>
      </c>
      <c r="E355" s="141" t="s">
        <v>75</v>
      </c>
      <c r="F355" s="159">
        <v>41425</v>
      </c>
      <c r="G355" s="189">
        <v>1</v>
      </c>
      <c r="H355" s="175">
        <v>10.566000000000001</v>
      </c>
      <c r="I355" s="176">
        <v>32</v>
      </c>
    </row>
    <row r="356" spans="2:9" x14ac:dyDescent="0.25">
      <c r="B356" s="153"/>
      <c r="C356" s="150"/>
      <c r="D356" s="141" t="s">
        <v>599</v>
      </c>
      <c r="E356" s="141" t="s">
        <v>603</v>
      </c>
      <c r="F356" s="159">
        <v>41929</v>
      </c>
      <c r="G356" s="189">
        <v>1</v>
      </c>
      <c r="H356" s="175">
        <v>3.9780000000000002</v>
      </c>
      <c r="I356" s="176">
        <v>10.063000000000001</v>
      </c>
    </row>
    <row r="357" spans="2:9" ht="15.75" thickBot="1" x14ac:dyDescent="0.3">
      <c r="B357" s="154"/>
      <c r="C357" s="151" t="s">
        <v>652</v>
      </c>
      <c r="D357" s="156"/>
      <c r="E357" s="156"/>
      <c r="F357" s="157"/>
      <c r="G357" s="190">
        <v>27</v>
      </c>
      <c r="H357" s="177">
        <v>631.95900000000006</v>
      </c>
      <c r="I357" s="178">
        <v>2074.9730000000004</v>
      </c>
    </row>
    <row r="358" spans="2:9" x14ac:dyDescent="0.25">
      <c r="B358" s="152" t="s">
        <v>140</v>
      </c>
      <c r="C358" s="149" t="s">
        <v>56</v>
      </c>
      <c r="D358" s="160" t="s">
        <v>222</v>
      </c>
      <c r="E358" s="160" t="s">
        <v>75</v>
      </c>
      <c r="F358" s="163">
        <v>41460</v>
      </c>
      <c r="G358" s="191">
        <v>1</v>
      </c>
      <c r="H358" s="173">
        <v>29.303999999999998</v>
      </c>
      <c r="I358" s="174">
        <v>109</v>
      </c>
    </row>
    <row r="359" spans="2:9" x14ac:dyDescent="0.25">
      <c r="B359" s="153"/>
      <c r="C359" s="150"/>
      <c r="D359" s="141" t="s">
        <v>511</v>
      </c>
      <c r="E359" s="141" t="s">
        <v>75</v>
      </c>
      <c r="F359" s="159">
        <v>41258</v>
      </c>
      <c r="G359" s="189">
        <v>1</v>
      </c>
      <c r="H359" s="175">
        <v>4.42</v>
      </c>
      <c r="I359" s="176">
        <v>13.65</v>
      </c>
    </row>
    <row r="360" spans="2:9" x14ac:dyDescent="0.25">
      <c r="B360" s="153"/>
      <c r="C360" s="150"/>
      <c r="D360" s="141" t="s">
        <v>425</v>
      </c>
      <c r="E360" s="141" t="s">
        <v>75</v>
      </c>
      <c r="F360" s="158">
        <v>2010</v>
      </c>
      <c r="G360" s="189">
        <v>1</v>
      </c>
      <c r="H360" s="175">
        <v>91.54</v>
      </c>
      <c r="I360" s="176">
        <v>360</v>
      </c>
    </row>
    <row r="361" spans="2:9" x14ac:dyDescent="0.25">
      <c r="B361" s="153"/>
      <c r="C361" s="150"/>
      <c r="D361" s="141" t="s">
        <v>601</v>
      </c>
      <c r="E361" s="141" t="s">
        <v>603</v>
      </c>
      <c r="F361" s="159">
        <v>41927</v>
      </c>
      <c r="G361" s="189">
        <v>1</v>
      </c>
      <c r="H361" s="175">
        <v>2.36</v>
      </c>
      <c r="I361" s="176">
        <v>9.66</v>
      </c>
    </row>
    <row r="362" spans="2:9" x14ac:dyDescent="0.25">
      <c r="B362" s="153"/>
      <c r="C362" s="150"/>
      <c r="D362" s="141" t="s">
        <v>602</v>
      </c>
      <c r="E362" s="141" t="s">
        <v>603</v>
      </c>
      <c r="F362" s="159">
        <v>41992</v>
      </c>
      <c r="G362" s="189">
        <v>1</v>
      </c>
      <c r="H362" s="175">
        <v>8.82</v>
      </c>
      <c r="I362" s="176">
        <v>32.543999999999997</v>
      </c>
    </row>
    <row r="363" spans="2:9" x14ac:dyDescent="0.25">
      <c r="B363" s="153"/>
      <c r="C363" s="150"/>
      <c r="D363" s="141" t="s">
        <v>200</v>
      </c>
      <c r="E363" s="141" t="s">
        <v>75</v>
      </c>
      <c r="F363" s="158">
        <v>1961</v>
      </c>
      <c r="G363" s="189">
        <v>1</v>
      </c>
      <c r="H363" s="175">
        <v>18.600000000000001</v>
      </c>
      <c r="I363" s="176">
        <v>110</v>
      </c>
    </row>
    <row r="364" spans="2:9" x14ac:dyDescent="0.25">
      <c r="B364" s="153"/>
      <c r="C364" s="150"/>
      <c r="D364" s="141" t="s">
        <v>308</v>
      </c>
      <c r="E364" s="141" t="s">
        <v>75</v>
      </c>
      <c r="F364" s="159">
        <v>40688</v>
      </c>
      <c r="G364" s="189">
        <v>1</v>
      </c>
      <c r="H364" s="175">
        <v>25.2</v>
      </c>
      <c r="I364" s="176">
        <v>126</v>
      </c>
    </row>
    <row r="365" spans="2:9" x14ac:dyDescent="0.25">
      <c r="B365" s="153"/>
      <c r="C365" s="150"/>
      <c r="D365" s="141" t="s">
        <v>450</v>
      </c>
      <c r="E365" s="141" t="s">
        <v>75</v>
      </c>
      <c r="F365" s="158">
        <v>2010</v>
      </c>
      <c r="G365" s="189">
        <v>1</v>
      </c>
      <c r="H365" s="175">
        <v>9.5</v>
      </c>
      <c r="I365" s="176">
        <v>40</v>
      </c>
    </row>
    <row r="366" spans="2:9" x14ac:dyDescent="0.25">
      <c r="B366" s="153"/>
      <c r="C366" s="150"/>
      <c r="D366" s="141" t="s">
        <v>589</v>
      </c>
      <c r="E366" s="141" t="s">
        <v>603</v>
      </c>
      <c r="F366" s="159">
        <v>41836</v>
      </c>
      <c r="G366" s="189">
        <v>1</v>
      </c>
      <c r="H366" s="175">
        <v>13.5</v>
      </c>
      <c r="I366" s="176">
        <v>46.89</v>
      </c>
    </row>
    <row r="367" spans="2:9" x14ac:dyDescent="0.25">
      <c r="B367" s="153"/>
      <c r="C367" s="150"/>
      <c r="D367" s="141" t="s">
        <v>468</v>
      </c>
      <c r="E367" s="141" t="s">
        <v>75</v>
      </c>
      <c r="F367" s="158">
        <v>2010</v>
      </c>
      <c r="G367" s="189">
        <v>1</v>
      </c>
      <c r="H367" s="175">
        <v>8.8000000000000007</v>
      </c>
      <c r="I367" s="176">
        <v>31.97</v>
      </c>
    </row>
    <row r="368" spans="2:9" x14ac:dyDescent="0.25">
      <c r="B368" s="153"/>
      <c r="C368" s="150"/>
      <c r="D368" s="141" t="s">
        <v>555</v>
      </c>
      <c r="E368" s="141" t="s">
        <v>75</v>
      </c>
      <c r="F368" s="158">
        <v>2009</v>
      </c>
      <c r="G368" s="189">
        <v>1</v>
      </c>
      <c r="H368" s="175">
        <v>62.15</v>
      </c>
      <c r="I368" s="176">
        <v>156</v>
      </c>
    </row>
    <row r="369" spans="2:9" x14ac:dyDescent="0.25">
      <c r="B369" s="153"/>
      <c r="C369" s="150"/>
      <c r="D369" s="141" t="s">
        <v>556</v>
      </c>
      <c r="E369" s="141" t="s">
        <v>75</v>
      </c>
      <c r="F369" s="159">
        <v>41541</v>
      </c>
      <c r="G369" s="189">
        <v>1</v>
      </c>
      <c r="H369" s="175">
        <v>19.690000000000001</v>
      </c>
      <c r="I369" s="176">
        <v>100.646</v>
      </c>
    </row>
    <row r="370" spans="2:9" x14ac:dyDescent="0.25">
      <c r="B370" s="153"/>
      <c r="C370" s="150"/>
      <c r="D370" s="141" t="s">
        <v>597</v>
      </c>
      <c r="E370" s="141" t="s">
        <v>603</v>
      </c>
      <c r="F370" s="159">
        <v>42004</v>
      </c>
      <c r="G370" s="189">
        <v>1</v>
      </c>
      <c r="H370" s="175">
        <v>3.72</v>
      </c>
      <c r="I370" s="176">
        <v>14.47</v>
      </c>
    </row>
    <row r="371" spans="2:9" x14ac:dyDescent="0.25">
      <c r="B371" s="153"/>
      <c r="C371" s="150"/>
      <c r="D371" s="141" t="s">
        <v>406</v>
      </c>
      <c r="E371" s="141" t="s">
        <v>75</v>
      </c>
      <c r="F371" s="158">
        <v>2010</v>
      </c>
      <c r="G371" s="189">
        <v>1</v>
      </c>
      <c r="H371" s="175">
        <v>40.24</v>
      </c>
      <c r="I371" s="176">
        <v>180</v>
      </c>
    </row>
    <row r="372" spans="2:9" ht="15.75" thickBot="1" x14ac:dyDescent="0.3">
      <c r="B372" s="154"/>
      <c r="C372" s="151" t="s">
        <v>653</v>
      </c>
      <c r="D372" s="156"/>
      <c r="E372" s="156"/>
      <c r="F372" s="157"/>
      <c r="G372" s="190">
        <v>14</v>
      </c>
      <c r="H372" s="177">
        <v>337.84400000000005</v>
      </c>
      <c r="I372" s="178">
        <v>1330.83</v>
      </c>
    </row>
    <row r="373" spans="2:9" x14ac:dyDescent="0.25">
      <c r="B373" s="152" t="s">
        <v>115</v>
      </c>
      <c r="C373" s="149" t="s">
        <v>10</v>
      </c>
      <c r="D373" s="160" t="s">
        <v>234</v>
      </c>
      <c r="E373" s="160" t="s">
        <v>75</v>
      </c>
      <c r="F373" s="161">
        <v>2010</v>
      </c>
      <c r="G373" s="191">
        <v>1</v>
      </c>
      <c r="H373" s="173">
        <v>12.41</v>
      </c>
      <c r="I373" s="174">
        <v>40</v>
      </c>
    </row>
    <row r="374" spans="2:9" x14ac:dyDescent="0.25">
      <c r="B374" s="153"/>
      <c r="C374" s="150"/>
      <c r="D374" s="141" t="s">
        <v>414</v>
      </c>
      <c r="E374" s="141" t="s">
        <v>75</v>
      </c>
      <c r="F374" s="159">
        <v>41137</v>
      </c>
      <c r="G374" s="189">
        <v>1</v>
      </c>
      <c r="H374" s="175">
        <v>32.409999999999997</v>
      </c>
      <c r="I374" s="176">
        <v>76.36</v>
      </c>
    </row>
    <row r="375" spans="2:9" x14ac:dyDescent="0.25">
      <c r="B375" s="153"/>
      <c r="C375" s="150"/>
      <c r="D375" s="141" t="s">
        <v>249</v>
      </c>
      <c r="E375" s="141" t="s">
        <v>75</v>
      </c>
      <c r="F375" s="158">
        <v>2008</v>
      </c>
      <c r="G375" s="189">
        <v>1</v>
      </c>
      <c r="H375" s="175">
        <v>11</v>
      </c>
      <c r="I375" s="176">
        <v>47</v>
      </c>
    </row>
    <row r="376" spans="2:9" x14ac:dyDescent="0.25">
      <c r="B376" s="153"/>
      <c r="C376" s="150"/>
      <c r="D376" s="141" t="s">
        <v>251</v>
      </c>
      <c r="E376" s="141" t="s">
        <v>75</v>
      </c>
      <c r="F376" s="158">
        <v>2009</v>
      </c>
      <c r="G376" s="189">
        <v>1</v>
      </c>
      <c r="H376" s="175">
        <v>16.206</v>
      </c>
      <c r="I376" s="176">
        <v>59.927999999999997</v>
      </c>
    </row>
    <row r="377" spans="2:9" x14ac:dyDescent="0.25">
      <c r="B377" s="153"/>
      <c r="C377" s="150"/>
      <c r="D377" s="141" t="s">
        <v>260</v>
      </c>
      <c r="E377" s="141" t="s">
        <v>75</v>
      </c>
      <c r="F377" s="158">
        <v>2013</v>
      </c>
      <c r="G377" s="189">
        <v>1</v>
      </c>
      <c r="H377" s="175">
        <v>7.77</v>
      </c>
      <c r="I377" s="176">
        <v>31.17</v>
      </c>
    </row>
    <row r="378" spans="2:9" x14ac:dyDescent="0.25">
      <c r="B378" s="153"/>
      <c r="C378" s="150"/>
      <c r="D378" s="141" t="s">
        <v>272</v>
      </c>
      <c r="E378" s="141" t="s">
        <v>75</v>
      </c>
      <c r="F378" s="158">
        <v>2013</v>
      </c>
      <c r="G378" s="189">
        <v>1</v>
      </c>
      <c r="H378" s="175">
        <v>19.04</v>
      </c>
      <c r="I378" s="176">
        <v>35.79</v>
      </c>
    </row>
    <row r="379" spans="2:9" x14ac:dyDescent="0.25">
      <c r="B379" s="153"/>
      <c r="C379" s="150"/>
      <c r="D379" s="141" t="s">
        <v>280</v>
      </c>
      <c r="E379" s="141" t="s">
        <v>75</v>
      </c>
      <c r="F379" s="158">
        <v>2012</v>
      </c>
      <c r="G379" s="189">
        <v>1</v>
      </c>
      <c r="H379" s="175">
        <v>22.5</v>
      </c>
      <c r="I379" s="176">
        <v>86.97</v>
      </c>
    </row>
    <row r="380" spans="2:9" x14ac:dyDescent="0.25">
      <c r="B380" s="153"/>
      <c r="C380" s="150"/>
      <c r="D380" s="141" t="s">
        <v>281</v>
      </c>
      <c r="E380" s="141" t="s">
        <v>75</v>
      </c>
      <c r="F380" s="158">
        <v>2012</v>
      </c>
      <c r="G380" s="189">
        <v>1</v>
      </c>
      <c r="H380" s="175">
        <v>45</v>
      </c>
      <c r="I380" s="176">
        <v>125</v>
      </c>
    </row>
    <row r="381" spans="2:9" x14ac:dyDescent="0.25">
      <c r="B381" s="153"/>
      <c r="C381" s="150"/>
      <c r="D381" s="141" t="s">
        <v>164</v>
      </c>
      <c r="E381" s="141" t="s">
        <v>75</v>
      </c>
      <c r="F381" s="158">
        <v>1984</v>
      </c>
      <c r="G381" s="189">
        <v>1</v>
      </c>
      <c r="H381" s="175">
        <v>0.3</v>
      </c>
      <c r="I381" s="176">
        <v>1</v>
      </c>
    </row>
    <row r="382" spans="2:9" x14ac:dyDescent="0.25">
      <c r="B382" s="153"/>
      <c r="C382" s="150"/>
      <c r="D382" s="141" t="s">
        <v>532</v>
      </c>
      <c r="E382" s="141" t="s">
        <v>75</v>
      </c>
      <c r="F382" s="158">
        <v>2009</v>
      </c>
      <c r="G382" s="189">
        <v>1</v>
      </c>
      <c r="H382" s="175">
        <v>8.48</v>
      </c>
      <c r="I382" s="176">
        <v>32.42</v>
      </c>
    </row>
    <row r="383" spans="2:9" x14ac:dyDescent="0.25">
      <c r="B383" s="153"/>
      <c r="C383" s="150"/>
      <c r="D383" s="141" t="s">
        <v>347</v>
      </c>
      <c r="E383" s="141" t="s">
        <v>75</v>
      </c>
      <c r="F383" s="158">
        <v>2010</v>
      </c>
      <c r="G383" s="189">
        <v>1</v>
      </c>
      <c r="H383" s="175">
        <v>24.2</v>
      </c>
      <c r="I383" s="176">
        <v>67</v>
      </c>
    </row>
    <row r="384" spans="2:9" x14ac:dyDescent="0.25">
      <c r="B384" s="153"/>
      <c r="C384" s="150"/>
      <c r="D384" s="141" t="s">
        <v>358</v>
      </c>
      <c r="E384" s="141" t="s">
        <v>75</v>
      </c>
      <c r="F384" s="159">
        <v>41015</v>
      </c>
      <c r="G384" s="189">
        <v>1</v>
      </c>
      <c r="H384" s="175">
        <v>26.6</v>
      </c>
      <c r="I384" s="176">
        <v>64.319999999999993</v>
      </c>
    </row>
    <row r="385" spans="2:9" x14ac:dyDescent="0.25">
      <c r="B385" s="153"/>
      <c r="C385" s="150"/>
      <c r="D385" s="141" t="s">
        <v>400</v>
      </c>
      <c r="E385" s="141" t="s">
        <v>75</v>
      </c>
      <c r="F385" s="158">
        <v>2013</v>
      </c>
      <c r="G385" s="189">
        <v>1</v>
      </c>
      <c r="H385" s="175">
        <v>4.67</v>
      </c>
      <c r="I385" s="176">
        <v>20.87</v>
      </c>
    </row>
    <row r="386" spans="2:9" ht="15.75" thickBot="1" x14ac:dyDescent="0.3">
      <c r="B386" s="154"/>
      <c r="C386" s="151" t="s">
        <v>654</v>
      </c>
      <c r="D386" s="156"/>
      <c r="E386" s="156"/>
      <c r="F386" s="157"/>
      <c r="G386" s="190">
        <v>13</v>
      </c>
      <c r="H386" s="177">
        <v>230.58599999999996</v>
      </c>
      <c r="I386" s="178">
        <v>687.82800000000009</v>
      </c>
    </row>
    <row r="387" spans="2:9" x14ac:dyDescent="0.25">
      <c r="B387" s="152" t="s">
        <v>116</v>
      </c>
      <c r="C387" s="149" t="s">
        <v>32</v>
      </c>
      <c r="D387" s="160" t="s">
        <v>497</v>
      </c>
      <c r="E387" s="160" t="s">
        <v>72</v>
      </c>
      <c r="F387" s="161">
        <v>2008</v>
      </c>
      <c r="G387" s="191">
        <v>1</v>
      </c>
      <c r="H387" s="173">
        <v>101.94</v>
      </c>
      <c r="I387" s="174">
        <v>315</v>
      </c>
    </row>
    <row r="388" spans="2:9" x14ac:dyDescent="0.25">
      <c r="B388" s="153"/>
      <c r="C388" s="150"/>
      <c r="D388" s="141" t="s">
        <v>565</v>
      </c>
      <c r="E388" s="141" t="s">
        <v>75</v>
      </c>
      <c r="F388" s="159">
        <v>41794</v>
      </c>
      <c r="G388" s="189">
        <v>1</v>
      </c>
      <c r="H388" s="175">
        <v>0.495</v>
      </c>
      <c r="I388" s="176">
        <v>1.5</v>
      </c>
    </row>
    <row r="389" spans="2:9" x14ac:dyDescent="0.25">
      <c r="B389" s="153"/>
      <c r="C389" s="150"/>
      <c r="D389" s="141" t="s">
        <v>492</v>
      </c>
      <c r="E389" s="141" t="s">
        <v>72</v>
      </c>
      <c r="F389" s="159">
        <v>41061</v>
      </c>
      <c r="G389" s="189">
        <v>1</v>
      </c>
      <c r="H389" s="175">
        <v>229.68</v>
      </c>
      <c r="I389" s="176">
        <v>900</v>
      </c>
    </row>
    <row r="390" spans="2:9" x14ac:dyDescent="0.25">
      <c r="B390" s="153"/>
      <c r="C390" s="150"/>
      <c r="D390" s="141" t="s">
        <v>247</v>
      </c>
      <c r="E390" s="141" t="s">
        <v>75</v>
      </c>
      <c r="F390" s="159">
        <v>41060</v>
      </c>
      <c r="G390" s="189">
        <v>1</v>
      </c>
      <c r="H390" s="175">
        <v>68.861999999999995</v>
      </c>
      <c r="I390" s="176">
        <v>192</v>
      </c>
    </row>
    <row r="391" spans="2:9" x14ac:dyDescent="0.25">
      <c r="B391" s="153"/>
      <c r="C391" s="150"/>
      <c r="D391" s="141" t="s">
        <v>269</v>
      </c>
      <c r="E391" s="141" t="s">
        <v>75</v>
      </c>
      <c r="F391" s="159">
        <v>41435</v>
      </c>
      <c r="G391" s="189">
        <v>1</v>
      </c>
      <c r="H391" s="175">
        <v>13</v>
      </c>
      <c r="I391" s="176">
        <v>45</v>
      </c>
    </row>
    <row r="392" spans="2:9" x14ac:dyDescent="0.25">
      <c r="B392" s="153"/>
      <c r="C392" s="150"/>
      <c r="D392" s="141" t="s">
        <v>288</v>
      </c>
      <c r="E392" s="141" t="s">
        <v>75</v>
      </c>
      <c r="F392" s="159">
        <v>41213</v>
      </c>
      <c r="G392" s="189">
        <v>1</v>
      </c>
      <c r="H392" s="175">
        <v>19.75</v>
      </c>
      <c r="I392" s="176">
        <v>36</v>
      </c>
    </row>
    <row r="393" spans="2:9" x14ac:dyDescent="0.25">
      <c r="B393" s="153"/>
      <c r="C393" s="150"/>
      <c r="D393" s="141" t="s">
        <v>299</v>
      </c>
      <c r="E393" s="141" t="s">
        <v>75</v>
      </c>
      <c r="F393" s="159">
        <v>41515</v>
      </c>
      <c r="G393" s="189">
        <v>1</v>
      </c>
      <c r="H393" s="175">
        <v>13.58</v>
      </c>
      <c r="I393" s="176">
        <v>32.07</v>
      </c>
    </row>
    <row r="394" spans="2:9" x14ac:dyDescent="0.25">
      <c r="B394" s="153"/>
      <c r="C394" s="150"/>
      <c r="D394" s="141" t="s">
        <v>340</v>
      </c>
      <c r="E394" s="141" t="s">
        <v>75</v>
      </c>
      <c r="F394" s="159">
        <v>41467</v>
      </c>
      <c r="G394" s="189">
        <v>1</v>
      </c>
      <c r="H394" s="175">
        <v>14.66</v>
      </c>
      <c r="I394" s="176">
        <v>60</v>
      </c>
    </row>
    <row r="395" spans="2:9" x14ac:dyDescent="0.25">
      <c r="B395" s="153"/>
      <c r="C395" s="150"/>
      <c r="D395" s="141" t="s">
        <v>542</v>
      </c>
      <c r="E395" s="141" t="s">
        <v>75</v>
      </c>
      <c r="F395" s="159">
        <v>41354</v>
      </c>
      <c r="G395" s="189">
        <v>1</v>
      </c>
      <c r="H395" s="175">
        <v>6.63</v>
      </c>
      <c r="I395" s="176">
        <v>30</v>
      </c>
    </row>
    <row r="396" spans="2:9" ht="15.75" thickBot="1" x14ac:dyDescent="0.3">
      <c r="B396" s="154"/>
      <c r="C396" s="151" t="s">
        <v>655</v>
      </c>
      <c r="D396" s="156"/>
      <c r="E396" s="156"/>
      <c r="F396" s="157"/>
      <c r="G396" s="190">
        <v>9</v>
      </c>
      <c r="H396" s="177">
        <v>468.59699999999998</v>
      </c>
      <c r="I396" s="178">
        <v>1611.57</v>
      </c>
    </row>
    <row r="397" spans="2:9" x14ac:dyDescent="0.25">
      <c r="B397" s="152" t="s">
        <v>117</v>
      </c>
      <c r="C397" s="149" t="s">
        <v>28</v>
      </c>
      <c r="D397" s="160" t="s">
        <v>493</v>
      </c>
      <c r="E397" s="160" t="s">
        <v>75</v>
      </c>
      <c r="F397" s="161">
        <v>2006</v>
      </c>
      <c r="G397" s="191">
        <v>1</v>
      </c>
      <c r="H397" s="173">
        <v>27.27</v>
      </c>
      <c r="I397" s="174">
        <v>86.39</v>
      </c>
    </row>
    <row r="398" spans="2:9" x14ac:dyDescent="0.25">
      <c r="B398" s="153"/>
      <c r="C398" s="150"/>
      <c r="D398" s="141" t="s">
        <v>498</v>
      </c>
      <c r="E398" s="141" t="s">
        <v>75</v>
      </c>
      <c r="F398" s="158">
        <v>2012</v>
      </c>
      <c r="G398" s="189">
        <v>1</v>
      </c>
      <c r="H398" s="175">
        <v>16.32</v>
      </c>
      <c r="I398" s="176">
        <v>42.14</v>
      </c>
    </row>
    <row r="399" spans="2:9" x14ac:dyDescent="0.25">
      <c r="B399" s="153"/>
      <c r="C399" s="150"/>
      <c r="D399" s="141" t="s">
        <v>569</v>
      </c>
      <c r="E399" s="141" t="s">
        <v>72</v>
      </c>
      <c r="F399" s="159">
        <v>41789</v>
      </c>
      <c r="G399" s="189">
        <v>1</v>
      </c>
      <c r="H399" s="175">
        <v>244.83</v>
      </c>
      <c r="I399" s="176">
        <v>842.1</v>
      </c>
    </row>
    <row r="400" spans="2:9" x14ac:dyDescent="0.25">
      <c r="B400" s="153"/>
      <c r="C400" s="150"/>
      <c r="D400" s="141" t="s">
        <v>442</v>
      </c>
      <c r="E400" s="141" t="s">
        <v>75</v>
      </c>
      <c r="F400" s="159">
        <v>41167</v>
      </c>
      <c r="G400" s="189">
        <v>1</v>
      </c>
      <c r="H400" s="175">
        <v>4.1900000000000004</v>
      </c>
      <c r="I400" s="176">
        <v>11</v>
      </c>
    </row>
    <row r="401" spans="2:9" x14ac:dyDescent="0.25">
      <c r="B401" s="153"/>
      <c r="C401" s="150"/>
      <c r="D401" s="141" t="s">
        <v>283</v>
      </c>
      <c r="E401" s="141" t="s">
        <v>75</v>
      </c>
      <c r="F401" s="158">
        <v>2012</v>
      </c>
      <c r="G401" s="189">
        <v>1</v>
      </c>
      <c r="H401" s="175">
        <v>9.33</v>
      </c>
      <c r="I401" s="176">
        <v>42</v>
      </c>
    </row>
    <row r="402" spans="2:9" x14ac:dyDescent="0.25">
      <c r="B402" s="153"/>
      <c r="C402" s="150"/>
      <c r="D402" s="141" t="s">
        <v>291</v>
      </c>
      <c r="E402" s="141" t="s">
        <v>75</v>
      </c>
      <c r="F402" s="159">
        <v>41425</v>
      </c>
      <c r="G402" s="189">
        <v>1</v>
      </c>
      <c r="H402" s="175">
        <v>6.8659999999999997</v>
      </c>
      <c r="I402" s="176">
        <v>25.8</v>
      </c>
    </row>
    <row r="403" spans="2:9" x14ac:dyDescent="0.25">
      <c r="B403" s="153"/>
      <c r="C403" s="150"/>
      <c r="D403" s="141" t="s">
        <v>446</v>
      </c>
      <c r="E403" s="141" t="s">
        <v>72</v>
      </c>
      <c r="F403" s="159">
        <v>40991</v>
      </c>
      <c r="G403" s="189">
        <v>1</v>
      </c>
      <c r="H403" s="175">
        <v>96</v>
      </c>
      <c r="I403" s="176">
        <v>314</v>
      </c>
    </row>
    <row r="404" spans="2:9" x14ac:dyDescent="0.25">
      <c r="B404" s="153"/>
      <c r="C404" s="150"/>
      <c r="D404" s="141" t="s">
        <v>582</v>
      </c>
      <c r="E404" s="141" t="s">
        <v>603</v>
      </c>
      <c r="F404" s="159">
        <v>41751</v>
      </c>
      <c r="G404" s="189">
        <v>1</v>
      </c>
      <c r="H404" s="175">
        <v>7.19</v>
      </c>
      <c r="I404" s="176">
        <v>25.22</v>
      </c>
    </row>
    <row r="405" spans="2:9" x14ac:dyDescent="0.25">
      <c r="B405" s="153"/>
      <c r="C405" s="150"/>
      <c r="D405" s="141" t="s">
        <v>315</v>
      </c>
      <c r="E405" s="141" t="s">
        <v>75</v>
      </c>
      <c r="F405" s="158">
        <v>2009</v>
      </c>
      <c r="G405" s="189">
        <v>1</v>
      </c>
      <c r="H405" s="175">
        <v>10.8</v>
      </c>
      <c r="I405" s="176">
        <v>40</v>
      </c>
    </row>
    <row r="406" spans="2:9" x14ac:dyDescent="0.25">
      <c r="B406" s="153"/>
      <c r="C406" s="150"/>
      <c r="D406" s="141" t="s">
        <v>319</v>
      </c>
      <c r="E406" s="141" t="s">
        <v>75</v>
      </c>
      <c r="F406" s="158">
        <v>2011</v>
      </c>
      <c r="G406" s="189">
        <v>1</v>
      </c>
      <c r="H406" s="175">
        <v>3.84</v>
      </c>
      <c r="I406" s="176">
        <v>21.56</v>
      </c>
    </row>
    <row r="407" spans="2:9" x14ac:dyDescent="0.25">
      <c r="B407" s="153"/>
      <c r="C407" s="150"/>
      <c r="D407" s="141" t="s">
        <v>535</v>
      </c>
      <c r="E407" s="141" t="s">
        <v>75</v>
      </c>
      <c r="F407" s="158">
        <v>2011</v>
      </c>
      <c r="G407" s="189">
        <v>1</v>
      </c>
      <c r="H407" s="175">
        <v>3.08</v>
      </c>
      <c r="I407" s="176">
        <v>18.97</v>
      </c>
    </row>
    <row r="408" spans="2:9" x14ac:dyDescent="0.25">
      <c r="B408" s="153"/>
      <c r="C408" s="150"/>
      <c r="D408" s="141" t="s">
        <v>536</v>
      </c>
      <c r="E408" s="141" t="s">
        <v>75</v>
      </c>
      <c r="F408" s="158">
        <v>2011</v>
      </c>
      <c r="G408" s="189">
        <v>1</v>
      </c>
      <c r="H408" s="175">
        <v>10.35</v>
      </c>
      <c r="I408" s="176">
        <v>57.76</v>
      </c>
    </row>
    <row r="409" spans="2:9" x14ac:dyDescent="0.25">
      <c r="B409" s="153"/>
      <c r="C409" s="150"/>
      <c r="D409" s="141" t="s">
        <v>537</v>
      </c>
      <c r="E409" s="141" t="s">
        <v>75</v>
      </c>
      <c r="F409" s="158">
        <v>2011</v>
      </c>
      <c r="G409" s="189">
        <v>1</v>
      </c>
      <c r="H409" s="175">
        <v>4.5999999999999996</v>
      </c>
      <c r="I409" s="176">
        <v>21.62</v>
      </c>
    </row>
    <row r="410" spans="2:9" x14ac:dyDescent="0.25">
      <c r="B410" s="153"/>
      <c r="C410" s="150"/>
      <c r="D410" s="141" t="s">
        <v>197</v>
      </c>
      <c r="E410" s="141" t="s">
        <v>72</v>
      </c>
      <c r="F410" s="158">
        <v>1999</v>
      </c>
      <c r="G410" s="189">
        <v>1</v>
      </c>
      <c r="H410" s="175">
        <v>20.9</v>
      </c>
      <c r="I410" s="176">
        <v>36</v>
      </c>
    </row>
    <row r="411" spans="2:9" x14ac:dyDescent="0.25">
      <c r="B411" s="153"/>
      <c r="C411" s="150"/>
      <c r="D411" s="141" t="s">
        <v>356</v>
      </c>
      <c r="E411" s="141" t="s">
        <v>75</v>
      </c>
      <c r="F411" s="158">
        <v>2013</v>
      </c>
      <c r="G411" s="189">
        <v>1</v>
      </c>
      <c r="H411" s="175">
        <v>36.380000000000003</v>
      </c>
      <c r="I411" s="176">
        <v>83.83</v>
      </c>
    </row>
    <row r="412" spans="2:9" x14ac:dyDescent="0.25">
      <c r="B412" s="153"/>
      <c r="C412" s="150"/>
      <c r="D412" s="141" t="s">
        <v>373</v>
      </c>
      <c r="E412" s="141" t="s">
        <v>75</v>
      </c>
      <c r="F412" s="159">
        <v>41005</v>
      </c>
      <c r="G412" s="189">
        <v>1</v>
      </c>
      <c r="H412" s="175">
        <v>18</v>
      </c>
      <c r="I412" s="176">
        <v>60</v>
      </c>
    </row>
    <row r="413" spans="2:9" x14ac:dyDescent="0.25">
      <c r="B413" s="153"/>
      <c r="C413" s="150"/>
      <c r="D413" s="141" t="s">
        <v>593</v>
      </c>
      <c r="E413" s="141" t="s">
        <v>603</v>
      </c>
      <c r="F413" s="159">
        <v>41772</v>
      </c>
      <c r="G413" s="189">
        <v>1</v>
      </c>
      <c r="H413" s="175">
        <v>7.39</v>
      </c>
      <c r="I413" s="176">
        <v>14.03</v>
      </c>
    </row>
    <row r="414" spans="2:9" x14ac:dyDescent="0.25">
      <c r="B414" s="153"/>
      <c r="C414" s="150"/>
      <c r="D414" s="141" t="s">
        <v>553</v>
      </c>
      <c r="E414" s="141" t="s">
        <v>75</v>
      </c>
      <c r="F414" s="159">
        <v>40999</v>
      </c>
      <c r="G414" s="189">
        <v>1</v>
      </c>
      <c r="H414" s="175">
        <v>16.66</v>
      </c>
      <c r="I414" s="176">
        <v>49.23</v>
      </c>
    </row>
    <row r="415" spans="2:9" x14ac:dyDescent="0.25">
      <c r="B415" s="153"/>
      <c r="C415" s="150"/>
      <c r="D415" s="141" t="s">
        <v>403</v>
      </c>
      <c r="E415" s="141" t="s">
        <v>75</v>
      </c>
      <c r="F415" s="158">
        <v>2013</v>
      </c>
      <c r="G415" s="189">
        <v>1</v>
      </c>
      <c r="H415" s="175">
        <v>14.9</v>
      </c>
      <c r="I415" s="176">
        <v>35</v>
      </c>
    </row>
    <row r="416" spans="2:9" x14ac:dyDescent="0.25">
      <c r="B416" s="153"/>
      <c r="C416" s="150"/>
      <c r="D416" s="141" t="s">
        <v>479</v>
      </c>
      <c r="E416" s="141" t="s">
        <v>75</v>
      </c>
      <c r="F416" s="158">
        <v>2011</v>
      </c>
      <c r="G416" s="189">
        <v>1</v>
      </c>
      <c r="H416" s="175">
        <v>21.9</v>
      </c>
      <c r="I416" s="176">
        <v>70</v>
      </c>
    </row>
    <row r="417" spans="2:9" ht="15.75" thickBot="1" x14ac:dyDescent="0.3">
      <c r="B417" s="154"/>
      <c r="C417" s="151" t="s">
        <v>656</v>
      </c>
      <c r="D417" s="156"/>
      <c r="E417" s="156"/>
      <c r="F417" s="157"/>
      <c r="G417" s="190">
        <v>20</v>
      </c>
      <c r="H417" s="177">
        <v>580.79599999999982</v>
      </c>
      <c r="I417" s="178">
        <v>1896.6499999999999</v>
      </c>
    </row>
    <row r="418" spans="2:9" x14ac:dyDescent="0.25">
      <c r="B418" s="152" t="s">
        <v>118</v>
      </c>
      <c r="C418" s="149" t="s">
        <v>27</v>
      </c>
      <c r="D418" s="160" t="s">
        <v>515</v>
      </c>
      <c r="E418" s="160" t="s">
        <v>75</v>
      </c>
      <c r="F418" s="161">
        <v>2012</v>
      </c>
      <c r="G418" s="191">
        <v>1</v>
      </c>
      <c r="H418" s="173">
        <v>48.6</v>
      </c>
      <c r="I418" s="174">
        <v>181.25</v>
      </c>
    </row>
    <row r="419" spans="2:9" x14ac:dyDescent="0.25">
      <c r="B419" s="153"/>
      <c r="C419" s="150"/>
      <c r="D419" s="141" t="s">
        <v>430</v>
      </c>
      <c r="E419" s="141" t="s">
        <v>75</v>
      </c>
      <c r="F419" s="159">
        <v>40593</v>
      </c>
      <c r="G419" s="189">
        <v>1</v>
      </c>
      <c r="H419" s="175">
        <v>6.98</v>
      </c>
      <c r="I419" s="176">
        <v>22</v>
      </c>
    </row>
    <row r="420" spans="2:9" x14ac:dyDescent="0.25">
      <c r="B420" s="153"/>
      <c r="C420" s="150"/>
      <c r="D420" s="141" t="s">
        <v>431</v>
      </c>
      <c r="E420" s="141" t="s">
        <v>75</v>
      </c>
      <c r="F420" s="158">
        <v>2008</v>
      </c>
      <c r="G420" s="189">
        <v>1</v>
      </c>
      <c r="H420" s="175">
        <v>12.63</v>
      </c>
      <c r="I420" s="176">
        <v>17.260000000000002</v>
      </c>
    </row>
    <row r="421" spans="2:9" x14ac:dyDescent="0.25">
      <c r="B421" s="153"/>
      <c r="C421" s="150"/>
      <c r="D421" s="141" t="s">
        <v>171</v>
      </c>
      <c r="E421" s="141" t="s">
        <v>75</v>
      </c>
      <c r="F421" s="158">
        <v>1953</v>
      </c>
      <c r="G421" s="189">
        <v>1</v>
      </c>
      <c r="H421" s="175">
        <v>3.04</v>
      </c>
      <c r="I421" s="176">
        <v>18</v>
      </c>
    </row>
    <row r="422" spans="2:9" x14ac:dyDescent="0.25">
      <c r="B422" s="153"/>
      <c r="C422" s="150"/>
      <c r="D422" s="141" t="s">
        <v>206</v>
      </c>
      <c r="E422" s="141" t="s">
        <v>75</v>
      </c>
      <c r="F422" s="158">
        <v>2001</v>
      </c>
      <c r="G422" s="189">
        <v>1</v>
      </c>
      <c r="H422" s="175">
        <v>2.64</v>
      </c>
      <c r="I422" s="176">
        <v>43</v>
      </c>
    </row>
    <row r="423" spans="2:9" x14ac:dyDescent="0.25">
      <c r="B423" s="153"/>
      <c r="C423" s="150"/>
      <c r="D423" s="141" t="s">
        <v>320</v>
      </c>
      <c r="E423" s="141" t="s">
        <v>75</v>
      </c>
      <c r="F423" s="158">
        <v>2011</v>
      </c>
      <c r="G423" s="189">
        <v>1</v>
      </c>
      <c r="H423" s="175">
        <v>4.0999999999999996</v>
      </c>
      <c r="I423" s="176">
        <v>24.27</v>
      </c>
    </row>
    <row r="424" spans="2:9" x14ac:dyDescent="0.25">
      <c r="B424" s="153"/>
      <c r="C424" s="150"/>
      <c r="D424" s="141" t="s">
        <v>452</v>
      </c>
      <c r="E424" s="141" t="s">
        <v>75</v>
      </c>
      <c r="F424" s="158">
        <v>2009</v>
      </c>
      <c r="G424" s="189">
        <v>1</v>
      </c>
      <c r="H424" s="175">
        <v>5.76</v>
      </c>
      <c r="I424" s="176">
        <v>25</v>
      </c>
    </row>
    <row r="425" spans="2:9" x14ac:dyDescent="0.25">
      <c r="B425" s="153"/>
      <c r="C425" s="150"/>
      <c r="D425" s="141" t="s">
        <v>207</v>
      </c>
      <c r="E425" s="141" t="s">
        <v>75</v>
      </c>
      <c r="F425" s="158">
        <v>2001</v>
      </c>
      <c r="G425" s="189">
        <v>1</v>
      </c>
      <c r="H425" s="175">
        <v>8.94</v>
      </c>
      <c r="I425" s="176"/>
    </row>
    <row r="426" spans="2:9" x14ac:dyDescent="0.25">
      <c r="B426" s="153"/>
      <c r="C426" s="150"/>
      <c r="D426" s="141" t="s">
        <v>591</v>
      </c>
      <c r="E426" s="141" t="s">
        <v>603</v>
      </c>
      <c r="F426" s="159">
        <v>41754</v>
      </c>
      <c r="G426" s="189">
        <v>1</v>
      </c>
      <c r="H426" s="175">
        <v>9.7620000000000005</v>
      </c>
      <c r="I426" s="176">
        <v>23.28</v>
      </c>
    </row>
    <row r="427" spans="2:9" x14ac:dyDescent="0.25">
      <c r="B427" s="153"/>
      <c r="C427" s="150"/>
      <c r="D427" s="141" t="s">
        <v>198</v>
      </c>
      <c r="E427" s="141" t="s">
        <v>72</v>
      </c>
      <c r="F427" s="158">
        <v>1990</v>
      </c>
      <c r="G427" s="189">
        <v>1</v>
      </c>
      <c r="H427" s="175">
        <v>15</v>
      </c>
      <c r="I427" s="176">
        <v>51</v>
      </c>
    </row>
    <row r="428" spans="2:9" x14ac:dyDescent="0.25">
      <c r="B428" s="153"/>
      <c r="C428" s="150"/>
      <c r="D428" s="141" t="s">
        <v>392</v>
      </c>
      <c r="E428" s="141" t="s">
        <v>75</v>
      </c>
      <c r="F428" s="158">
        <v>2011</v>
      </c>
      <c r="G428" s="189">
        <v>1</v>
      </c>
      <c r="H428" s="175">
        <v>12.416</v>
      </c>
      <c r="I428" s="176">
        <v>40.65</v>
      </c>
    </row>
    <row r="429" spans="2:9" x14ac:dyDescent="0.25">
      <c r="B429" s="153"/>
      <c r="C429" s="150"/>
      <c r="D429" s="141" t="s">
        <v>407</v>
      </c>
      <c r="E429" s="141" t="s">
        <v>75</v>
      </c>
      <c r="F429" s="158">
        <v>2005</v>
      </c>
      <c r="G429" s="189">
        <v>1</v>
      </c>
      <c r="H429" s="175">
        <v>14</v>
      </c>
      <c r="I429" s="176">
        <v>44.18</v>
      </c>
    </row>
    <row r="430" spans="2:9" ht="15.75" thickBot="1" x14ac:dyDescent="0.3">
      <c r="B430" s="154"/>
      <c r="C430" s="151" t="s">
        <v>657</v>
      </c>
      <c r="D430" s="156"/>
      <c r="E430" s="156"/>
      <c r="F430" s="157"/>
      <c r="G430" s="190">
        <v>12</v>
      </c>
      <c r="H430" s="177">
        <v>143.86799999999999</v>
      </c>
      <c r="I430" s="178">
        <v>489.88999999999993</v>
      </c>
    </row>
    <row r="431" spans="2:9" x14ac:dyDescent="0.25">
      <c r="B431" s="152" t="s">
        <v>119</v>
      </c>
      <c r="C431" s="149" t="s">
        <v>15</v>
      </c>
      <c r="D431" s="160" t="s">
        <v>190</v>
      </c>
      <c r="E431" s="160" t="s">
        <v>75</v>
      </c>
      <c r="F431" s="161">
        <v>1950</v>
      </c>
      <c r="G431" s="191">
        <v>1</v>
      </c>
      <c r="H431" s="173">
        <v>0.39600000000000002</v>
      </c>
      <c r="I431" s="174">
        <v>1.25</v>
      </c>
    </row>
    <row r="432" spans="2:9" x14ac:dyDescent="0.25">
      <c r="B432" s="153"/>
      <c r="C432" s="150"/>
      <c r="D432" s="141" t="s">
        <v>239</v>
      </c>
      <c r="E432" s="141" t="s">
        <v>75</v>
      </c>
      <c r="F432" s="158">
        <v>2010</v>
      </c>
      <c r="G432" s="189">
        <v>1</v>
      </c>
      <c r="H432" s="175">
        <v>14.63</v>
      </c>
      <c r="I432" s="176">
        <v>60</v>
      </c>
    </row>
    <row r="433" spans="2:9" x14ac:dyDescent="0.25">
      <c r="B433" s="153"/>
      <c r="C433" s="150"/>
      <c r="D433" s="141" t="s">
        <v>483</v>
      </c>
      <c r="E433" s="141" t="s">
        <v>75</v>
      </c>
      <c r="F433" s="159">
        <v>41180</v>
      </c>
      <c r="G433" s="189">
        <v>1</v>
      </c>
      <c r="H433" s="175">
        <v>10.677</v>
      </c>
      <c r="I433" s="176">
        <v>33.299999999999997</v>
      </c>
    </row>
    <row r="434" spans="2:9" ht="15.75" thickBot="1" x14ac:dyDescent="0.3">
      <c r="B434" s="154"/>
      <c r="C434" s="151" t="s">
        <v>658</v>
      </c>
      <c r="D434" s="156"/>
      <c r="E434" s="156"/>
      <c r="F434" s="157"/>
      <c r="G434" s="190">
        <v>3</v>
      </c>
      <c r="H434" s="177">
        <v>25.703000000000003</v>
      </c>
      <c r="I434" s="178">
        <v>94.55</v>
      </c>
    </row>
    <row r="435" spans="2:9" x14ac:dyDescent="0.25">
      <c r="B435" s="152" t="s">
        <v>120</v>
      </c>
      <c r="C435" s="149" t="s">
        <v>40</v>
      </c>
      <c r="D435" s="160" t="s">
        <v>163</v>
      </c>
      <c r="E435" s="160" t="s">
        <v>75</v>
      </c>
      <c r="F435" s="161">
        <v>1966</v>
      </c>
      <c r="G435" s="191">
        <v>1</v>
      </c>
      <c r="H435" s="173">
        <v>6.2399999999999997E-2</v>
      </c>
      <c r="I435" s="174">
        <v>0.3</v>
      </c>
    </row>
    <row r="436" spans="2:9" x14ac:dyDescent="0.25">
      <c r="B436" s="153"/>
      <c r="C436" s="150"/>
      <c r="D436" s="141" t="s">
        <v>248</v>
      </c>
      <c r="E436" s="141" t="s">
        <v>75</v>
      </c>
      <c r="F436" s="159">
        <v>41110</v>
      </c>
      <c r="G436" s="189">
        <v>1</v>
      </c>
      <c r="H436" s="175">
        <v>1.853</v>
      </c>
      <c r="I436" s="176">
        <v>11</v>
      </c>
    </row>
    <row r="437" spans="2:9" x14ac:dyDescent="0.25">
      <c r="B437" s="153"/>
      <c r="C437" s="150"/>
      <c r="D437" s="141" t="s">
        <v>201</v>
      </c>
      <c r="E437" s="141" t="s">
        <v>73</v>
      </c>
      <c r="F437" s="158">
        <v>1975</v>
      </c>
      <c r="G437" s="189">
        <v>1</v>
      </c>
      <c r="H437" s="175">
        <v>15.36</v>
      </c>
      <c r="I437" s="176">
        <v>48</v>
      </c>
    </row>
    <row r="438" spans="2:9" x14ac:dyDescent="0.25">
      <c r="B438" s="153"/>
      <c r="C438" s="150"/>
      <c r="D438" s="141" t="s">
        <v>219</v>
      </c>
      <c r="E438" s="141" t="s">
        <v>75</v>
      </c>
      <c r="F438" s="158">
        <v>2002</v>
      </c>
      <c r="G438" s="189">
        <v>1</v>
      </c>
      <c r="H438" s="175">
        <v>11.1</v>
      </c>
      <c r="I438" s="176">
        <v>50</v>
      </c>
    </row>
    <row r="439" spans="2:9" x14ac:dyDescent="0.25">
      <c r="B439" s="153"/>
      <c r="C439" s="150"/>
      <c r="D439" s="141" t="s">
        <v>311</v>
      </c>
      <c r="E439" s="141" t="s">
        <v>603</v>
      </c>
      <c r="F439" s="159">
        <v>41726</v>
      </c>
      <c r="G439" s="189">
        <v>1</v>
      </c>
      <c r="H439" s="175">
        <v>17.100000000000001</v>
      </c>
      <c r="I439" s="176">
        <v>50.78</v>
      </c>
    </row>
    <row r="440" spans="2:9" x14ac:dyDescent="0.25">
      <c r="B440" s="153"/>
      <c r="C440" s="150"/>
      <c r="D440" s="141" t="s">
        <v>348</v>
      </c>
      <c r="E440" s="141" t="s">
        <v>75</v>
      </c>
      <c r="F440" s="158">
        <v>2010</v>
      </c>
      <c r="G440" s="189">
        <v>1</v>
      </c>
      <c r="H440" s="175">
        <v>30.6</v>
      </c>
      <c r="I440" s="176">
        <v>111.72</v>
      </c>
    </row>
    <row r="441" spans="2:9" x14ac:dyDescent="0.25">
      <c r="B441" s="153"/>
      <c r="C441" s="150"/>
      <c r="D441" s="141" t="s">
        <v>467</v>
      </c>
      <c r="E441" s="141" t="s">
        <v>72</v>
      </c>
      <c r="F441" s="158">
        <v>2011</v>
      </c>
      <c r="G441" s="189">
        <v>1</v>
      </c>
      <c r="H441" s="175">
        <v>33.11</v>
      </c>
      <c r="I441" s="176">
        <v>140</v>
      </c>
    </row>
    <row r="442" spans="2:9" x14ac:dyDescent="0.25">
      <c r="B442" s="153"/>
      <c r="C442" s="150"/>
      <c r="D442" s="141" t="s">
        <v>372</v>
      </c>
      <c r="E442" s="141" t="s">
        <v>75</v>
      </c>
      <c r="F442" s="159">
        <v>41481</v>
      </c>
      <c r="G442" s="189">
        <v>1</v>
      </c>
      <c r="H442" s="175">
        <v>21.436</v>
      </c>
      <c r="I442" s="176">
        <v>67</v>
      </c>
    </row>
    <row r="443" spans="2:9" x14ac:dyDescent="0.25">
      <c r="B443" s="153"/>
      <c r="C443" s="150"/>
      <c r="D443" s="141" t="s">
        <v>590</v>
      </c>
      <c r="E443" s="141" t="s">
        <v>603</v>
      </c>
      <c r="F443" s="159">
        <v>41901</v>
      </c>
      <c r="G443" s="189">
        <v>1</v>
      </c>
      <c r="H443" s="175">
        <v>28.96</v>
      </c>
      <c r="I443" s="176">
        <v>82.180999999999997</v>
      </c>
    </row>
    <row r="444" spans="2:9" ht="15.75" thickBot="1" x14ac:dyDescent="0.3">
      <c r="B444" s="154"/>
      <c r="C444" s="151" t="s">
        <v>659</v>
      </c>
      <c r="D444" s="156"/>
      <c r="E444" s="156"/>
      <c r="F444" s="157"/>
      <c r="G444" s="190">
        <v>9</v>
      </c>
      <c r="H444" s="177">
        <v>159.5814</v>
      </c>
      <c r="I444" s="178">
        <v>560.98099999999999</v>
      </c>
    </row>
    <row r="445" spans="2:9" x14ac:dyDescent="0.25">
      <c r="B445" s="152" t="s">
        <v>141</v>
      </c>
      <c r="C445" s="149" t="s">
        <v>35</v>
      </c>
      <c r="D445" s="160" t="s">
        <v>162</v>
      </c>
      <c r="E445" s="160" t="s">
        <v>78</v>
      </c>
      <c r="F445" s="161">
        <v>1966</v>
      </c>
      <c r="G445" s="191">
        <v>1</v>
      </c>
      <c r="H445" s="173">
        <v>2.76</v>
      </c>
      <c r="I445" s="174">
        <v>12</v>
      </c>
    </row>
    <row r="446" spans="2:9" ht="15.75" thickBot="1" x14ac:dyDescent="0.3">
      <c r="B446" s="154"/>
      <c r="C446" s="151" t="s">
        <v>660</v>
      </c>
      <c r="D446" s="156"/>
      <c r="E446" s="156"/>
      <c r="F446" s="157"/>
      <c r="G446" s="190">
        <v>1</v>
      </c>
      <c r="H446" s="177">
        <v>2.76</v>
      </c>
      <c r="I446" s="178">
        <v>12</v>
      </c>
    </row>
    <row r="447" spans="2:9" x14ac:dyDescent="0.25">
      <c r="B447" s="152" t="s">
        <v>142</v>
      </c>
      <c r="C447" s="149" t="s">
        <v>9</v>
      </c>
      <c r="D447" s="160" t="s">
        <v>460</v>
      </c>
      <c r="E447" s="160" t="s">
        <v>75</v>
      </c>
      <c r="F447" s="161">
        <v>2012</v>
      </c>
      <c r="G447" s="191">
        <v>1</v>
      </c>
      <c r="H447" s="173">
        <v>11.157</v>
      </c>
      <c r="I447" s="174">
        <v>40</v>
      </c>
    </row>
    <row r="448" spans="2:9" x14ac:dyDescent="0.25">
      <c r="B448" s="153"/>
      <c r="C448" s="150"/>
      <c r="D448" s="141" t="s">
        <v>550</v>
      </c>
      <c r="E448" s="141" t="s">
        <v>75</v>
      </c>
      <c r="F448" s="158">
        <v>2011</v>
      </c>
      <c r="G448" s="189">
        <v>1</v>
      </c>
      <c r="H448" s="175">
        <v>6.13</v>
      </c>
      <c r="I448" s="176">
        <v>22.32</v>
      </c>
    </row>
    <row r="449" spans="2:9" ht="15.75" thickBot="1" x14ac:dyDescent="0.3">
      <c r="B449" s="154"/>
      <c r="C449" s="151" t="s">
        <v>661</v>
      </c>
      <c r="D449" s="156"/>
      <c r="E449" s="156"/>
      <c r="F449" s="157"/>
      <c r="G449" s="190">
        <v>2</v>
      </c>
      <c r="H449" s="177">
        <v>17.286999999999999</v>
      </c>
      <c r="I449" s="178">
        <v>62.32</v>
      </c>
    </row>
    <row r="450" spans="2:9" x14ac:dyDescent="0.25">
      <c r="B450" s="152" t="s">
        <v>121</v>
      </c>
      <c r="C450" s="149" t="s">
        <v>47</v>
      </c>
      <c r="D450" s="160" t="s">
        <v>567</v>
      </c>
      <c r="E450" s="160" t="s">
        <v>603</v>
      </c>
      <c r="F450" s="163">
        <v>41719</v>
      </c>
      <c r="G450" s="191">
        <v>1</v>
      </c>
      <c r="H450" s="173">
        <v>5.77</v>
      </c>
      <c r="I450" s="174">
        <v>21.28</v>
      </c>
    </row>
    <row r="451" spans="2:9" x14ac:dyDescent="0.25">
      <c r="B451" s="153"/>
      <c r="C451" s="150"/>
      <c r="D451" s="141" t="s">
        <v>174</v>
      </c>
      <c r="E451" s="141" t="s">
        <v>75</v>
      </c>
      <c r="F451" s="158">
        <v>1961</v>
      </c>
      <c r="G451" s="189">
        <v>1</v>
      </c>
      <c r="H451" s="175">
        <v>4.5</v>
      </c>
      <c r="I451" s="176">
        <v>2</v>
      </c>
    </row>
    <row r="452" spans="2:9" x14ac:dyDescent="0.25">
      <c r="B452" s="153"/>
      <c r="C452" s="150"/>
      <c r="D452" s="141" t="s">
        <v>173</v>
      </c>
      <c r="E452" s="141" t="s">
        <v>75</v>
      </c>
      <c r="F452" s="158">
        <v>1972</v>
      </c>
      <c r="G452" s="189">
        <v>1</v>
      </c>
      <c r="H452" s="175">
        <v>0.32</v>
      </c>
      <c r="I452" s="176">
        <v>1.6</v>
      </c>
    </row>
    <row r="453" spans="2:9" x14ac:dyDescent="0.25">
      <c r="B453" s="153"/>
      <c r="C453" s="150"/>
      <c r="D453" s="141" t="s">
        <v>530</v>
      </c>
      <c r="E453" s="141" t="s">
        <v>75</v>
      </c>
      <c r="F453" s="158">
        <v>2008</v>
      </c>
      <c r="G453" s="189">
        <v>1</v>
      </c>
      <c r="H453" s="175">
        <v>7.24</v>
      </c>
      <c r="I453" s="176">
        <v>44</v>
      </c>
    </row>
    <row r="454" spans="2:9" x14ac:dyDescent="0.25">
      <c r="B454" s="153"/>
      <c r="C454" s="150"/>
      <c r="D454" s="141" t="s">
        <v>513</v>
      </c>
      <c r="E454" s="141" t="s">
        <v>75</v>
      </c>
      <c r="F454" s="158">
        <v>2004</v>
      </c>
      <c r="G454" s="189">
        <v>1</v>
      </c>
      <c r="H454" s="175">
        <v>13</v>
      </c>
      <c r="I454" s="176">
        <v>88</v>
      </c>
    </row>
    <row r="455" spans="2:9" x14ac:dyDescent="0.25">
      <c r="B455" s="153"/>
      <c r="C455" s="150"/>
      <c r="D455" s="141" t="s">
        <v>328</v>
      </c>
      <c r="E455" s="141" t="s">
        <v>75</v>
      </c>
      <c r="F455" s="158">
        <v>2008</v>
      </c>
      <c r="G455" s="189">
        <v>1</v>
      </c>
      <c r="H455" s="175">
        <v>8.6739999999999995</v>
      </c>
      <c r="I455" s="176">
        <v>25.015000000000001</v>
      </c>
    </row>
    <row r="456" spans="2:9" x14ac:dyDescent="0.25">
      <c r="B456" s="153"/>
      <c r="C456" s="150"/>
      <c r="D456" s="141" t="s">
        <v>172</v>
      </c>
      <c r="E456" s="141" t="s">
        <v>78</v>
      </c>
      <c r="F456" s="158">
        <v>1964</v>
      </c>
      <c r="G456" s="189">
        <v>1</v>
      </c>
      <c r="H456" s="175">
        <v>0.83199999999999996</v>
      </c>
      <c r="I456" s="176">
        <v>2.2000000000000002</v>
      </c>
    </row>
    <row r="457" spans="2:9" x14ac:dyDescent="0.25">
      <c r="B457" s="153"/>
      <c r="C457" s="150"/>
      <c r="D457" s="141" t="s">
        <v>364</v>
      </c>
      <c r="E457" s="141" t="s">
        <v>75</v>
      </c>
      <c r="F457" s="159">
        <v>40963</v>
      </c>
      <c r="G457" s="189">
        <v>1</v>
      </c>
      <c r="H457" s="175">
        <v>0.74</v>
      </c>
      <c r="I457" s="176">
        <v>4</v>
      </c>
    </row>
    <row r="458" spans="2:9" x14ac:dyDescent="0.25">
      <c r="B458" s="153"/>
      <c r="C458" s="150"/>
      <c r="D458" s="141" t="s">
        <v>208</v>
      </c>
      <c r="E458" s="141" t="s">
        <v>75</v>
      </c>
      <c r="F458" s="158">
        <v>1998</v>
      </c>
      <c r="G458" s="189">
        <v>1</v>
      </c>
      <c r="H458" s="175">
        <v>12.5</v>
      </c>
      <c r="I458" s="176">
        <v>59</v>
      </c>
    </row>
    <row r="459" spans="2:9" ht="15.75" thickBot="1" x14ac:dyDescent="0.3">
      <c r="B459" s="154"/>
      <c r="C459" s="151" t="s">
        <v>662</v>
      </c>
      <c r="D459" s="156"/>
      <c r="E459" s="156"/>
      <c r="F459" s="157"/>
      <c r="G459" s="190">
        <v>9</v>
      </c>
      <c r="H459" s="177">
        <v>53.576000000000001</v>
      </c>
      <c r="I459" s="178">
        <v>247.09499999999997</v>
      </c>
    </row>
    <row r="460" spans="2:9" x14ac:dyDescent="0.25">
      <c r="B460" s="152" t="s">
        <v>122</v>
      </c>
      <c r="C460" s="149" t="s">
        <v>26</v>
      </c>
      <c r="D460" s="160" t="s">
        <v>491</v>
      </c>
      <c r="E460" s="160" t="s">
        <v>75</v>
      </c>
      <c r="F460" s="161">
        <v>1957</v>
      </c>
      <c r="G460" s="191">
        <v>1</v>
      </c>
      <c r="H460" s="173">
        <v>20.12</v>
      </c>
      <c r="I460" s="174">
        <v>60</v>
      </c>
    </row>
    <row r="461" spans="2:9" x14ac:dyDescent="0.25">
      <c r="B461" s="153"/>
      <c r="C461" s="150"/>
      <c r="D461" s="141" t="s">
        <v>496</v>
      </c>
      <c r="E461" s="141" t="s">
        <v>75</v>
      </c>
      <c r="F461" s="158">
        <v>1967</v>
      </c>
      <c r="G461" s="189">
        <v>1</v>
      </c>
      <c r="H461" s="175">
        <v>10</v>
      </c>
      <c r="I461" s="176"/>
    </row>
    <row r="462" spans="2:9" x14ac:dyDescent="0.25">
      <c r="B462" s="153"/>
      <c r="C462" s="150"/>
      <c r="D462" s="141" t="s">
        <v>327</v>
      </c>
      <c r="E462" s="141" t="s">
        <v>75</v>
      </c>
      <c r="F462" s="158">
        <v>2007</v>
      </c>
      <c r="G462" s="189">
        <v>1</v>
      </c>
      <c r="H462" s="175">
        <v>5.375</v>
      </c>
      <c r="I462" s="176">
        <v>31.68</v>
      </c>
    </row>
    <row r="463" spans="2:9" x14ac:dyDescent="0.25">
      <c r="B463" s="153"/>
      <c r="C463" s="150"/>
      <c r="D463" s="141" t="s">
        <v>549</v>
      </c>
      <c r="E463" s="141" t="s">
        <v>72</v>
      </c>
      <c r="F463" s="158">
        <v>2008</v>
      </c>
      <c r="G463" s="189">
        <v>1</v>
      </c>
      <c r="H463" s="175">
        <v>56.84</v>
      </c>
      <c r="I463" s="176">
        <v>161</v>
      </c>
    </row>
    <row r="464" spans="2:9" ht="15.75" thickBot="1" x14ac:dyDescent="0.3">
      <c r="B464" s="154"/>
      <c r="C464" s="151" t="s">
        <v>663</v>
      </c>
      <c r="D464" s="156"/>
      <c r="E464" s="156"/>
      <c r="F464" s="157"/>
      <c r="G464" s="190">
        <v>4</v>
      </c>
      <c r="H464" s="177">
        <v>92.335000000000008</v>
      </c>
      <c r="I464" s="178">
        <v>252.68</v>
      </c>
    </row>
    <row r="465" spans="2:9" x14ac:dyDescent="0.25">
      <c r="B465" s="152" t="s">
        <v>123</v>
      </c>
      <c r="C465" s="149" t="s">
        <v>17</v>
      </c>
      <c r="D465" s="160" t="s">
        <v>363</v>
      </c>
      <c r="E465" s="160" t="s">
        <v>75</v>
      </c>
      <c r="F465" s="163">
        <v>41472</v>
      </c>
      <c r="G465" s="191">
        <v>1</v>
      </c>
      <c r="H465" s="173">
        <v>18.725000000000001</v>
      </c>
      <c r="I465" s="174">
        <v>55</v>
      </c>
    </row>
    <row r="466" spans="2:9" x14ac:dyDescent="0.25">
      <c r="B466" s="153"/>
      <c r="C466" s="150"/>
      <c r="D466" s="141" t="s">
        <v>481</v>
      </c>
      <c r="E466" s="141" t="s">
        <v>72</v>
      </c>
      <c r="F466" s="159">
        <v>41061</v>
      </c>
      <c r="G466" s="189">
        <v>1</v>
      </c>
      <c r="H466" s="175">
        <v>22.71</v>
      </c>
      <c r="I466" s="176">
        <v>72</v>
      </c>
    </row>
    <row r="467" spans="2:9" ht="15.75" thickBot="1" x14ac:dyDescent="0.3">
      <c r="B467" s="154"/>
      <c r="C467" s="151" t="s">
        <v>664</v>
      </c>
      <c r="D467" s="156"/>
      <c r="E467" s="156"/>
      <c r="F467" s="157"/>
      <c r="G467" s="190">
        <v>2</v>
      </c>
      <c r="H467" s="177">
        <v>41.435000000000002</v>
      </c>
      <c r="I467" s="178">
        <v>127</v>
      </c>
    </row>
    <row r="468" spans="2:9" x14ac:dyDescent="0.25">
      <c r="B468" s="152" t="s">
        <v>124</v>
      </c>
      <c r="C468" s="149" t="s">
        <v>65</v>
      </c>
      <c r="D468" s="160" t="s">
        <v>175</v>
      </c>
      <c r="E468" s="160" t="s">
        <v>75</v>
      </c>
      <c r="F468" s="161">
        <v>1961</v>
      </c>
      <c r="G468" s="191">
        <v>1</v>
      </c>
      <c r="H468" s="173">
        <v>0.12</v>
      </c>
      <c r="I468" s="174">
        <v>0.75</v>
      </c>
    </row>
    <row r="469" spans="2:9" x14ac:dyDescent="0.25">
      <c r="B469" s="153"/>
      <c r="C469" s="150"/>
      <c r="D469" s="141" t="s">
        <v>521</v>
      </c>
      <c r="E469" s="141" t="s">
        <v>75</v>
      </c>
      <c r="F469" s="158">
        <v>2010</v>
      </c>
      <c r="G469" s="189">
        <v>1</v>
      </c>
      <c r="H469" s="175">
        <v>4.4400000000000004</v>
      </c>
      <c r="I469" s="176">
        <v>16</v>
      </c>
    </row>
    <row r="470" spans="2:9" x14ac:dyDescent="0.25">
      <c r="B470" s="153"/>
      <c r="C470" s="150"/>
      <c r="D470" s="141" t="s">
        <v>199</v>
      </c>
      <c r="E470" s="141" t="s">
        <v>75</v>
      </c>
      <c r="F470" s="158">
        <v>2003</v>
      </c>
      <c r="G470" s="189">
        <v>1</v>
      </c>
      <c r="H470" s="175">
        <v>19.2</v>
      </c>
      <c r="I470" s="176">
        <v>78</v>
      </c>
    </row>
    <row r="471" spans="2:9" x14ac:dyDescent="0.25">
      <c r="B471" s="153"/>
      <c r="C471" s="150"/>
      <c r="D471" s="141" t="s">
        <v>472</v>
      </c>
      <c r="E471" s="141" t="s">
        <v>72</v>
      </c>
      <c r="F471" s="158">
        <v>2013</v>
      </c>
      <c r="G471" s="189">
        <v>1</v>
      </c>
      <c r="H471" s="175">
        <v>128.22</v>
      </c>
      <c r="I471" s="176">
        <v>364.25200000000001</v>
      </c>
    </row>
    <row r="472" spans="2:9" x14ac:dyDescent="0.25">
      <c r="B472" s="153"/>
      <c r="C472" s="150"/>
      <c r="D472" s="141" t="s">
        <v>477</v>
      </c>
      <c r="E472" s="141" t="s">
        <v>72</v>
      </c>
      <c r="F472" s="158">
        <v>2009</v>
      </c>
      <c r="G472" s="189">
        <v>1</v>
      </c>
      <c r="H472" s="175">
        <v>82</v>
      </c>
      <c r="I472" s="176">
        <v>322</v>
      </c>
    </row>
    <row r="473" spans="2:9" ht="15.75" thickBot="1" x14ac:dyDescent="0.3">
      <c r="B473" s="154"/>
      <c r="C473" s="151" t="s">
        <v>665</v>
      </c>
      <c r="D473" s="156"/>
      <c r="E473" s="156"/>
      <c r="F473" s="157"/>
      <c r="G473" s="190">
        <v>5</v>
      </c>
      <c r="H473" s="177">
        <v>233.98</v>
      </c>
      <c r="I473" s="178">
        <v>781.00199999999995</v>
      </c>
    </row>
    <row r="474" spans="2:9" x14ac:dyDescent="0.25">
      <c r="B474" s="152" t="s">
        <v>125</v>
      </c>
      <c r="C474" s="149" t="s">
        <v>66</v>
      </c>
      <c r="D474" s="160" t="s">
        <v>157</v>
      </c>
      <c r="E474" s="160" t="s">
        <v>75</v>
      </c>
      <c r="F474" s="161">
        <v>1968</v>
      </c>
      <c r="G474" s="191">
        <v>1</v>
      </c>
      <c r="H474" s="173">
        <v>4.5999999999999996</v>
      </c>
      <c r="I474" s="174">
        <v>14</v>
      </c>
    </row>
    <row r="475" spans="2:9" x14ac:dyDescent="0.25">
      <c r="B475" s="153"/>
      <c r="C475" s="150"/>
      <c r="D475" s="141" t="s">
        <v>160</v>
      </c>
      <c r="E475" s="141" t="s">
        <v>75</v>
      </c>
      <c r="F475" s="158">
        <v>1968</v>
      </c>
      <c r="G475" s="189">
        <v>1</v>
      </c>
      <c r="H475" s="175">
        <v>0.8</v>
      </c>
      <c r="I475" s="176">
        <v>1.5</v>
      </c>
    </row>
    <row r="476" spans="2:9" x14ac:dyDescent="0.25">
      <c r="B476" s="153"/>
      <c r="C476" s="150"/>
      <c r="D476" s="141" t="s">
        <v>158</v>
      </c>
      <c r="E476" s="141" t="s">
        <v>72</v>
      </c>
      <c r="F476" s="158">
        <v>1993</v>
      </c>
      <c r="G476" s="189">
        <v>1</v>
      </c>
      <c r="H476" s="175">
        <v>8.39</v>
      </c>
      <c r="I476" s="176">
        <v>44</v>
      </c>
    </row>
    <row r="477" spans="2:9" x14ac:dyDescent="0.25">
      <c r="B477" s="153"/>
      <c r="C477" s="150"/>
      <c r="D477" s="141" t="s">
        <v>543</v>
      </c>
      <c r="E477" s="141" t="s">
        <v>75</v>
      </c>
      <c r="F477" s="158">
        <v>2011</v>
      </c>
      <c r="G477" s="189">
        <v>1</v>
      </c>
      <c r="H477" s="175">
        <v>41.454000000000001</v>
      </c>
      <c r="I477" s="176">
        <v>170</v>
      </c>
    </row>
    <row r="478" spans="2:9" x14ac:dyDescent="0.25">
      <c r="B478" s="153"/>
      <c r="C478" s="150"/>
      <c r="D478" s="141" t="s">
        <v>368</v>
      </c>
      <c r="E478" s="141" t="s">
        <v>75</v>
      </c>
      <c r="F478" s="158">
        <v>2011</v>
      </c>
      <c r="G478" s="189">
        <v>1</v>
      </c>
      <c r="H478" s="175">
        <v>3.31</v>
      </c>
      <c r="I478" s="176">
        <v>10.199999999999999</v>
      </c>
    </row>
    <row r="479" spans="2:9" x14ac:dyDescent="0.25">
      <c r="B479" s="153"/>
      <c r="C479" s="150"/>
      <c r="D479" s="141" t="s">
        <v>159</v>
      </c>
      <c r="E479" s="141" t="s">
        <v>72</v>
      </c>
      <c r="F479" s="158">
        <v>1989</v>
      </c>
      <c r="G479" s="189">
        <v>1</v>
      </c>
      <c r="H479" s="175">
        <v>4.5</v>
      </c>
      <c r="I479" s="176">
        <v>13</v>
      </c>
    </row>
    <row r="480" spans="2:9" ht="15.75" thickBot="1" x14ac:dyDescent="0.3">
      <c r="B480" s="154"/>
      <c r="C480" s="151" t="s">
        <v>666</v>
      </c>
      <c r="D480" s="156"/>
      <c r="E480" s="156"/>
      <c r="F480" s="157"/>
      <c r="G480" s="190">
        <v>6</v>
      </c>
      <c r="H480" s="177">
        <v>63.054000000000002</v>
      </c>
      <c r="I480" s="178">
        <v>252.7</v>
      </c>
    </row>
    <row r="481" spans="2:9" x14ac:dyDescent="0.25">
      <c r="B481" s="152" t="s">
        <v>126</v>
      </c>
      <c r="C481" s="149" t="s">
        <v>51</v>
      </c>
      <c r="D481" s="160" t="s">
        <v>583</v>
      </c>
      <c r="E481" s="160" t="s">
        <v>603</v>
      </c>
      <c r="F481" s="163">
        <v>41740</v>
      </c>
      <c r="G481" s="191">
        <v>1</v>
      </c>
      <c r="H481" s="173">
        <v>3.75</v>
      </c>
      <c r="I481" s="174">
        <v>11.43</v>
      </c>
    </row>
    <row r="482" spans="2:9" x14ac:dyDescent="0.25">
      <c r="B482" s="153"/>
      <c r="C482" s="150"/>
      <c r="D482" s="141" t="s">
        <v>184</v>
      </c>
      <c r="E482" s="141" t="s">
        <v>75</v>
      </c>
      <c r="F482" s="158">
        <v>1966</v>
      </c>
      <c r="G482" s="189">
        <v>1</v>
      </c>
      <c r="H482" s="175">
        <v>1.216</v>
      </c>
      <c r="I482" s="176">
        <v>2.5</v>
      </c>
    </row>
    <row r="483" spans="2:9" x14ac:dyDescent="0.25">
      <c r="B483" s="153"/>
      <c r="C483" s="150"/>
      <c r="D483" s="141" t="s">
        <v>185</v>
      </c>
      <c r="E483" s="141" t="s">
        <v>75</v>
      </c>
      <c r="F483" s="158">
        <v>1968</v>
      </c>
      <c r="G483" s="189">
        <v>1</v>
      </c>
      <c r="H483" s="175">
        <v>0.29199999999999998</v>
      </c>
      <c r="I483" s="176">
        <v>1</v>
      </c>
    </row>
    <row r="484" spans="2:9" ht="15.75" thickBot="1" x14ac:dyDescent="0.3">
      <c r="B484" s="154"/>
      <c r="C484" s="151" t="s">
        <v>667</v>
      </c>
      <c r="D484" s="156"/>
      <c r="E484" s="156"/>
      <c r="F484" s="157"/>
      <c r="G484" s="190">
        <v>3</v>
      </c>
      <c r="H484" s="177">
        <v>5.258</v>
      </c>
      <c r="I484" s="178">
        <v>14.93</v>
      </c>
    </row>
    <row r="485" spans="2:9" x14ac:dyDescent="0.25">
      <c r="B485" s="152" t="s">
        <v>143</v>
      </c>
      <c r="C485" s="149" t="s">
        <v>18</v>
      </c>
      <c r="D485" s="160" t="s">
        <v>183</v>
      </c>
      <c r="E485" s="160" t="s">
        <v>75</v>
      </c>
      <c r="F485" s="161">
        <v>1967</v>
      </c>
      <c r="G485" s="191">
        <v>1</v>
      </c>
      <c r="H485" s="173">
        <v>0.39400000000000002</v>
      </c>
      <c r="I485" s="174">
        <v>1</v>
      </c>
    </row>
    <row r="486" spans="2:9" x14ac:dyDescent="0.25">
      <c r="B486" s="153"/>
      <c r="C486" s="150"/>
      <c r="D486" s="141" t="s">
        <v>182</v>
      </c>
      <c r="E486" s="141" t="s">
        <v>75</v>
      </c>
      <c r="F486" s="158">
        <v>1950</v>
      </c>
      <c r="G486" s="189">
        <v>1</v>
      </c>
      <c r="H486" s="175">
        <v>1.07</v>
      </c>
      <c r="I486" s="176">
        <v>1.0649999999999999</v>
      </c>
    </row>
    <row r="487" spans="2:9" ht="15.75" thickBot="1" x14ac:dyDescent="0.3">
      <c r="B487" s="154"/>
      <c r="C487" s="151" t="s">
        <v>668</v>
      </c>
      <c r="D487" s="156"/>
      <c r="E487" s="156"/>
      <c r="F487" s="157"/>
      <c r="G487" s="190">
        <v>2</v>
      </c>
      <c r="H487" s="177">
        <v>1.464</v>
      </c>
      <c r="I487" s="178">
        <v>2.0649999999999999</v>
      </c>
    </row>
    <row r="488" spans="2:9" x14ac:dyDescent="0.25">
      <c r="B488" s="152" t="s">
        <v>127</v>
      </c>
      <c r="C488" s="149" t="s">
        <v>33</v>
      </c>
      <c r="D488" s="160" t="s">
        <v>417</v>
      </c>
      <c r="E488" s="160" t="s">
        <v>75</v>
      </c>
      <c r="F488" s="161">
        <v>2009</v>
      </c>
      <c r="G488" s="191">
        <v>1</v>
      </c>
      <c r="H488" s="173">
        <v>29.571999999999999</v>
      </c>
      <c r="I488" s="174">
        <v>95</v>
      </c>
    </row>
    <row r="489" spans="2:9" x14ac:dyDescent="0.25">
      <c r="B489" s="153"/>
      <c r="C489" s="150"/>
      <c r="D489" s="141" t="s">
        <v>332</v>
      </c>
      <c r="E489" s="141" t="s">
        <v>75</v>
      </c>
      <c r="F489" s="159">
        <v>41136</v>
      </c>
      <c r="G489" s="189">
        <v>1</v>
      </c>
      <c r="H489" s="175">
        <v>16.86</v>
      </c>
      <c r="I489" s="176">
        <v>61.917999999999999</v>
      </c>
    </row>
    <row r="490" spans="2:9" x14ac:dyDescent="0.25">
      <c r="B490" s="153"/>
      <c r="C490" s="150"/>
      <c r="D490" s="141" t="s">
        <v>186</v>
      </c>
      <c r="E490" s="141" t="s">
        <v>75</v>
      </c>
      <c r="F490" s="158">
        <v>1970</v>
      </c>
      <c r="G490" s="189">
        <v>1</v>
      </c>
      <c r="H490" s="175">
        <v>1.28</v>
      </c>
      <c r="I490" s="176">
        <v>3.5</v>
      </c>
    </row>
    <row r="491" spans="2:9" ht="15.75" thickBot="1" x14ac:dyDescent="0.3">
      <c r="B491" s="154"/>
      <c r="C491" s="151" t="s">
        <v>669</v>
      </c>
      <c r="D491" s="156"/>
      <c r="E491" s="156"/>
      <c r="F491" s="157"/>
      <c r="G491" s="190">
        <v>3</v>
      </c>
      <c r="H491" s="177">
        <v>47.712000000000003</v>
      </c>
      <c r="I491" s="178">
        <v>160.41800000000001</v>
      </c>
    </row>
    <row r="492" spans="2:9" x14ac:dyDescent="0.25">
      <c r="B492" s="152" t="s">
        <v>128</v>
      </c>
      <c r="C492" s="149" t="s">
        <v>30</v>
      </c>
      <c r="D492" s="160" t="s">
        <v>240</v>
      </c>
      <c r="E492" s="160" t="s">
        <v>75</v>
      </c>
      <c r="F492" s="163">
        <v>41088</v>
      </c>
      <c r="G492" s="191">
        <v>1</v>
      </c>
      <c r="H492" s="173">
        <v>0.66</v>
      </c>
      <c r="I492" s="174">
        <v>3.2</v>
      </c>
    </row>
    <row r="493" spans="2:9" x14ac:dyDescent="0.25">
      <c r="B493" s="153"/>
      <c r="C493" s="150"/>
      <c r="D493" s="141" t="s">
        <v>322</v>
      </c>
      <c r="E493" s="141" t="s">
        <v>75</v>
      </c>
      <c r="F493" s="158">
        <v>2011</v>
      </c>
      <c r="G493" s="189">
        <v>1</v>
      </c>
      <c r="H493" s="175">
        <v>1.59</v>
      </c>
      <c r="I493" s="176">
        <v>8.32</v>
      </c>
    </row>
    <row r="494" spans="2:9" ht="15.75" thickBot="1" x14ac:dyDescent="0.3">
      <c r="B494" s="154"/>
      <c r="C494" s="151" t="s">
        <v>670</v>
      </c>
      <c r="D494" s="156"/>
      <c r="E494" s="156"/>
      <c r="F494" s="157"/>
      <c r="G494" s="190">
        <v>2</v>
      </c>
      <c r="H494" s="177">
        <v>2.25</v>
      </c>
      <c r="I494" s="178">
        <v>11.52</v>
      </c>
    </row>
    <row r="495" spans="2:9" x14ac:dyDescent="0.25">
      <c r="B495" s="152" t="s">
        <v>129</v>
      </c>
      <c r="C495" s="149" t="s">
        <v>5</v>
      </c>
      <c r="D495" s="160" t="s">
        <v>189</v>
      </c>
      <c r="E495" s="160" t="s">
        <v>75</v>
      </c>
      <c r="F495" s="161">
        <v>1956</v>
      </c>
      <c r="G495" s="191">
        <v>1</v>
      </c>
      <c r="H495" s="173">
        <v>0.27200000000000002</v>
      </c>
      <c r="I495" s="174">
        <v>0.6</v>
      </c>
    </row>
    <row r="496" spans="2:9" x14ac:dyDescent="0.25">
      <c r="B496" s="153"/>
      <c r="C496" s="150"/>
      <c r="D496" s="141" t="s">
        <v>423</v>
      </c>
      <c r="E496" s="141" t="s">
        <v>75</v>
      </c>
      <c r="F496" s="158">
        <v>2010</v>
      </c>
      <c r="G496" s="189">
        <v>1</v>
      </c>
      <c r="H496" s="175">
        <v>7.11</v>
      </c>
      <c r="I496" s="176">
        <v>33</v>
      </c>
    </row>
    <row r="497" spans="2:9" x14ac:dyDescent="0.25">
      <c r="B497" s="153"/>
      <c r="C497" s="150"/>
      <c r="D497" s="141" t="s">
        <v>424</v>
      </c>
      <c r="E497" s="141" t="s">
        <v>75</v>
      </c>
      <c r="F497" s="158">
        <v>2004</v>
      </c>
      <c r="G497" s="189">
        <v>1</v>
      </c>
      <c r="H497" s="175">
        <v>27.9</v>
      </c>
      <c r="I497" s="176">
        <v>112</v>
      </c>
    </row>
    <row r="498" spans="2:9" x14ac:dyDescent="0.25">
      <c r="B498" s="153"/>
      <c r="C498" s="150"/>
      <c r="D498" s="141" t="s">
        <v>274</v>
      </c>
      <c r="E498" s="141" t="s">
        <v>75</v>
      </c>
      <c r="F498" s="159">
        <v>41019</v>
      </c>
      <c r="G498" s="189">
        <v>1</v>
      </c>
      <c r="H498" s="175">
        <v>20.55</v>
      </c>
      <c r="I498" s="176">
        <v>97.96</v>
      </c>
    </row>
    <row r="499" spans="2:9" x14ac:dyDescent="0.25">
      <c r="B499" s="153"/>
      <c r="C499" s="150"/>
      <c r="D499" s="141" t="s">
        <v>443</v>
      </c>
      <c r="E499" s="141" t="s">
        <v>75</v>
      </c>
      <c r="F499" s="158">
        <v>2009</v>
      </c>
      <c r="G499" s="189">
        <v>1</v>
      </c>
      <c r="H499" s="175">
        <v>13.03</v>
      </c>
      <c r="I499" s="176">
        <v>52</v>
      </c>
    </row>
    <row r="500" spans="2:9" x14ac:dyDescent="0.25">
      <c r="B500" s="153"/>
      <c r="C500" s="150"/>
      <c r="D500" s="141" t="s">
        <v>445</v>
      </c>
      <c r="E500" s="141" t="s">
        <v>75</v>
      </c>
      <c r="F500" s="158">
        <v>2012</v>
      </c>
      <c r="G500" s="189">
        <v>1</v>
      </c>
      <c r="H500" s="175">
        <v>7.98</v>
      </c>
      <c r="I500" s="176">
        <v>40.26</v>
      </c>
    </row>
    <row r="501" spans="2:9" x14ac:dyDescent="0.25">
      <c r="B501" s="153"/>
      <c r="C501" s="150"/>
      <c r="D501" s="141" t="s">
        <v>309</v>
      </c>
      <c r="E501" s="141" t="s">
        <v>75</v>
      </c>
      <c r="F501" s="158">
        <v>2009</v>
      </c>
      <c r="G501" s="189">
        <v>1</v>
      </c>
      <c r="H501" s="175">
        <v>7.12</v>
      </c>
      <c r="I501" s="176">
        <v>40.159999999999997</v>
      </c>
    </row>
    <row r="502" spans="2:9" x14ac:dyDescent="0.25">
      <c r="B502" s="153"/>
      <c r="C502" s="150"/>
      <c r="D502" s="141" t="s">
        <v>336</v>
      </c>
      <c r="E502" s="141" t="s">
        <v>74</v>
      </c>
      <c r="F502" s="158">
        <v>2011</v>
      </c>
      <c r="G502" s="189">
        <v>1</v>
      </c>
      <c r="H502" s="175">
        <v>3.03</v>
      </c>
      <c r="I502" s="176">
        <v>22</v>
      </c>
    </row>
    <row r="503" spans="2:9" x14ac:dyDescent="0.25">
      <c r="B503" s="153"/>
      <c r="C503" s="150"/>
      <c r="D503" s="141" t="s">
        <v>544</v>
      </c>
      <c r="E503" s="141" t="s">
        <v>75</v>
      </c>
      <c r="F503" s="158">
        <v>2012</v>
      </c>
      <c r="G503" s="189">
        <v>1</v>
      </c>
      <c r="H503" s="175">
        <v>35.630000000000003</v>
      </c>
      <c r="I503" s="176">
        <v>151</v>
      </c>
    </row>
    <row r="504" spans="2:9" x14ac:dyDescent="0.25">
      <c r="B504" s="153"/>
      <c r="C504" s="150"/>
      <c r="D504" s="141" t="s">
        <v>465</v>
      </c>
      <c r="E504" s="141" t="s">
        <v>75</v>
      </c>
      <c r="F504" s="158">
        <v>2009</v>
      </c>
      <c r="G504" s="189">
        <v>1</v>
      </c>
      <c r="H504" s="175">
        <v>30.1</v>
      </c>
      <c r="I504" s="176">
        <v>137</v>
      </c>
    </row>
    <row r="505" spans="2:9" x14ac:dyDescent="0.25">
      <c r="B505" s="153"/>
      <c r="C505" s="150"/>
      <c r="D505" s="141" t="s">
        <v>469</v>
      </c>
      <c r="E505" s="141" t="s">
        <v>72</v>
      </c>
      <c r="F505" s="158">
        <v>2013</v>
      </c>
      <c r="G505" s="189">
        <v>1</v>
      </c>
      <c r="H505" s="175">
        <v>27.234000000000002</v>
      </c>
      <c r="I505" s="176">
        <v>80</v>
      </c>
    </row>
    <row r="506" spans="2:9" x14ac:dyDescent="0.25">
      <c r="B506" s="153"/>
      <c r="C506" s="150"/>
      <c r="D506" s="141" t="s">
        <v>379</v>
      </c>
      <c r="E506" s="141" t="s">
        <v>75</v>
      </c>
      <c r="F506" s="159">
        <v>41201</v>
      </c>
      <c r="G506" s="189">
        <v>1</v>
      </c>
      <c r="H506" s="175">
        <v>6.7439999999999998</v>
      </c>
      <c r="I506" s="176">
        <v>18</v>
      </c>
    </row>
    <row r="507" spans="2:9" ht="15.75" thickBot="1" x14ac:dyDescent="0.3">
      <c r="B507" s="154"/>
      <c r="C507" s="151" t="s">
        <v>671</v>
      </c>
      <c r="D507" s="156"/>
      <c r="E507" s="156"/>
      <c r="F507" s="157"/>
      <c r="G507" s="190">
        <v>12</v>
      </c>
      <c r="H507" s="177">
        <v>186.70000000000002</v>
      </c>
      <c r="I507" s="178">
        <v>783.98</v>
      </c>
    </row>
    <row r="508" spans="2:9" x14ac:dyDescent="0.25">
      <c r="B508" s="152" t="s">
        <v>146</v>
      </c>
      <c r="C508" s="149" t="s">
        <v>145</v>
      </c>
      <c r="D508" s="160" t="s">
        <v>210</v>
      </c>
      <c r="E508" s="160" t="s">
        <v>72</v>
      </c>
      <c r="F508" s="161">
        <v>2000</v>
      </c>
      <c r="G508" s="191">
        <v>1</v>
      </c>
      <c r="H508" s="173">
        <v>672</v>
      </c>
      <c r="I508" s="174">
        <v>2516</v>
      </c>
    </row>
    <row r="509" spans="2:9" ht="15.75" thickBot="1" x14ac:dyDescent="0.3">
      <c r="B509" s="154"/>
      <c r="C509" s="151" t="s">
        <v>672</v>
      </c>
      <c r="D509" s="156"/>
      <c r="E509" s="156"/>
      <c r="F509" s="157"/>
      <c r="G509" s="190">
        <v>1</v>
      </c>
      <c r="H509" s="177">
        <v>672</v>
      </c>
      <c r="I509" s="178">
        <v>2516</v>
      </c>
    </row>
    <row r="510" spans="2:9" x14ac:dyDescent="0.25">
      <c r="B510" s="152" t="s">
        <v>130</v>
      </c>
      <c r="C510" s="149" t="s">
        <v>24</v>
      </c>
      <c r="D510" s="160" t="s">
        <v>572</v>
      </c>
      <c r="E510" s="160" t="s">
        <v>603</v>
      </c>
      <c r="F510" s="163">
        <v>41977</v>
      </c>
      <c r="G510" s="191">
        <v>1</v>
      </c>
      <c r="H510" s="173">
        <v>11.933999999999999</v>
      </c>
      <c r="I510" s="174">
        <v>36.094999999999999</v>
      </c>
    </row>
    <row r="511" spans="2:9" x14ac:dyDescent="0.25">
      <c r="B511" s="153"/>
      <c r="C511" s="150"/>
      <c r="D511" s="141" t="s">
        <v>342</v>
      </c>
      <c r="E511" s="141" t="s">
        <v>75</v>
      </c>
      <c r="F511" s="158">
        <v>2011</v>
      </c>
      <c r="G511" s="189">
        <v>1</v>
      </c>
      <c r="H511" s="175">
        <v>22.92</v>
      </c>
      <c r="I511" s="176">
        <v>78</v>
      </c>
    </row>
    <row r="512" spans="2:9" x14ac:dyDescent="0.25">
      <c r="B512" s="153"/>
      <c r="C512" s="150"/>
      <c r="D512" s="141" t="s">
        <v>540</v>
      </c>
      <c r="E512" s="141" t="s">
        <v>75</v>
      </c>
      <c r="F512" s="158">
        <v>2010</v>
      </c>
      <c r="G512" s="189">
        <v>1</v>
      </c>
      <c r="H512" s="175">
        <v>12.298999999999999</v>
      </c>
      <c r="I512" s="176">
        <v>36</v>
      </c>
    </row>
    <row r="513" spans="2:9" ht="15.75" thickBot="1" x14ac:dyDescent="0.3">
      <c r="B513" s="154"/>
      <c r="C513" s="151" t="s">
        <v>673</v>
      </c>
      <c r="D513" s="156"/>
      <c r="E513" s="156"/>
      <c r="F513" s="157"/>
      <c r="G513" s="190">
        <v>3</v>
      </c>
      <c r="H513" s="177">
        <v>47.152999999999999</v>
      </c>
      <c r="I513" s="178">
        <v>150.095</v>
      </c>
    </row>
    <row r="514" spans="2:9" x14ac:dyDescent="0.25">
      <c r="B514" s="152" t="s">
        <v>131</v>
      </c>
      <c r="C514" s="149" t="s">
        <v>48</v>
      </c>
      <c r="D514" s="160" t="s">
        <v>176</v>
      </c>
      <c r="E514" s="160" t="s">
        <v>78</v>
      </c>
      <c r="F514" s="161">
        <v>1968</v>
      </c>
      <c r="G514" s="191">
        <v>1</v>
      </c>
      <c r="H514" s="173">
        <v>14.4</v>
      </c>
      <c r="I514" s="174">
        <v>42</v>
      </c>
    </row>
    <row r="515" spans="2:9" ht="15.75" thickBot="1" x14ac:dyDescent="0.3">
      <c r="B515" s="154"/>
      <c r="C515" s="151" t="s">
        <v>674</v>
      </c>
      <c r="D515" s="156"/>
      <c r="E515" s="156"/>
      <c r="F515" s="157"/>
      <c r="G515" s="190">
        <v>1</v>
      </c>
      <c r="H515" s="177">
        <v>14.4</v>
      </c>
      <c r="I515" s="178">
        <v>42</v>
      </c>
    </row>
    <row r="516" spans="2:9" x14ac:dyDescent="0.25">
      <c r="B516" s="152" t="s">
        <v>132</v>
      </c>
      <c r="C516" s="149" t="s">
        <v>14</v>
      </c>
      <c r="D516" s="160" t="s">
        <v>444</v>
      </c>
      <c r="E516" s="160" t="s">
        <v>72</v>
      </c>
      <c r="F516" s="161">
        <v>2012</v>
      </c>
      <c r="G516" s="191">
        <v>1</v>
      </c>
      <c r="H516" s="173">
        <v>47.45</v>
      </c>
      <c r="I516" s="174">
        <v>210</v>
      </c>
    </row>
    <row r="517" spans="2:9" ht="15.75" thickBot="1" x14ac:dyDescent="0.3">
      <c r="B517" s="154"/>
      <c r="C517" s="151" t="s">
        <v>675</v>
      </c>
      <c r="D517" s="156"/>
      <c r="E517" s="156"/>
      <c r="F517" s="157"/>
      <c r="G517" s="190">
        <v>1</v>
      </c>
      <c r="H517" s="177">
        <v>47.45</v>
      </c>
      <c r="I517" s="178">
        <v>210</v>
      </c>
    </row>
    <row r="518" spans="2:9" x14ac:dyDescent="0.25">
      <c r="B518" s="152" t="s">
        <v>133</v>
      </c>
      <c r="C518" s="149" t="s">
        <v>62</v>
      </c>
      <c r="D518" s="160" t="s">
        <v>177</v>
      </c>
      <c r="E518" s="160" t="s">
        <v>78</v>
      </c>
      <c r="F518" s="161">
        <v>1976</v>
      </c>
      <c r="G518" s="191">
        <v>1</v>
      </c>
      <c r="H518" s="173">
        <v>0.64</v>
      </c>
      <c r="I518" s="174">
        <v>1.2</v>
      </c>
    </row>
    <row r="519" spans="2:9" ht="15.75" thickBot="1" x14ac:dyDescent="0.3">
      <c r="B519" s="154"/>
      <c r="C519" s="151" t="s">
        <v>676</v>
      </c>
      <c r="D519" s="156"/>
      <c r="E519" s="156"/>
      <c r="F519" s="157"/>
      <c r="G519" s="190">
        <v>1</v>
      </c>
      <c r="H519" s="177">
        <v>0.64</v>
      </c>
      <c r="I519" s="178">
        <v>1.2</v>
      </c>
    </row>
    <row r="520" spans="2:9" x14ac:dyDescent="0.25">
      <c r="B520" s="152" t="s">
        <v>144</v>
      </c>
      <c r="C520" s="149" t="s">
        <v>59</v>
      </c>
      <c r="D520" s="160" t="s">
        <v>411</v>
      </c>
      <c r="E520" s="160" t="s">
        <v>72</v>
      </c>
      <c r="F520" s="163">
        <v>40645</v>
      </c>
      <c r="G520" s="191">
        <v>1</v>
      </c>
      <c r="H520" s="173">
        <v>275.52</v>
      </c>
      <c r="I520" s="174">
        <v>900</v>
      </c>
    </row>
    <row r="521" spans="2:9" x14ac:dyDescent="0.25">
      <c r="B521" s="153"/>
      <c r="C521" s="150"/>
      <c r="D521" s="141" t="s">
        <v>570</v>
      </c>
      <c r="E521" s="141" t="s">
        <v>603</v>
      </c>
      <c r="F521" s="159">
        <v>2014</v>
      </c>
      <c r="G521" s="189">
        <v>1</v>
      </c>
      <c r="H521" s="175">
        <v>21.27</v>
      </c>
      <c r="I521" s="176">
        <v>58.48</v>
      </c>
    </row>
    <row r="522" spans="2:9" x14ac:dyDescent="0.25">
      <c r="B522" s="153"/>
      <c r="C522" s="150"/>
      <c r="D522" s="141" t="s">
        <v>334</v>
      </c>
      <c r="E522" s="141" t="s">
        <v>75</v>
      </c>
      <c r="F522" s="159">
        <v>41596</v>
      </c>
      <c r="G522" s="189">
        <v>1</v>
      </c>
      <c r="H522" s="175">
        <v>46.11</v>
      </c>
      <c r="I522" s="176">
        <v>150.61000000000001</v>
      </c>
    </row>
    <row r="523" spans="2:9" ht="15.75" thickBot="1" x14ac:dyDescent="0.3">
      <c r="B523" s="154"/>
      <c r="C523" s="151" t="s">
        <v>677</v>
      </c>
      <c r="D523" s="156"/>
      <c r="E523" s="156"/>
      <c r="F523" s="157"/>
      <c r="G523" s="190">
        <v>3</v>
      </c>
      <c r="H523" s="177">
        <v>342.9</v>
      </c>
      <c r="I523" s="178">
        <v>1109.0900000000001</v>
      </c>
    </row>
    <row r="524" spans="2:9" ht="16.5" thickBot="1" x14ac:dyDescent="0.3">
      <c r="B524" s="170" t="s">
        <v>608</v>
      </c>
      <c r="C524" s="142"/>
      <c r="D524" s="171"/>
      <c r="E524" s="171"/>
      <c r="F524" s="172"/>
      <c r="G524" s="193">
        <v>454</v>
      </c>
      <c r="H524" s="183">
        <v>10808.5568</v>
      </c>
      <c r="I524" s="184">
        <v>37835.228999999999</v>
      </c>
    </row>
    <row r="525" spans="2:9" ht="20.25" customHeight="1" x14ac:dyDescent="0.25">
      <c r="B525" s="104" t="s">
        <v>560</v>
      </c>
    </row>
    <row r="526" spans="2:9" ht="21" customHeight="1" x14ac:dyDescent="0.25">
      <c r="B526" s="104" t="s">
        <v>561</v>
      </c>
    </row>
  </sheetData>
  <mergeCells count="1">
    <mergeCell ref="B2:I2"/>
  </mergeCells>
  <pageMargins left="0.51181102362204722" right="0.51181102362204722" top="0.55118110236220474" bottom="0.55118110236220474" header="0.31496062992125984" footer="0.31496062992125984"/>
  <pageSetup paperSize="9" scale="55" orientation="portrait" r:id="rId2"/>
  <rowBreaks count="2" manualBreakCount="2">
    <brk id="526" max="18" man="1"/>
    <brk id="585" max="18" man="1"/>
  </row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I463"/>
  <sheetViews>
    <sheetView showGridLines="0" view="pageBreakPreview" zoomScale="85" zoomScaleNormal="90" zoomScaleSheetLayoutView="85" workbookViewId="0">
      <pane ySplit="3" topLeftCell="A418" activePane="bottomLeft" state="frozen"/>
      <selection pane="bottomLeft" activeCell="B458" sqref="B458:B459"/>
    </sheetView>
  </sheetViews>
  <sheetFormatPr defaultColWidth="9.140625" defaultRowHeight="20.100000000000001" customHeight="1" x14ac:dyDescent="0.25"/>
  <cols>
    <col min="1" max="1" width="7.28515625" style="37" customWidth="1"/>
    <col min="2" max="2" width="16.42578125" style="37" customWidth="1"/>
    <col min="3" max="3" width="51.85546875" style="37" customWidth="1"/>
    <col min="4" max="4" width="17.85546875" style="37" customWidth="1"/>
    <col min="5" max="5" width="12.85546875" style="37" customWidth="1"/>
    <col min="6" max="7" width="16.7109375" style="37" customWidth="1"/>
    <col min="8" max="8" width="15.7109375" style="38" customWidth="1"/>
    <col min="9" max="9" width="16.42578125" style="37" customWidth="1"/>
    <col min="10" max="10" width="3.140625" style="37" customWidth="1"/>
    <col min="11" max="16384" width="9.140625" style="37"/>
  </cols>
  <sheetData>
    <row r="1" spans="2:9" ht="20.100000000000001" customHeight="1" thickBot="1" x14ac:dyDescent="0.3"/>
    <row r="2" spans="2:9" ht="34.5" customHeight="1" thickBot="1" x14ac:dyDescent="0.3">
      <c r="B2" s="194" t="s">
        <v>610</v>
      </c>
      <c r="C2" s="195"/>
      <c r="D2" s="195"/>
      <c r="E2" s="195"/>
      <c r="F2" s="195"/>
      <c r="G2" s="195"/>
      <c r="H2" s="195"/>
      <c r="I2" s="196"/>
    </row>
    <row r="3" spans="2:9" ht="53.25" customHeight="1" thickBot="1" x14ac:dyDescent="0.3">
      <c r="B3" s="106" t="s">
        <v>559</v>
      </c>
      <c r="C3" s="88" t="s">
        <v>147</v>
      </c>
      <c r="D3" s="89" t="s">
        <v>68</v>
      </c>
      <c r="E3" s="90" t="s">
        <v>69</v>
      </c>
      <c r="F3" s="91" t="s">
        <v>70</v>
      </c>
      <c r="G3" s="91" t="s">
        <v>611</v>
      </c>
      <c r="H3" s="92" t="s">
        <v>148</v>
      </c>
      <c r="I3" s="93" t="s">
        <v>71</v>
      </c>
    </row>
    <row r="4" spans="2:9" ht="21.75" customHeight="1" x14ac:dyDescent="0.25">
      <c r="B4" s="105" t="s">
        <v>135</v>
      </c>
      <c r="C4" s="82" t="s">
        <v>149</v>
      </c>
      <c r="D4" s="83" t="s">
        <v>57</v>
      </c>
      <c r="E4" s="84" t="s">
        <v>75</v>
      </c>
      <c r="F4" s="85">
        <v>1953</v>
      </c>
      <c r="G4" s="85">
        <v>1</v>
      </c>
      <c r="H4" s="86">
        <v>0.18</v>
      </c>
      <c r="I4" s="87">
        <v>0.5</v>
      </c>
    </row>
    <row r="5" spans="2:9" ht="21.75" customHeight="1" x14ac:dyDescent="0.25">
      <c r="B5" s="105" t="s">
        <v>135</v>
      </c>
      <c r="C5" s="81" t="s">
        <v>150</v>
      </c>
      <c r="D5" s="79" t="s">
        <v>57</v>
      </c>
      <c r="E5" s="1" t="s">
        <v>75</v>
      </c>
      <c r="F5" s="2">
        <v>1953</v>
      </c>
      <c r="G5" s="85">
        <v>1</v>
      </c>
      <c r="H5" s="3">
        <v>0.26400000000000001</v>
      </c>
      <c r="I5" s="51">
        <v>1</v>
      </c>
    </row>
    <row r="6" spans="2:9" ht="18" customHeight="1" x14ac:dyDescent="0.25">
      <c r="B6" s="77" t="s">
        <v>88</v>
      </c>
      <c r="C6" s="81" t="s">
        <v>151</v>
      </c>
      <c r="D6" s="79" t="s">
        <v>16</v>
      </c>
      <c r="E6" s="1" t="s">
        <v>75</v>
      </c>
      <c r="F6" s="2">
        <v>1938</v>
      </c>
      <c r="G6" s="85">
        <v>1</v>
      </c>
      <c r="H6" s="3">
        <v>0.36</v>
      </c>
      <c r="I6" s="51">
        <v>1</v>
      </c>
    </row>
    <row r="7" spans="2:9" ht="18.75" customHeight="1" x14ac:dyDescent="0.25">
      <c r="B7" s="77" t="s">
        <v>91</v>
      </c>
      <c r="C7" s="81" t="s">
        <v>152</v>
      </c>
      <c r="D7" s="79" t="s">
        <v>45</v>
      </c>
      <c r="E7" s="1" t="s">
        <v>75</v>
      </c>
      <c r="F7" s="2">
        <v>1986</v>
      </c>
      <c r="G7" s="85">
        <v>1</v>
      </c>
      <c r="H7" s="3">
        <v>1.04</v>
      </c>
      <c r="I7" s="51">
        <v>2</v>
      </c>
    </row>
    <row r="8" spans="2:9" ht="21.75" customHeight="1" x14ac:dyDescent="0.25">
      <c r="B8" s="77" t="s">
        <v>91</v>
      </c>
      <c r="C8" s="81" t="s">
        <v>153</v>
      </c>
      <c r="D8" s="79" t="s">
        <v>45</v>
      </c>
      <c r="E8" s="1" t="s">
        <v>75</v>
      </c>
      <c r="F8" s="2">
        <v>1972</v>
      </c>
      <c r="G8" s="85">
        <v>1</v>
      </c>
      <c r="H8" s="3">
        <v>0.6</v>
      </c>
      <c r="I8" s="51">
        <v>1</v>
      </c>
    </row>
    <row r="9" spans="2:9" ht="21.75" customHeight="1" x14ac:dyDescent="0.25">
      <c r="B9" s="77" t="s">
        <v>91</v>
      </c>
      <c r="C9" s="81" t="s">
        <v>154</v>
      </c>
      <c r="D9" s="79" t="s">
        <v>45</v>
      </c>
      <c r="E9" s="1" t="s">
        <v>75</v>
      </c>
      <c r="F9" s="2">
        <v>1959</v>
      </c>
      <c r="G9" s="85">
        <v>1</v>
      </c>
      <c r="H9" s="3">
        <v>10.8</v>
      </c>
      <c r="I9" s="51">
        <v>70</v>
      </c>
    </row>
    <row r="10" spans="2:9" ht="18" customHeight="1" x14ac:dyDescent="0.25">
      <c r="B10" s="77" t="s">
        <v>109</v>
      </c>
      <c r="C10" s="81" t="s">
        <v>155</v>
      </c>
      <c r="D10" s="79" t="s">
        <v>58</v>
      </c>
      <c r="E10" s="1" t="s">
        <v>75</v>
      </c>
      <c r="F10" s="2">
        <v>1954</v>
      </c>
      <c r="G10" s="85">
        <v>1</v>
      </c>
      <c r="H10" s="3">
        <v>0.4</v>
      </c>
      <c r="I10" s="51">
        <v>1.5</v>
      </c>
    </row>
    <row r="11" spans="2:9" ht="18" customHeight="1" x14ac:dyDescent="0.25">
      <c r="B11" s="77" t="s">
        <v>112</v>
      </c>
      <c r="C11" s="81" t="s">
        <v>156</v>
      </c>
      <c r="D11" s="79" t="s">
        <v>6</v>
      </c>
      <c r="E11" s="1" t="s">
        <v>78</v>
      </c>
      <c r="F11" s="2">
        <v>1955</v>
      </c>
      <c r="G11" s="85">
        <v>1</v>
      </c>
      <c r="H11" s="4">
        <v>0.8</v>
      </c>
      <c r="I11" s="52">
        <v>3</v>
      </c>
    </row>
    <row r="12" spans="2:9" ht="18" customHeight="1" x14ac:dyDescent="0.25">
      <c r="B12" s="77" t="s">
        <v>125</v>
      </c>
      <c r="C12" s="81" t="s">
        <v>157</v>
      </c>
      <c r="D12" s="79" t="s">
        <v>66</v>
      </c>
      <c r="E12" s="1" t="s">
        <v>75</v>
      </c>
      <c r="F12" s="2">
        <v>1968</v>
      </c>
      <c r="G12" s="85">
        <v>1</v>
      </c>
      <c r="H12" s="3">
        <v>4.5999999999999996</v>
      </c>
      <c r="I12" s="51">
        <v>14</v>
      </c>
    </row>
    <row r="13" spans="2:9" ht="18" customHeight="1" x14ac:dyDescent="0.25">
      <c r="B13" s="77" t="s">
        <v>125</v>
      </c>
      <c r="C13" s="81" t="s">
        <v>158</v>
      </c>
      <c r="D13" s="79" t="s">
        <v>66</v>
      </c>
      <c r="E13" s="1" t="s">
        <v>72</v>
      </c>
      <c r="F13" s="2">
        <v>1993</v>
      </c>
      <c r="G13" s="85">
        <v>1</v>
      </c>
      <c r="H13" s="3">
        <v>8.39</v>
      </c>
      <c r="I13" s="51">
        <v>44</v>
      </c>
    </row>
    <row r="14" spans="2:9" ht="18" customHeight="1" x14ac:dyDescent="0.25">
      <c r="B14" s="77" t="s">
        <v>125</v>
      </c>
      <c r="C14" s="81" t="s">
        <v>159</v>
      </c>
      <c r="D14" s="79" t="s">
        <v>66</v>
      </c>
      <c r="E14" s="1" t="s">
        <v>72</v>
      </c>
      <c r="F14" s="2">
        <v>1989</v>
      </c>
      <c r="G14" s="85">
        <v>1</v>
      </c>
      <c r="H14" s="3">
        <v>4.5</v>
      </c>
      <c r="I14" s="51">
        <v>13</v>
      </c>
    </row>
    <row r="15" spans="2:9" ht="18" customHeight="1" x14ac:dyDescent="0.25">
      <c r="B15" s="77" t="s">
        <v>125</v>
      </c>
      <c r="C15" s="81" t="s">
        <v>160</v>
      </c>
      <c r="D15" s="79" t="s">
        <v>66</v>
      </c>
      <c r="E15" s="1" t="s">
        <v>75</v>
      </c>
      <c r="F15" s="2">
        <v>1968</v>
      </c>
      <c r="G15" s="85">
        <v>1</v>
      </c>
      <c r="H15" s="4">
        <v>0.8</v>
      </c>
      <c r="I15" s="52">
        <v>1.5</v>
      </c>
    </row>
    <row r="16" spans="2:9" ht="18" customHeight="1" x14ac:dyDescent="0.25">
      <c r="B16" s="78" t="s">
        <v>98</v>
      </c>
      <c r="C16" s="81" t="s">
        <v>161</v>
      </c>
      <c r="D16" s="80" t="s">
        <v>37</v>
      </c>
      <c r="E16" s="1" t="s">
        <v>75</v>
      </c>
      <c r="F16" s="6">
        <v>1993</v>
      </c>
      <c r="G16" s="85">
        <v>1</v>
      </c>
      <c r="H16" s="7">
        <v>9.2639999999999993</v>
      </c>
      <c r="I16" s="53">
        <v>35</v>
      </c>
    </row>
    <row r="17" spans="2:9" ht="18" customHeight="1" x14ac:dyDescent="0.25">
      <c r="B17" s="77" t="s">
        <v>141</v>
      </c>
      <c r="C17" s="81" t="s">
        <v>162</v>
      </c>
      <c r="D17" s="79" t="s">
        <v>35</v>
      </c>
      <c r="E17" s="1" t="s">
        <v>78</v>
      </c>
      <c r="F17" s="2">
        <v>1966</v>
      </c>
      <c r="G17" s="85">
        <v>1</v>
      </c>
      <c r="H17" s="3">
        <v>2.76</v>
      </c>
      <c r="I17" s="51">
        <v>12</v>
      </c>
    </row>
    <row r="18" spans="2:9" ht="18" customHeight="1" x14ac:dyDescent="0.25">
      <c r="B18" s="77" t="s">
        <v>120</v>
      </c>
      <c r="C18" s="81" t="s">
        <v>163</v>
      </c>
      <c r="D18" s="79" t="s">
        <v>40</v>
      </c>
      <c r="E18" s="1" t="s">
        <v>75</v>
      </c>
      <c r="F18" s="2">
        <v>1966</v>
      </c>
      <c r="G18" s="85">
        <v>1</v>
      </c>
      <c r="H18" s="3">
        <v>6.2399999999999997E-2</v>
      </c>
      <c r="I18" s="51">
        <v>0.3</v>
      </c>
    </row>
    <row r="19" spans="2:9" ht="18" customHeight="1" x14ac:dyDescent="0.25">
      <c r="B19" s="94" t="s">
        <v>115</v>
      </c>
      <c r="C19" s="81" t="s">
        <v>164</v>
      </c>
      <c r="D19" s="97" t="s">
        <v>10</v>
      </c>
      <c r="E19" s="1" t="s">
        <v>75</v>
      </c>
      <c r="F19" s="9">
        <v>1984</v>
      </c>
      <c r="G19" s="85">
        <v>1</v>
      </c>
      <c r="H19" s="10">
        <v>0.3</v>
      </c>
      <c r="I19" s="54">
        <v>1</v>
      </c>
    </row>
    <row r="20" spans="2:9" ht="18" customHeight="1" x14ac:dyDescent="0.25">
      <c r="B20" s="77" t="s">
        <v>91</v>
      </c>
      <c r="C20" s="81" t="s">
        <v>165</v>
      </c>
      <c r="D20" s="79" t="s">
        <v>45</v>
      </c>
      <c r="E20" s="1" t="s">
        <v>75</v>
      </c>
      <c r="F20" s="9">
        <v>1952</v>
      </c>
      <c r="G20" s="85">
        <v>1</v>
      </c>
      <c r="H20" s="10">
        <v>7.4999999999999997E-2</v>
      </c>
      <c r="I20" s="54">
        <v>0.4</v>
      </c>
    </row>
    <row r="21" spans="2:9" ht="18" customHeight="1" x14ac:dyDescent="0.25">
      <c r="B21" s="95" t="s">
        <v>92</v>
      </c>
      <c r="C21" s="81" t="s">
        <v>166</v>
      </c>
      <c r="D21" s="98" t="s">
        <v>39</v>
      </c>
      <c r="E21" s="1" t="s">
        <v>75</v>
      </c>
      <c r="F21" s="9">
        <v>1934</v>
      </c>
      <c r="G21" s="85">
        <v>1</v>
      </c>
      <c r="H21" s="10">
        <v>1.1200000000000001</v>
      </c>
      <c r="I21" s="54">
        <v>1.25</v>
      </c>
    </row>
    <row r="22" spans="2:9" ht="18" customHeight="1" x14ac:dyDescent="0.25">
      <c r="B22" s="94" t="s">
        <v>113</v>
      </c>
      <c r="C22" s="81" t="s">
        <v>494</v>
      </c>
      <c r="D22" s="97" t="s">
        <v>64</v>
      </c>
      <c r="E22" s="1" t="s">
        <v>75</v>
      </c>
      <c r="F22" s="9">
        <v>1929</v>
      </c>
      <c r="G22" s="85">
        <v>1</v>
      </c>
      <c r="H22" s="10">
        <v>1.04</v>
      </c>
      <c r="I22" s="54">
        <v>2.4500000000000002</v>
      </c>
    </row>
    <row r="23" spans="2:9" ht="18" customHeight="1" x14ac:dyDescent="0.25">
      <c r="B23" s="77" t="s">
        <v>86</v>
      </c>
      <c r="C23" s="81" t="s">
        <v>167</v>
      </c>
      <c r="D23" s="79" t="s">
        <v>20</v>
      </c>
      <c r="E23" s="1" t="s">
        <v>75</v>
      </c>
      <c r="F23" s="2">
        <v>1952</v>
      </c>
      <c r="G23" s="85">
        <v>1</v>
      </c>
      <c r="H23" s="3">
        <v>2.3039999999999998</v>
      </c>
      <c r="I23" s="51">
        <v>8</v>
      </c>
    </row>
    <row r="24" spans="2:9" ht="18" customHeight="1" x14ac:dyDescent="0.25">
      <c r="B24" s="77" t="s">
        <v>99</v>
      </c>
      <c r="C24" s="81" t="s">
        <v>168</v>
      </c>
      <c r="D24" s="79" t="s">
        <v>55</v>
      </c>
      <c r="E24" s="1" t="s">
        <v>75</v>
      </c>
      <c r="F24" s="2">
        <v>1987</v>
      </c>
      <c r="G24" s="85">
        <v>1</v>
      </c>
      <c r="H24" s="3">
        <v>0.5</v>
      </c>
      <c r="I24" s="51">
        <v>1</v>
      </c>
    </row>
    <row r="25" spans="2:9" ht="18" customHeight="1" x14ac:dyDescent="0.25">
      <c r="B25" s="77" t="s">
        <v>99</v>
      </c>
      <c r="C25" s="81" t="s">
        <v>169</v>
      </c>
      <c r="D25" s="79" t="s">
        <v>55</v>
      </c>
      <c r="E25" s="1" t="s">
        <v>75</v>
      </c>
      <c r="F25" s="2">
        <v>1955</v>
      </c>
      <c r="G25" s="85">
        <v>1</v>
      </c>
      <c r="H25" s="3">
        <v>0.4</v>
      </c>
      <c r="I25" s="51">
        <v>1.5</v>
      </c>
    </row>
    <row r="26" spans="2:9" ht="18" customHeight="1" x14ac:dyDescent="0.25">
      <c r="B26" s="77" t="s">
        <v>97</v>
      </c>
      <c r="C26" s="81" t="s">
        <v>170</v>
      </c>
      <c r="D26" s="79" t="s">
        <v>34</v>
      </c>
      <c r="E26" s="1" t="s">
        <v>75</v>
      </c>
      <c r="F26" s="2">
        <v>1954</v>
      </c>
      <c r="G26" s="85">
        <v>1</v>
      </c>
      <c r="H26" s="3">
        <v>4.0919999999999996</v>
      </c>
      <c r="I26" s="51">
        <v>15</v>
      </c>
    </row>
    <row r="27" spans="2:9" ht="18" customHeight="1" x14ac:dyDescent="0.25">
      <c r="B27" s="77" t="s">
        <v>118</v>
      </c>
      <c r="C27" s="81" t="s">
        <v>171</v>
      </c>
      <c r="D27" s="79" t="s">
        <v>27</v>
      </c>
      <c r="E27" s="1" t="s">
        <v>75</v>
      </c>
      <c r="F27" s="2">
        <v>1953</v>
      </c>
      <c r="G27" s="85">
        <v>1</v>
      </c>
      <c r="H27" s="3">
        <v>3.04</v>
      </c>
      <c r="I27" s="51">
        <v>18</v>
      </c>
    </row>
    <row r="28" spans="2:9" ht="18" customHeight="1" x14ac:dyDescent="0.25">
      <c r="B28" s="77" t="s">
        <v>121</v>
      </c>
      <c r="C28" s="81" t="s">
        <v>172</v>
      </c>
      <c r="D28" s="79" t="s">
        <v>47</v>
      </c>
      <c r="E28" s="1" t="s">
        <v>78</v>
      </c>
      <c r="F28" s="2">
        <v>1964</v>
      </c>
      <c r="G28" s="85">
        <v>1</v>
      </c>
      <c r="H28" s="4">
        <v>0.83199999999999996</v>
      </c>
      <c r="I28" s="52">
        <v>2.2000000000000002</v>
      </c>
    </row>
    <row r="29" spans="2:9" ht="18" customHeight="1" x14ac:dyDescent="0.25">
      <c r="B29" s="77" t="s">
        <v>121</v>
      </c>
      <c r="C29" s="81" t="s">
        <v>173</v>
      </c>
      <c r="D29" s="79" t="s">
        <v>47</v>
      </c>
      <c r="E29" s="1" t="s">
        <v>75</v>
      </c>
      <c r="F29" s="2">
        <v>1972</v>
      </c>
      <c r="G29" s="85">
        <v>1</v>
      </c>
      <c r="H29" s="3">
        <v>0.32</v>
      </c>
      <c r="I29" s="51">
        <v>1.6</v>
      </c>
    </row>
    <row r="30" spans="2:9" ht="18" customHeight="1" x14ac:dyDescent="0.25">
      <c r="B30" s="77" t="s">
        <v>121</v>
      </c>
      <c r="C30" s="81" t="s">
        <v>174</v>
      </c>
      <c r="D30" s="79" t="s">
        <v>47</v>
      </c>
      <c r="E30" s="1" t="s">
        <v>75</v>
      </c>
      <c r="F30" s="2">
        <v>1961</v>
      </c>
      <c r="G30" s="85">
        <v>1</v>
      </c>
      <c r="H30" s="4">
        <v>4.5</v>
      </c>
      <c r="I30" s="52">
        <v>2</v>
      </c>
    </row>
    <row r="31" spans="2:9" ht="18" customHeight="1" x14ac:dyDescent="0.25">
      <c r="B31" s="77" t="s">
        <v>124</v>
      </c>
      <c r="C31" s="81" t="s">
        <v>175</v>
      </c>
      <c r="D31" s="79" t="s">
        <v>65</v>
      </c>
      <c r="E31" s="1" t="s">
        <v>75</v>
      </c>
      <c r="F31" s="2">
        <v>1961</v>
      </c>
      <c r="G31" s="85">
        <v>1</v>
      </c>
      <c r="H31" s="3">
        <v>0.12</v>
      </c>
      <c r="I31" s="51">
        <v>0.75</v>
      </c>
    </row>
    <row r="32" spans="2:9" ht="18" customHeight="1" x14ac:dyDescent="0.25">
      <c r="B32" s="77" t="s">
        <v>131</v>
      </c>
      <c r="C32" s="81" t="s">
        <v>176</v>
      </c>
      <c r="D32" s="79" t="s">
        <v>48</v>
      </c>
      <c r="E32" s="1" t="s">
        <v>78</v>
      </c>
      <c r="F32" s="2">
        <v>1968</v>
      </c>
      <c r="G32" s="85">
        <v>1</v>
      </c>
      <c r="H32" s="3">
        <v>14.4</v>
      </c>
      <c r="I32" s="51">
        <v>42</v>
      </c>
    </row>
    <row r="33" spans="2:9" ht="18" customHeight="1" x14ac:dyDescent="0.25">
      <c r="B33" s="77" t="s">
        <v>133</v>
      </c>
      <c r="C33" s="81" t="s">
        <v>177</v>
      </c>
      <c r="D33" s="79" t="s">
        <v>62</v>
      </c>
      <c r="E33" s="1" t="s">
        <v>78</v>
      </c>
      <c r="F33" s="2">
        <v>1976</v>
      </c>
      <c r="G33" s="85">
        <v>1</v>
      </c>
      <c r="H33" s="4">
        <v>0.64</v>
      </c>
      <c r="I33" s="52">
        <v>1.2</v>
      </c>
    </row>
    <row r="34" spans="2:9" ht="18" customHeight="1" x14ac:dyDescent="0.25">
      <c r="B34" s="96" t="s">
        <v>103</v>
      </c>
      <c r="C34" s="81" t="s">
        <v>178</v>
      </c>
      <c r="D34" s="99" t="s">
        <v>42</v>
      </c>
      <c r="E34" s="1" t="s">
        <v>75</v>
      </c>
      <c r="F34" s="6">
        <v>1961</v>
      </c>
      <c r="G34" s="85">
        <v>1</v>
      </c>
      <c r="H34" s="7">
        <v>6.78</v>
      </c>
      <c r="I34" s="53">
        <v>50</v>
      </c>
    </row>
    <row r="35" spans="2:9" ht="18" customHeight="1" x14ac:dyDescent="0.25">
      <c r="B35" s="96" t="s">
        <v>103</v>
      </c>
      <c r="C35" s="81" t="s">
        <v>179</v>
      </c>
      <c r="D35" s="99" t="s">
        <v>42</v>
      </c>
      <c r="E35" s="1" t="s">
        <v>75</v>
      </c>
      <c r="F35" s="2">
        <v>1924</v>
      </c>
      <c r="G35" s="85">
        <v>1</v>
      </c>
      <c r="H35" s="3">
        <v>9.9199999999999997E-2</v>
      </c>
      <c r="I35" s="51">
        <v>0.7</v>
      </c>
    </row>
    <row r="36" spans="2:9" ht="18" customHeight="1" x14ac:dyDescent="0.25">
      <c r="B36" s="96" t="s">
        <v>103</v>
      </c>
      <c r="C36" s="81" t="s">
        <v>180</v>
      </c>
      <c r="D36" s="99" t="s">
        <v>42</v>
      </c>
      <c r="E36" s="1" t="s">
        <v>75</v>
      </c>
      <c r="F36" s="2">
        <v>1928</v>
      </c>
      <c r="G36" s="85">
        <v>1</v>
      </c>
      <c r="H36" s="3">
        <v>1.36</v>
      </c>
      <c r="I36" s="51">
        <v>4</v>
      </c>
    </row>
    <row r="37" spans="2:9" ht="18" customHeight="1" x14ac:dyDescent="0.25">
      <c r="B37" s="77" t="s">
        <v>93</v>
      </c>
      <c r="C37" s="81" t="s">
        <v>181</v>
      </c>
      <c r="D37" s="79" t="s">
        <v>8</v>
      </c>
      <c r="E37" s="1" t="s">
        <v>75</v>
      </c>
      <c r="F37" s="2">
        <v>1962</v>
      </c>
      <c r="G37" s="85">
        <v>1</v>
      </c>
      <c r="H37" s="3">
        <v>0.55200000000000005</v>
      </c>
      <c r="I37" s="51">
        <v>1</v>
      </c>
    </row>
    <row r="38" spans="2:9" ht="18" customHeight="1" x14ac:dyDescent="0.25">
      <c r="B38" s="77" t="s">
        <v>143</v>
      </c>
      <c r="C38" s="81" t="s">
        <v>182</v>
      </c>
      <c r="D38" s="79" t="s">
        <v>18</v>
      </c>
      <c r="E38" s="1" t="s">
        <v>75</v>
      </c>
      <c r="F38" s="2">
        <v>1950</v>
      </c>
      <c r="G38" s="85">
        <v>1</v>
      </c>
      <c r="H38" s="3">
        <v>1.07</v>
      </c>
      <c r="I38" s="51">
        <v>1.0649999999999999</v>
      </c>
    </row>
    <row r="39" spans="2:9" ht="18" customHeight="1" x14ac:dyDescent="0.25">
      <c r="B39" s="77" t="s">
        <v>143</v>
      </c>
      <c r="C39" s="81" t="s">
        <v>183</v>
      </c>
      <c r="D39" s="79" t="s">
        <v>18</v>
      </c>
      <c r="E39" s="1" t="s">
        <v>75</v>
      </c>
      <c r="F39" s="2">
        <v>1967</v>
      </c>
      <c r="G39" s="85">
        <v>1</v>
      </c>
      <c r="H39" s="3">
        <v>0.39400000000000002</v>
      </c>
      <c r="I39" s="51">
        <v>1</v>
      </c>
    </row>
    <row r="40" spans="2:9" ht="18" customHeight="1" x14ac:dyDescent="0.25">
      <c r="B40" s="77" t="s">
        <v>126</v>
      </c>
      <c r="C40" s="81" t="s">
        <v>184</v>
      </c>
      <c r="D40" s="79" t="s">
        <v>51</v>
      </c>
      <c r="E40" s="1" t="s">
        <v>75</v>
      </c>
      <c r="F40" s="2">
        <v>1966</v>
      </c>
      <c r="G40" s="85">
        <v>1</v>
      </c>
      <c r="H40" s="3">
        <v>1.216</v>
      </c>
      <c r="I40" s="51">
        <v>2.5</v>
      </c>
    </row>
    <row r="41" spans="2:9" ht="18" customHeight="1" x14ac:dyDescent="0.25">
      <c r="B41" s="77" t="s">
        <v>126</v>
      </c>
      <c r="C41" s="81" t="s">
        <v>185</v>
      </c>
      <c r="D41" s="79" t="s">
        <v>51</v>
      </c>
      <c r="E41" s="1" t="s">
        <v>75</v>
      </c>
      <c r="F41" s="2">
        <v>1968</v>
      </c>
      <c r="G41" s="85">
        <v>1</v>
      </c>
      <c r="H41" s="3">
        <v>0.29199999999999998</v>
      </c>
      <c r="I41" s="51">
        <v>1</v>
      </c>
    </row>
    <row r="42" spans="2:9" ht="18" customHeight="1" x14ac:dyDescent="0.25">
      <c r="B42" s="77" t="s">
        <v>127</v>
      </c>
      <c r="C42" s="81" t="s">
        <v>186</v>
      </c>
      <c r="D42" s="79" t="s">
        <v>33</v>
      </c>
      <c r="E42" s="1" t="s">
        <v>75</v>
      </c>
      <c r="F42" s="2">
        <v>1970</v>
      </c>
      <c r="G42" s="85">
        <v>1</v>
      </c>
      <c r="H42" s="3">
        <v>1.28</v>
      </c>
      <c r="I42" s="51">
        <v>3.5</v>
      </c>
    </row>
    <row r="43" spans="2:9" ht="18" customHeight="1" x14ac:dyDescent="0.25">
      <c r="B43" s="96" t="s">
        <v>94</v>
      </c>
      <c r="C43" s="81" t="s">
        <v>187</v>
      </c>
      <c r="D43" s="99" t="s">
        <v>36</v>
      </c>
      <c r="E43" s="13" t="s">
        <v>73</v>
      </c>
      <c r="F43" s="6">
        <v>1960</v>
      </c>
      <c r="G43" s="85">
        <v>1</v>
      </c>
      <c r="H43" s="7">
        <v>8.25</v>
      </c>
      <c r="I43" s="53">
        <v>3</v>
      </c>
    </row>
    <row r="44" spans="2:9" ht="18" customHeight="1" x14ac:dyDescent="0.25">
      <c r="B44" s="96" t="s">
        <v>94</v>
      </c>
      <c r="C44" s="81" t="s">
        <v>188</v>
      </c>
      <c r="D44" s="99" t="s">
        <v>36</v>
      </c>
      <c r="E44" s="13" t="s">
        <v>73</v>
      </c>
      <c r="F44" s="2">
        <v>1971</v>
      </c>
      <c r="G44" s="85">
        <v>1</v>
      </c>
      <c r="H44" s="3">
        <v>51.2</v>
      </c>
      <c r="I44" s="51">
        <v>222</v>
      </c>
    </row>
    <row r="45" spans="2:9" ht="18" customHeight="1" x14ac:dyDescent="0.25">
      <c r="B45" s="77" t="s">
        <v>129</v>
      </c>
      <c r="C45" s="81" t="s">
        <v>189</v>
      </c>
      <c r="D45" s="79" t="s">
        <v>5</v>
      </c>
      <c r="E45" s="1" t="s">
        <v>75</v>
      </c>
      <c r="F45" s="2">
        <v>1956</v>
      </c>
      <c r="G45" s="85">
        <v>1</v>
      </c>
      <c r="H45" s="3">
        <v>0.27200000000000002</v>
      </c>
      <c r="I45" s="51">
        <v>0.6</v>
      </c>
    </row>
    <row r="46" spans="2:9" ht="18" customHeight="1" x14ac:dyDescent="0.25">
      <c r="B46" s="77" t="s">
        <v>119</v>
      </c>
      <c r="C46" s="81" t="s">
        <v>190</v>
      </c>
      <c r="D46" s="79" t="s">
        <v>15</v>
      </c>
      <c r="E46" s="1" t="s">
        <v>75</v>
      </c>
      <c r="F46" s="2">
        <v>1950</v>
      </c>
      <c r="G46" s="85">
        <v>1</v>
      </c>
      <c r="H46" s="3">
        <v>0.39600000000000002</v>
      </c>
      <c r="I46" s="51">
        <v>1.25</v>
      </c>
    </row>
    <row r="47" spans="2:9" ht="18" customHeight="1" x14ac:dyDescent="0.25">
      <c r="B47" s="77" t="s">
        <v>138</v>
      </c>
      <c r="C47" s="81" t="s">
        <v>191</v>
      </c>
      <c r="D47" s="79" t="s">
        <v>13</v>
      </c>
      <c r="E47" s="1" t="s">
        <v>75</v>
      </c>
      <c r="F47" s="2">
        <v>1950</v>
      </c>
      <c r="G47" s="85">
        <v>1</v>
      </c>
      <c r="H47" s="3">
        <v>0.46400000000000002</v>
      </c>
      <c r="I47" s="51">
        <v>2.5</v>
      </c>
    </row>
    <row r="48" spans="2:9" ht="18" customHeight="1" x14ac:dyDescent="0.25">
      <c r="B48" s="96" t="s">
        <v>136</v>
      </c>
      <c r="C48" s="81" t="s">
        <v>192</v>
      </c>
      <c r="D48" s="99" t="s">
        <v>25</v>
      </c>
      <c r="E48" s="1" t="s">
        <v>72</v>
      </c>
      <c r="F48" s="6">
        <v>1991</v>
      </c>
      <c r="G48" s="85">
        <v>1</v>
      </c>
      <c r="H48" s="7">
        <v>9.35</v>
      </c>
      <c r="I48" s="53">
        <v>42</v>
      </c>
    </row>
    <row r="49" spans="2:9" ht="18" customHeight="1" x14ac:dyDescent="0.25">
      <c r="B49" s="96" t="s">
        <v>96</v>
      </c>
      <c r="C49" s="81" t="s">
        <v>193</v>
      </c>
      <c r="D49" s="99" t="s">
        <v>49</v>
      </c>
      <c r="E49" s="1" t="s">
        <v>72</v>
      </c>
      <c r="F49" s="6">
        <v>1996</v>
      </c>
      <c r="G49" s="85">
        <v>1</v>
      </c>
      <c r="H49" s="7">
        <v>10.199999999999999</v>
      </c>
      <c r="I49" s="53">
        <v>47</v>
      </c>
    </row>
    <row r="50" spans="2:9" ht="18" customHeight="1" x14ac:dyDescent="0.25">
      <c r="B50" s="100" t="s">
        <v>93</v>
      </c>
      <c r="C50" s="81" t="s">
        <v>194</v>
      </c>
      <c r="D50" s="101" t="s">
        <v>8</v>
      </c>
      <c r="E50" s="1" t="s">
        <v>72</v>
      </c>
      <c r="F50" s="15">
        <v>1984</v>
      </c>
      <c r="G50" s="85">
        <v>1</v>
      </c>
      <c r="H50" s="16">
        <v>540</v>
      </c>
      <c r="I50" s="55">
        <v>1620</v>
      </c>
    </row>
    <row r="51" spans="2:9" ht="18" customHeight="1" x14ac:dyDescent="0.25">
      <c r="B51" s="94" t="s">
        <v>87</v>
      </c>
      <c r="C51" s="81" t="s">
        <v>195</v>
      </c>
      <c r="D51" s="97" t="s">
        <v>29</v>
      </c>
      <c r="E51" s="1" t="s">
        <v>75</v>
      </c>
      <c r="F51" s="9">
        <v>2000</v>
      </c>
      <c r="G51" s="85">
        <v>1</v>
      </c>
      <c r="H51" s="10">
        <v>16.8</v>
      </c>
      <c r="I51" s="54">
        <v>87.2</v>
      </c>
    </row>
    <row r="52" spans="2:9" ht="18" customHeight="1" x14ac:dyDescent="0.25">
      <c r="B52" s="77" t="s">
        <v>109</v>
      </c>
      <c r="C52" s="81" t="s">
        <v>196</v>
      </c>
      <c r="D52" s="79" t="s">
        <v>58</v>
      </c>
      <c r="E52" s="1" t="s">
        <v>72</v>
      </c>
      <c r="F52" s="9">
        <v>1989</v>
      </c>
      <c r="G52" s="85">
        <v>1</v>
      </c>
      <c r="H52" s="10">
        <v>5.5</v>
      </c>
      <c r="I52" s="54">
        <v>8</v>
      </c>
    </row>
    <row r="53" spans="2:9" ht="18" customHeight="1" x14ac:dyDescent="0.25">
      <c r="B53" s="94" t="s">
        <v>117</v>
      </c>
      <c r="C53" s="81" t="s">
        <v>197</v>
      </c>
      <c r="D53" s="97" t="s">
        <v>28</v>
      </c>
      <c r="E53" s="1" t="s">
        <v>72</v>
      </c>
      <c r="F53" s="9">
        <v>1999</v>
      </c>
      <c r="G53" s="85">
        <v>1</v>
      </c>
      <c r="H53" s="10">
        <v>20.9</v>
      </c>
      <c r="I53" s="54">
        <v>36</v>
      </c>
    </row>
    <row r="54" spans="2:9" ht="18" customHeight="1" x14ac:dyDescent="0.25">
      <c r="B54" s="77" t="s">
        <v>118</v>
      </c>
      <c r="C54" s="81" t="s">
        <v>198</v>
      </c>
      <c r="D54" s="79" t="s">
        <v>27</v>
      </c>
      <c r="E54" s="1" t="s">
        <v>72</v>
      </c>
      <c r="F54" s="9">
        <v>1990</v>
      </c>
      <c r="G54" s="85">
        <v>1</v>
      </c>
      <c r="H54" s="10">
        <v>15</v>
      </c>
      <c r="I54" s="54">
        <v>51</v>
      </c>
    </row>
    <row r="55" spans="2:9" ht="18" customHeight="1" x14ac:dyDescent="0.25">
      <c r="B55" s="77" t="s">
        <v>124</v>
      </c>
      <c r="C55" s="81" t="s">
        <v>199</v>
      </c>
      <c r="D55" s="79" t="s">
        <v>65</v>
      </c>
      <c r="E55" s="1" t="s">
        <v>75</v>
      </c>
      <c r="F55" s="9">
        <v>2003</v>
      </c>
      <c r="G55" s="85">
        <v>1</v>
      </c>
      <c r="H55" s="10">
        <v>19.2</v>
      </c>
      <c r="I55" s="54">
        <v>78</v>
      </c>
    </row>
    <row r="56" spans="2:9" ht="18" customHeight="1" x14ac:dyDescent="0.25">
      <c r="B56" s="100" t="s">
        <v>140</v>
      </c>
      <c r="C56" s="81" t="s">
        <v>200</v>
      </c>
      <c r="D56" s="101" t="s">
        <v>56</v>
      </c>
      <c r="E56" s="1" t="s">
        <v>75</v>
      </c>
      <c r="F56" s="15">
        <v>1961</v>
      </c>
      <c r="G56" s="85">
        <v>1</v>
      </c>
      <c r="H56" s="16">
        <v>18.600000000000001</v>
      </c>
      <c r="I56" s="55">
        <v>110</v>
      </c>
    </row>
    <row r="57" spans="2:9" ht="18" customHeight="1" x14ac:dyDescent="0.25">
      <c r="B57" s="77" t="s">
        <v>120</v>
      </c>
      <c r="C57" s="81" t="s">
        <v>201</v>
      </c>
      <c r="D57" s="79" t="s">
        <v>40</v>
      </c>
      <c r="E57" s="13" t="s">
        <v>73</v>
      </c>
      <c r="F57" s="9">
        <v>1975</v>
      </c>
      <c r="G57" s="85">
        <v>1</v>
      </c>
      <c r="H57" s="10">
        <v>15.36</v>
      </c>
      <c r="I57" s="54">
        <v>48</v>
      </c>
    </row>
    <row r="58" spans="2:9" ht="18" customHeight="1" x14ac:dyDescent="0.25">
      <c r="B58" s="77" t="s">
        <v>86</v>
      </c>
      <c r="C58" s="81" t="s">
        <v>202</v>
      </c>
      <c r="D58" s="79" t="s">
        <v>20</v>
      </c>
      <c r="E58" s="1" t="s">
        <v>75</v>
      </c>
      <c r="F58" s="2">
        <v>1952</v>
      </c>
      <c r="G58" s="85">
        <v>1</v>
      </c>
      <c r="H58" s="3">
        <v>1.181</v>
      </c>
      <c r="I58" s="51">
        <v>4</v>
      </c>
    </row>
    <row r="59" spans="2:9" ht="18" customHeight="1" x14ac:dyDescent="0.25">
      <c r="B59" s="77" t="s">
        <v>86</v>
      </c>
      <c r="C59" s="81" t="s">
        <v>203</v>
      </c>
      <c r="D59" s="79" t="s">
        <v>20</v>
      </c>
      <c r="E59" s="1" t="s">
        <v>75</v>
      </c>
      <c r="F59" s="2">
        <v>1952</v>
      </c>
      <c r="G59" s="85">
        <v>1</v>
      </c>
      <c r="H59" s="3">
        <v>0.71499999999999997</v>
      </c>
      <c r="I59" s="51">
        <v>3</v>
      </c>
    </row>
    <row r="60" spans="2:9" ht="18" customHeight="1" x14ac:dyDescent="0.25">
      <c r="B60" s="96" t="s">
        <v>85</v>
      </c>
      <c r="C60" s="81" t="s">
        <v>204</v>
      </c>
      <c r="D60" s="99" t="s">
        <v>46</v>
      </c>
      <c r="E60" s="1" t="s">
        <v>75</v>
      </c>
      <c r="F60" s="6">
        <v>1960</v>
      </c>
      <c r="G60" s="85">
        <v>1</v>
      </c>
      <c r="H60" s="7">
        <v>2.56</v>
      </c>
      <c r="I60" s="53">
        <v>8</v>
      </c>
    </row>
    <row r="61" spans="2:9" ht="18" customHeight="1" x14ac:dyDescent="0.25">
      <c r="B61" s="77" t="s">
        <v>101</v>
      </c>
      <c r="C61" s="81" t="s">
        <v>205</v>
      </c>
      <c r="D61" s="79" t="s">
        <v>53</v>
      </c>
      <c r="E61" s="1" t="s">
        <v>75</v>
      </c>
      <c r="F61" s="2">
        <v>1965</v>
      </c>
      <c r="G61" s="85">
        <v>1</v>
      </c>
      <c r="H61" s="3">
        <v>6.88E-2</v>
      </c>
      <c r="I61" s="51">
        <v>0.6</v>
      </c>
    </row>
    <row r="62" spans="2:9" ht="18" customHeight="1" x14ac:dyDescent="0.25">
      <c r="B62" s="77" t="s">
        <v>118</v>
      </c>
      <c r="C62" s="81" t="s">
        <v>206</v>
      </c>
      <c r="D62" s="79" t="s">
        <v>27</v>
      </c>
      <c r="E62" s="1" t="s">
        <v>75</v>
      </c>
      <c r="F62" s="6">
        <v>2001</v>
      </c>
      <c r="G62" s="85">
        <v>1</v>
      </c>
      <c r="H62" s="7">
        <v>2.64</v>
      </c>
      <c r="I62" s="197">
        <v>43</v>
      </c>
    </row>
    <row r="63" spans="2:9" ht="18" customHeight="1" x14ac:dyDescent="0.25">
      <c r="B63" s="77" t="s">
        <v>118</v>
      </c>
      <c r="C63" s="81" t="s">
        <v>207</v>
      </c>
      <c r="D63" s="79" t="s">
        <v>27</v>
      </c>
      <c r="E63" s="1" t="s">
        <v>75</v>
      </c>
      <c r="F63" s="6">
        <v>2001</v>
      </c>
      <c r="G63" s="85">
        <v>1</v>
      </c>
      <c r="H63" s="7">
        <v>8.94</v>
      </c>
      <c r="I63" s="197"/>
    </row>
    <row r="64" spans="2:9" ht="18" customHeight="1" x14ac:dyDescent="0.25">
      <c r="B64" s="77" t="s">
        <v>121</v>
      </c>
      <c r="C64" s="81" t="s">
        <v>208</v>
      </c>
      <c r="D64" s="79" t="s">
        <v>47</v>
      </c>
      <c r="E64" s="1" t="s">
        <v>75</v>
      </c>
      <c r="F64" s="6">
        <v>1998</v>
      </c>
      <c r="G64" s="85">
        <v>1</v>
      </c>
      <c r="H64" s="7">
        <v>12.5</v>
      </c>
      <c r="I64" s="53">
        <v>59</v>
      </c>
    </row>
    <row r="65" spans="2:9" ht="18" customHeight="1" x14ac:dyDescent="0.25">
      <c r="B65" s="96" t="s">
        <v>103</v>
      </c>
      <c r="C65" s="81" t="s">
        <v>495</v>
      </c>
      <c r="D65" s="99" t="s">
        <v>42</v>
      </c>
      <c r="E65" s="1" t="s">
        <v>75</v>
      </c>
      <c r="F65" s="6">
        <v>1998</v>
      </c>
      <c r="G65" s="85">
        <v>1</v>
      </c>
      <c r="H65" s="7">
        <v>84</v>
      </c>
      <c r="I65" s="53">
        <v>429</v>
      </c>
    </row>
    <row r="66" spans="2:9" ht="18" customHeight="1" x14ac:dyDescent="0.25">
      <c r="B66" s="96" t="s">
        <v>103</v>
      </c>
      <c r="C66" s="81" t="s">
        <v>209</v>
      </c>
      <c r="D66" s="99" t="s">
        <v>42</v>
      </c>
      <c r="E66" s="1" t="s">
        <v>72</v>
      </c>
      <c r="F66" s="6">
        <v>2005</v>
      </c>
      <c r="G66" s="85">
        <v>1</v>
      </c>
      <c r="H66" s="7">
        <v>100</v>
      </c>
      <c r="I66" s="53">
        <v>423.5</v>
      </c>
    </row>
    <row r="67" spans="2:9" ht="18" customHeight="1" x14ac:dyDescent="0.25">
      <c r="B67" s="96" t="s">
        <v>146</v>
      </c>
      <c r="C67" s="81" t="s">
        <v>210</v>
      </c>
      <c r="D67" s="99" t="s">
        <v>145</v>
      </c>
      <c r="E67" s="1" t="s">
        <v>72</v>
      </c>
      <c r="F67" s="6">
        <v>2000</v>
      </c>
      <c r="G67" s="85">
        <v>1</v>
      </c>
      <c r="H67" s="7">
        <v>672</v>
      </c>
      <c r="I67" s="53">
        <v>2516</v>
      </c>
    </row>
    <row r="68" spans="2:9" ht="18" customHeight="1" x14ac:dyDescent="0.25">
      <c r="B68" s="96" t="s">
        <v>94</v>
      </c>
      <c r="C68" s="81" t="s">
        <v>211</v>
      </c>
      <c r="D68" s="99" t="s">
        <v>36</v>
      </c>
      <c r="E68" s="1" t="s">
        <v>75</v>
      </c>
      <c r="F68" s="6">
        <v>1989</v>
      </c>
      <c r="G68" s="85">
        <v>1</v>
      </c>
      <c r="H68" s="7">
        <v>13</v>
      </c>
      <c r="I68" s="53">
        <v>36</v>
      </c>
    </row>
    <row r="69" spans="2:9" ht="18" customHeight="1" x14ac:dyDescent="0.25">
      <c r="B69" s="73" t="s">
        <v>83</v>
      </c>
      <c r="C69" s="81" t="s">
        <v>212</v>
      </c>
      <c r="D69" s="103" t="s">
        <v>84</v>
      </c>
      <c r="E69" s="1" t="s">
        <v>75</v>
      </c>
      <c r="F69" s="17">
        <v>2000</v>
      </c>
      <c r="G69" s="85">
        <v>1</v>
      </c>
      <c r="H69" s="7">
        <v>3</v>
      </c>
      <c r="I69" s="53">
        <v>22.3</v>
      </c>
    </row>
    <row r="70" spans="2:9" ht="18" customHeight="1" x14ac:dyDescent="0.25">
      <c r="B70" s="96" t="s">
        <v>94</v>
      </c>
      <c r="C70" s="81" t="s">
        <v>213</v>
      </c>
      <c r="D70" s="99" t="s">
        <v>36</v>
      </c>
      <c r="E70" s="1" t="s">
        <v>75</v>
      </c>
      <c r="F70" s="6">
        <v>1998</v>
      </c>
      <c r="G70" s="85">
        <v>1</v>
      </c>
      <c r="H70" s="7">
        <v>2.2000000000000002</v>
      </c>
      <c r="I70" s="53">
        <v>12.22</v>
      </c>
    </row>
    <row r="71" spans="2:9" ht="18" customHeight="1" x14ac:dyDescent="0.25">
      <c r="B71" s="96" t="s">
        <v>104</v>
      </c>
      <c r="C71" s="81" t="s">
        <v>214</v>
      </c>
      <c r="D71" s="99" t="s">
        <v>61</v>
      </c>
      <c r="E71" s="1" t="s">
        <v>75</v>
      </c>
      <c r="F71" s="6">
        <v>1999</v>
      </c>
      <c r="G71" s="85">
        <v>1</v>
      </c>
      <c r="H71" s="18">
        <v>2.1259999999999999</v>
      </c>
      <c r="I71" s="56">
        <v>11.435</v>
      </c>
    </row>
    <row r="72" spans="2:9" ht="18" customHeight="1" x14ac:dyDescent="0.25">
      <c r="B72" s="96" t="s">
        <v>104</v>
      </c>
      <c r="C72" s="81" t="s">
        <v>215</v>
      </c>
      <c r="D72" s="99" t="s">
        <v>61</v>
      </c>
      <c r="E72" s="1" t="s">
        <v>75</v>
      </c>
      <c r="F72" s="6">
        <v>2000</v>
      </c>
      <c r="G72" s="85">
        <v>1</v>
      </c>
      <c r="H72" s="7">
        <v>2.4980000000000002</v>
      </c>
      <c r="I72" s="53">
        <v>11.307</v>
      </c>
    </row>
    <row r="73" spans="2:9" ht="18" customHeight="1" x14ac:dyDescent="0.25">
      <c r="B73" s="78" t="s">
        <v>98</v>
      </c>
      <c r="C73" s="81" t="s">
        <v>216</v>
      </c>
      <c r="D73" s="80" t="s">
        <v>37</v>
      </c>
      <c r="E73" s="1" t="s">
        <v>72</v>
      </c>
      <c r="F73" s="6">
        <v>2000</v>
      </c>
      <c r="G73" s="85">
        <v>1</v>
      </c>
      <c r="H73" s="7">
        <v>7</v>
      </c>
      <c r="I73" s="53">
        <v>28</v>
      </c>
    </row>
    <row r="74" spans="2:9" ht="18" customHeight="1" x14ac:dyDescent="0.25">
      <c r="B74" s="96" t="s">
        <v>81</v>
      </c>
      <c r="C74" s="81" t="s">
        <v>217</v>
      </c>
      <c r="D74" s="99" t="s">
        <v>23</v>
      </c>
      <c r="E74" s="1" t="s">
        <v>75</v>
      </c>
      <c r="F74" s="6">
        <v>2001</v>
      </c>
      <c r="G74" s="85">
        <v>1</v>
      </c>
      <c r="H74" s="7">
        <v>2.2000000000000002</v>
      </c>
      <c r="I74" s="53">
        <v>11.75</v>
      </c>
    </row>
    <row r="75" spans="2:9" ht="18" customHeight="1" x14ac:dyDescent="0.25">
      <c r="B75" s="96" t="s">
        <v>82</v>
      </c>
      <c r="C75" s="81" t="s">
        <v>218</v>
      </c>
      <c r="D75" s="99" t="s">
        <v>50</v>
      </c>
      <c r="E75" s="1" t="s">
        <v>75</v>
      </c>
      <c r="F75" s="6">
        <v>1999</v>
      </c>
      <c r="G75" s="85">
        <v>1</v>
      </c>
      <c r="H75" s="7">
        <v>16.5</v>
      </c>
      <c r="I75" s="53">
        <v>90</v>
      </c>
    </row>
    <row r="76" spans="2:9" ht="18" customHeight="1" x14ac:dyDescent="0.25">
      <c r="B76" s="77" t="s">
        <v>120</v>
      </c>
      <c r="C76" s="81" t="s">
        <v>219</v>
      </c>
      <c r="D76" s="79" t="s">
        <v>40</v>
      </c>
      <c r="E76" s="1" t="s">
        <v>75</v>
      </c>
      <c r="F76" s="6">
        <v>2002</v>
      </c>
      <c r="G76" s="85">
        <v>1</v>
      </c>
      <c r="H76" s="7">
        <v>11.1</v>
      </c>
      <c r="I76" s="53">
        <v>50</v>
      </c>
    </row>
    <row r="77" spans="2:9" ht="18" customHeight="1" x14ac:dyDescent="0.25">
      <c r="B77" s="71" t="s">
        <v>79</v>
      </c>
      <c r="C77" s="102" t="s">
        <v>409</v>
      </c>
      <c r="D77" s="12" t="s">
        <v>12</v>
      </c>
      <c r="E77" s="1" t="s">
        <v>72</v>
      </c>
      <c r="F77" s="6">
        <v>1998</v>
      </c>
      <c r="G77" s="85">
        <v>1</v>
      </c>
      <c r="H77" s="7">
        <v>10.6</v>
      </c>
      <c r="I77" s="53">
        <v>47</v>
      </c>
    </row>
    <row r="78" spans="2:9" ht="18" customHeight="1" x14ac:dyDescent="0.25">
      <c r="B78" s="74" t="s">
        <v>122</v>
      </c>
      <c r="C78" s="43" t="s">
        <v>491</v>
      </c>
      <c r="D78" s="19" t="s">
        <v>26</v>
      </c>
      <c r="E78" s="1" t="s">
        <v>75</v>
      </c>
      <c r="F78" s="6">
        <v>1957</v>
      </c>
      <c r="G78" s="85">
        <v>1</v>
      </c>
      <c r="H78" s="3">
        <v>20.12</v>
      </c>
      <c r="I78" s="198">
        <v>60</v>
      </c>
    </row>
    <row r="79" spans="2:9" ht="18" customHeight="1" x14ac:dyDescent="0.25">
      <c r="B79" s="74" t="s">
        <v>122</v>
      </c>
      <c r="C79" s="43" t="s">
        <v>496</v>
      </c>
      <c r="D79" s="19" t="s">
        <v>26</v>
      </c>
      <c r="E79" s="1" t="s">
        <v>75</v>
      </c>
      <c r="F79" s="6">
        <v>1967</v>
      </c>
      <c r="G79" s="85">
        <v>1</v>
      </c>
      <c r="H79" s="3">
        <v>10</v>
      </c>
      <c r="I79" s="198"/>
    </row>
    <row r="80" spans="2:9" ht="18" customHeight="1" x14ac:dyDescent="0.25">
      <c r="B80" s="69" t="s">
        <v>113</v>
      </c>
      <c r="C80" s="11" t="s">
        <v>221</v>
      </c>
      <c r="D80" s="8" t="s">
        <v>64</v>
      </c>
      <c r="E80" s="1" t="s">
        <v>75</v>
      </c>
      <c r="F80" s="20">
        <v>2013</v>
      </c>
      <c r="G80" s="85">
        <v>1</v>
      </c>
      <c r="H80" s="49">
        <v>2.4</v>
      </c>
      <c r="I80" s="57">
        <v>10</v>
      </c>
    </row>
    <row r="81" spans="2:9" ht="18" customHeight="1" x14ac:dyDescent="0.25">
      <c r="B81" s="72" t="s">
        <v>140</v>
      </c>
      <c r="C81" s="11" t="s">
        <v>222</v>
      </c>
      <c r="D81" s="14" t="s">
        <v>56</v>
      </c>
      <c r="E81" s="1" t="s">
        <v>75</v>
      </c>
      <c r="F81" s="21">
        <v>41460</v>
      </c>
      <c r="G81" s="85">
        <v>1</v>
      </c>
      <c r="H81" s="49">
        <v>29.303999999999998</v>
      </c>
      <c r="I81" s="57">
        <v>109</v>
      </c>
    </row>
    <row r="82" spans="2:9" ht="18" customHeight="1" x14ac:dyDescent="0.25">
      <c r="B82" s="67" t="s">
        <v>135</v>
      </c>
      <c r="C82" s="11" t="s">
        <v>223</v>
      </c>
      <c r="D82" s="1" t="s">
        <v>57</v>
      </c>
      <c r="E82" s="1" t="s">
        <v>75</v>
      </c>
      <c r="F82" s="20">
        <v>2013</v>
      </c>
      <c r="G82" s="85">
        <v>1</v>
      </c>
      <c r="H82" s="49">
        <v>9.6</v>
      </c>
      <c r="I82" s="57">
        <v>56.16</v>
      </c>
    </row>
    <row r="83" spans="2:9" ht="18" customHeight="1" x14ac:dyDescent="0.25">
      <c r="B83" s="75" t="s">
        <v>114</v>
      </c>
      <c r="C83" s="22" t="s">
        <v>224</v>
      </c>
      <c r="D83" s="22" t="s">
        <v>54</v>
      </c>
      <c r="E83" s="1" t="s">
        <v>75</v>
      </c>
      <c r="F83" s="21">
        <v>41570</v>
      </c>
      <c r="G83" s="85">
        <v>1</v>
      </c>
      <c r="H83" s="49">
        <v>4.38</v>
      </c>
      <c r="I83" s="58">
        <v>18</v>
      </c>
    </row>
    <row r="84" spans="2:9" ht="18" customHeight="1" x14ac:dyDescent="0.25">
      <c r="B84" s="71" t="s">
        <v>81</v>
      </c>
      <c r="C84" s="11" t="s">
        <v>225</v>
      </c>
      <c r="D84" s="12" t="s">
        <v>23</v>
      </c>
      <c r="E84" s="1" t="s">
        <v>75</v>
      </c>
      <c r="F84" s="21">
        <v>41556</v>
      </c>
      <c r="G84" s="85">
        <v>1</v>
      </c>
      <c r="H84" s="49">
        <v>12.502000000000001</v>
      </c>
      <c r="I84" s="57">
        <v>45.5</v>
      </c>
    </row>
    <row r="85" spans="2:9" ht="18" customHeight="1" x14ac:dyDescent="0.25">
      <c r="B85" s="70" t="s">
        <v>80</v>
      </c>
      <c r="C85" s="11" t="s">
        <v>226</v>
      </c>
      <c r="D85" s="11" t="s">
        <v>11</v>
      </c>
      <c r="E85" s="1" t="s">
        <v>75</v>
      </c>
      <c r="F85" s="20">
        <v>2009</v>
      </c>
      <c r="G85" s="85">
        <v>1</v>
      </c>
      <c r="H85" s="49">
        <v>28.78</v>
      </c>
      <c r="I85" s="57">
        <v>94.88</v>
      </c>
    </row>
    <row r="86" spans="2:9" ht="18" customHeight="1" x14ac:dyDescent="0.25">
      <c r="B86" s="75" t="s">
        <v>106</v>
      </c>
      <c r="C86" s="22" t="s">
        <v>227</v>
      </c>
      <c r="D86" s="22" t="s">
        <v>41</v>
      </c>
      <c r="E86" s="1" t="s">
        <v>75</v>
      </c>
      <c r="F86" s="21">
        <v>41319</v>
      </c>
      <c r="G86" s="85">
        <v>1</v>
      </c>
      <c r="H86" s="23">
        <v>4.4000000000000004</v>
      </c>
      <c r="I86" s="59">
        <v>14.41</v>
      </c>
    </row>
    <row r="87" spans="2:9" ht="18" customHeight="1" x14ac:dyDescent="0.25">
      <c r="B87" s="71" t="s">
        <v>81</v>
      </c>
      <c r="C87" s="22" t="s">
        <v>228</v>
      </c>
      <c r="D87" s="12" t="s">
        <v>23</v>
      </c>
      <c r="E87" s="1" t="s">
        <v>75</v>
      </c>
      <c r="F87" s="21">
        <v>41556</v>
      </c>
      <c r="G87" s="85">
        <v>1</v>
      </c>
      <c r="H87" s="23">
        <v>13.49</v>
      </c>
      <c r="I87" s="59">
        <v>39.89</v>
      </c>
    </row>
    <row r="88" spans="2:9" ht="18" customHeight="1" x14ac:dyDescent="0.25">
      <c r="B88" s="75" t="s">
        <v>139</v>
      </c>
      <c r="C88" s="22" t="s">
        <v>229</v>
      </c>
      <c r="D88" s="22" t="s">
        <v>31</v>
      </c>
      <c r="E88" s="1" t="s">
        <v>75</v>
      </c>
      <c r="F88" s="21">
        <v>41035</v>
      </c>
      <c r="G88" s="85">
        <v>1</v>
      </c>
      <c r="H88" s="50">
        <v>13.37</v>
      </c>
      <c r="I88" s="60">
        <v>58</v>
      </c>
    </row>
    <row r="89" spans="2:9" ht="18" customHeight="1" x14ac:dyDescent="0.25">
      <c r="B89" s="70" t="s">
        <v>116</v>
      </c>
      <c r="C89" s="11" t="s">
        <v>497</v>
      </c>
      <c r="D89" s="11" t="s">
        <v>32</v>
      </c>
      <c r="E89" s="1" t="s">
        <v>72</v>
      </c>
      <c r="F89" s="20">
        <v>2008</v>
      </c>
      <c r="G89" s="85">
        <v>1</v>
      </c>
      <c r="H89" s="50">
        <v>101.94</v>
      </c>
      <c r="I89" s="60">
        <v>315</v>
      </c>
    </row>
    <row r="90" spans="2:9" ht="18" customHeight="1" x14ac:dyDescent="0.25">
      <c r="B90" s="70" t="s">
        <v>116</v>
      </c>
      <c r="C90" s="22" t="s">
        <v>492</v>
      </c>
      <c r="D90" s="11" t="s">
        <v>32</v>
      </c>
      <c r="E90" s="1" t="s">
        <v>72</v>
      </c>
      <c r="F90" s="21">
        <v>41061</v>
      </c>
      <c r="G90" s="85">
        <v>1</v>
      </c>
      <c r="H90" s="50">
        <v>229.68</v>
      </c>
      <c r="I90" s="60">
        <v>900</v>
      </c>
    </row>
    <row r="91" spans="2:9" ht="18" customHeight="1" x14ac:dyDescent="0.25">
      <c r="B91" s="69" t="s">
        <v>113</v>
      </c>
      <c r="C91" s="11" t="s">
        <v>230</v>
      </c>
      <c r="D91" s="8" t="s">
        <v>64</v>
      </c>
      <c r="E91" s="1" t="s">
        <v>75</v>
      </c>
      <c r="F91" s="20">
        <v>2008</v>
      </c>
      <c r="G91" s="85">
        <v>1</v>
      </c>
      <c r="H91" s="49">
        <v>81</v>
      </c>
      <c r="I91" s="60">
        <v>257</v>
      </c>
    </row>
    <row r="92" spans="2:9" ht="18" customHeight="1" x14ac:dyDescent="0.25">
      <c r="B92" s="69" t="s">
        <v>117</v>
      </c>
      <c r="C92" s="22" t="s">
        <v>493</v>
      </c>
      <c r="D92" s="8" t="s">
        <v>28</v>
      </c>
      <c r="E92" s="1" t="s">
        <v>75</v>
      </c>
      <c r="F92" s="20">
        <v>2006</v>
      </c>
      <c r="G92" s="85">
        <v>1</v>
      </c>
      <c r="H92" s="49">
        <v>27.27</v>
      </c>
      <c r="I92" s="60">
        <v>86.39</v>
      </c>
    </row>
    <row r="93" spans="2:9" ht="18" customHeight="1" x14ac:dyDescent="0.25">
      <c r="B93" s="72" t="s">
        <v>93</v>
      </c>
      <c r="C93" s="22" t="s">
        <v>410</v>
      </c>
      <c r="D93" s="14" t="s">
        <v>8</v>
      </c>
      <c r="E93" s="1" t="s">
        <v>75</v>
      </c>
      <c r="F93" s="20">
        <v>2006</v>
      </c>
      <c r="G93" s="85">
        <v>1</v>
      </c>
      <c r="H93" s="49">
        <v>14</v>
      </c>
      <c r="I93" s="57">
        <v>55.61</v>
      </c>
    </row>
    <row r="94" spans="2:9" ht="18" customHeight="1" x14ac:dyDescent="0.25">
      <c r="B94" s="69" t="s">
        <v>117</v>
      </c>
      <c r="C94" s="22" t="s">
        <v>498</v>
      </c>
      <c r="D94" s="8" t="s">
        <v>28</v>
      </c>
      <c r="E94" s="1" t="s">
        <v>75</v>
      </c>
      <c r="F94" s="20">
        <v>2012</v>
      </c>
      <c r="G94" s="85">
        <v>1</v>
      </c>
      <c r="H94" s="23">
        <v>16.32</v>
      </c>
      <c r="I94" s="59">
        <v>42.14</v>
      </c>
    </row>
    <row r="95" spans="2:9" ht="18" customHeight="1" x14ac:dyDescent="0.25">
      <c r="B95" s="72" t="s">
        <v>93</v>
      </c>
      <c r="C95" s="11" t="s">
        <v>231</v>
      </c>
      <c r="D95" s="14" t="s">
        <v>8</v>
      </c>
      <c r="E95" s="1" t="s">
        <v>75</v>
      </c>
      <c r="F95" s="20">
        <v>2010</v>
      </c>
      <c r="G95" s="85">
        <v>1</v>
      </c>
      <c r="H95" s="49">
        <v>2.06</v>
      </c>
      <c r="I95" s="57">
        <v>14.06</v>
      </c>
    </row>
    <row r="96" spans="2:9" ht="18" customHeight="1" x14ac:dyDescent="0.25">
      <c r="B96" s="70" t="s">
        <v>144</v>
      </c>
      <c r="C96" s="11" t="s">
        <v>411</v>
      </c>
      <c r="D96" s="11" t="s">
        <v>59</v>
      </c>
      <c r="E96" s="1" t="s">
        <v>72</v>
      </c>
      <c r="F96" s="21">
        <v>40645</v>
      </c>
      <c r="G96" s="85">
        <v>1</v>
      </c>
      <c r="H96" s="23">
        <v>275.52</v>
      </c>
      <c r="I96" s="60">
        <v>900</v>
      </c>
    </row>
    <row r="97" spans="2:9" ht="18" customHeight="1" x14ac:dyDescent="0.25">
      <c r="B97" s="71" t="s">
        <v>104</v>
      </c>
      <c r="C97" s="44" t="s">
        <v>499</v>
      </c>
      <c r="D97" s="12" t="s">
        <v>61</v>
      </c>
      <c r="E97" s="1" t="s">
        <v>75</v>
      </c>
      <c r="F97" s="20">
        <v>2007</v>
      </c>
      <c r="G97" s="85">
        <v>1</v>
      </c>
      <c r="H97" s="49">
        <v>4.0819999999999999</v>
      </c>
      <c r="I97" s="57">
        <v>24.306999999999999</v>
      </c>
    </row>
    <row r="98" spans="2:9" ht="18" customHeight="1" x14ac:dyDescent="0.25">
      <c r="B98" s="71" t="s">
        <v>104</v>
      </c>
      <c r="C98" s="44" t="s">
        <v>500</v>
      </c>
      <c r="D98" s="12" t="s">
        <v>61</v>
      </c>
      <c r="E98" s="1" t="s">
        <v>75</v>
      </c>
      <c r="F98" s="24">
        <v>2007</v>
      </c>
      <c r="G98" s="85">
        <v>1</v>
      </c>
      <c r="H98" s="50">
        <v>3.69</v>
      </c>
      <c r="I98" s="60">
        <v>23.103999999999999</v>
      </c>
    </row>
    <row r="99" spans="2:9" ht="18" customHeight="1" x14ac:dyDescent="0.25">
      <c r="B99" s="71" t="s">
        <v>104</v>
      </c>
      <c r="C99" s="44" t="s">
        <v>501</v>
      </c>
      <c r="D99" s="12" t="s">
        <v>61</v>
      </c>
      <c r="E99" s="1" t="s">
        <v>75</v>
      </c>
      <c r="F99" s="24">
        <v>2009</v>
      </c>
      <c r="G99" s="85">
        <v>1</v>
      </c>
      <c r="H99" s="50">
        <v>1.05</v>
      </c>
      <c r="I99" s="57">
        <v>4</v>
      </c>
    </row>
    <row r="100" spans="2:9" ht="18" customHeight="1" x14ac:dyDescent="0.25">
      <c r="B100" s="71" t="s">
        <v>104</v>
      </c>
      <c r="C100" s="44" t="s">
        <v>502</v>
      </c>
      <c r="D100" s="12" t="s">
        <v>61</v>
      </c>
      <c r="E100" s="1" t="s">
        <v>75</v>
      </c>
      <c r="F100" s="24">
        <v>2007</v>
      </c>
      <c r="G100" s="85">
        <v>1</v>
      </c>
      <c r="H100" s="50">
        <f>2*2.008</f>
        <v>4.016</v>
      </c>
      <c r="I100" s="60">
        <v>25.16</v>
      </c>
    </row>
    <row r="101" spans="2:9" ht="18" customHeight="1" x14ac:dyDescent="0.25">
      <c r="B101" s="71" t="s">
        <v>104</v>
      </c>
      <c r="C101" s="44" t="s">
        <v>503</v>
      </c>
      <c r="D101" s="12" t="s">
        <v>61</v>
      </c>
      <c r="E101" s="1" t="s">
        <v>75</v>
      </c>
      <c r="F101" s="24">
        <v>2009</v>
      </c>
      <c r="G101" s="85">
        <v>1</v>
      </c>
      <c r="H101" s="50">
        <v>5.7140000000000004</v>
      </c>
      <c r="I101" s="60">
        <v>25</v>
      </c>
    </row>
    <row r="102" spans="2:9" ht="18" customHeight="1" x14ac:dyDescent="0.25">
      <c r="B102" s="72" t="s">
        <v>93</v>
      </c>
      <c r="C102" s="11" t="s">
        <v>232</v>
      </c>
      <c r="D102" s="14" t="s">
        <v>8</v>
      </c>
      <c r="E102" s="1" t="s">
        <v>75</v>
      </c>
      <c r="F102" s="21">
        <v>41026</v>
      </c>
      <c r="G102" s="85">
        <v>1</v>
      </c>
      <c r="H102" s="23">
        <v>3.76</v>
      </c>
      <c r="I102" s="60">
        <v>15.07</v>
      </c>
    </row>
    <row r="103" spans="2:9" ht="18" customHeight="1" x14ac:dyDescent="0.25">
      <c r="B103" s="68" t="s">
        <v>98</v>
      </c>
      <c r="C103" s="11" t="s">
        <v>233</v>
      </c>
      <c r="D103" s="5" t="s">
        <v>37</v>
      </c>
      <c r="E103" s="1" t="s">
        <v>75</v>
      </c>
      <c r="F103" s="20">
        <v>2007</v>
      </c>
      <c r="G103" s="85">
        <v>1</v>
      </c>
      <c r="H103" s="49">
        <v>40.5</v>
      </c>
      <c r="I103" s="60">
        <v>105</v>
      </c>
    </row>
    <row r="104" spans="2:9" ht="18" customHeight="1" x14ac:dyDescent="0.25">
      <c r="B104" s="75" t="s">
        <v>139</v>
      </c>
      <c r="C104" s="11" t="s">
        <v>412</v>
      </c>
      <c r="D104" s="22" t="s">
        <v>31</v>
      </c>
      <c r="E104" s="1" t="s">
        <v>75</v>
      </c>
      <c r="F104" s="21">
        <v>41089</v>
      </c>
      <c r="G104" s="85">
        <v>1</v>
      </c>
      <c r="H104" s="49">
        <v>14.91</v>
      </c>
      <c r="I104" s="60">
        <v>50</v>
      </c>
    </row>
    <row r="105" spans="2:9" ht="18" customHeight="1" x14ac:dyDescent="0.25">
      <c r="B105" s="69" t="s">
        <v>113</v>
      </c>
      <c r="C105" s="11" t="s">
        <v>504</v>
      </c>
      <c r="D105" s="8" t="s">
        <v>64</v>
      </c>
      <c r="E105" s="1" t="s">
        <v>75</v>
      </c>
      <c r="F105" s="21">
        <v>41408</v>
      </c>
      <c r="G105" s="85">
        <v>1</v>
      </c>
      <c r="H105" s="49">
        <v>8.9109999999999996</v>
      </c>
      <c r="I105" s="60">
        <v>25.8</v>
      </c>
    </row>
    <row r="106" spans="2:9" ht="18" customHeight="1" x14ac:dyDescent="0.25">
      <c r="B106" s="69" t="s">
        <v>115</v>
      </c>
      <c r="C106" s="11" t="s">
        <v>234</v>
      </c>
      <c r="D106" s="8" t="s">
        <v>10</v>
      </c>
      <c r="E106" s="1" t="s">
        <v>75</v>
      </c>
      <c r="F106" s="20">
        <v>2010</v>
      </c>
      <c r="G106" s="85">
        <v>1</v>
      </c>
      <c r="H106" s="49">
        <v>12.41</v>
      </c>
      <c r="I106" s="60">
        <v>40</v>
      </c>
    </row>
    <row r="107" spans="2:9" ht="18" customHeight="1" x14ac:dyDescent="0.25">
      <c r="B107" s="69" t="s">
        <v>113</v>
      </c>
      <c r="C107" s="11" t="s">
        <v>413</v>
      </c>
      <c r="D107" s="8" t="s">
        <v>64</v>
      </c>
      <c r="E107" s="1" t="s">
        <v>75</v>
      </c>
      <c r="F107" s="21">
        <v>41005</v>
      </c>
      <c r="G107" s="85">
        <v>1</v>
      </c>
      <c r="H107" s="23">
        <v>16.350000000000001</v>
      </c>
      <c r="I107" s="60">
        <v>58.18</v>
      </c>
    </row>
    <row r="108" spans="2:9" ht="18" customHeight="1" x14ac:dyDescent="0.25">
      <c r="B108" s="69" t="s">
        <v>115</v>
      </c>
      <c r="C108" s="22" t="s">
        <v>414</v>
      </c>
      <c r="D108" s="8" t="s">
        <v>10</v>
      </c>
      <c r="E108" s="1" t="s">
        <v>75</v>
      </c>
      <c r="F108" s="25">
        <v>41137</v>
      </c>
      <c r="G108" s="85">
        <v>1</v>
      </c>
      <c r="H108" s="23">
        <v>32.409999999999997</v>
      </c>
      <c r="I108" s="60">
        <v>76.36</v>
      </c>
    </row>
    <row r="109" spans="2:9" ht="18" customHeight="1" x14ac:dyDescent="0.25">
      <c r="B109" s="75" t="s">
        <v>139</v>
      </c>
      <c r="C109" s="22" t="s">
        <v>235</v>
      </c>
      <c r="D109" s="22" t="s">
        <v>31</v>
      </c>
      <c r="E109" s="1" t="s">
        <v>72</v>
      </c>
      <c r="F109" s="21">
        <v>41541</v>
      </c>
      <c r="G109" s="85">
        <v>1</v>
      </c>
      <c r="H109" s="49">
        <v>93</v>
      </c>
      <c r="I109" s="57">
        <v>340</v>
      </c>
    </row>
    <row r="110" spans="2:9" ht="18" customHeight="1" x14ac:dyDescent="0.25">
      <c r="B110" s="71" t="s">
        <v>82</v>
      </c>
      <c r="C110" s="44" t="s">
        <v>505</v>
      </c>
      <c r="D110" s="12" t="s">
        <v>50</v>
      </c>
      <c r="E110" s="1" t="s">
        <v>75</v>
      </c>
      <c r="F110" s="20">
        <v>2000</v>
      </c>
      <c r="G110" s="85">
        <v>1</v>
      </c>
      <c r="H110" s="49">
        <v>7.5</v>
      </c>
      <c r="I110" s="57">
        <v>30</v>
      </c>
    </row>
    <row r="111" spans="2:9" ht="18" customHeight="1" x14ac:dyDescent="0.25">
      <c r="B111" s="71" t="s">
        <v>82</v>
      </c>
      <c r="C111" s="44" t="s">
        <v>506</v>
      </c>
      <c r="D111" s="12" t="s">
        <v>50</v>
      </c>
      <c r="E111" s="1" t="s">
        <v>75</v>
      </c>
      <c r="F111" s="20">
        <v>2001</v>
      </c>
      <c r="G111" s="85">
        <v>1</v>
      </c>
      <c r="H111" s="49">
        <v>7.5</v>
      </c>
      <c r="I111" s="57">
        <v>30</v>
      </c>
    </row>
    <row r="112" spans="2:9" ht="18" customHeight="1" x14ac:dyDescent="0.25">
      <c r="B112" s="71" t="s">
        <v>82</v>
      </c>
      <c r="C112" s="44" t="s">
        <v>507</v>
      </c>
      <c r="D112" s="12" t="s">
        <v>50</v>
      </c>
      <c r="E112" s="1" t="s">
        <v>75</v>
      </c>
      <c r="F112" s="20">
        <v>2002</v>
      </c>
      <c r="G112" s="85">
        <v>1</v>
      </c>
      <c r="H112" s="49">
        <v>7.5</v>
      </c>
      <c r="I112" s="57">
        <v>30</v>
      </c>
    </row>
    <row r="113" spans="2:9" ht="18" customHeight="1" x14ac:dyDescent="0.25">
      <c r="B113" s="71" t="s">
        <v>82</v>
      </c>
      <c r="C113" s="44" t="s">
        <v>508</v>
      </c>
      <c r="D113" s="12" t="s">
        <v>50</v>
      </c>
      <c r="E113" s="1" t="s">
        <v>75</v>
      </c>
      <c r="F113" s="20">
        <v>2002</v>
      </c>
      <c r="G113" s="85">
        <v>1</v>
      </c>
      <c r="H113" s="49">
        <v>7.5</v>
      </c>
      <c r="I113" s="57">
        <v>30</v>
      </c>
    </row>
    <row r="114" spans="2:9" ht="18" customHeight="1" x14ac:dyDescent="0.25">
      <c r="B114" s="71" t="s">
        <v>82</v>
      </c>
      <c r="C114" s="44" t="s">
        <v>509</v>
      </c>
      <c r="D114" s="12" t="s">
        <v>50</v>
      </c>
      <c r="E114" s="1" t="s">
        <v>75</v>
      </c>
      <c r="F114" s="20">
        <v>2003</v>
      </c>
      <c r="G114" s="85">
        <v>1</v>
      </c>
      <c r="H114" s="49">
        <v>7.5</v>
      </c>
      <c r="I114" s="57">
        <v>30</v>
      </c>
    </row>
    <row r="115" spans="2:9" ht="18" customHeight="1" x14ac:dyDescent="0.25">
      <c r="B115" s="70" t="s">
        <v>102</v>
      </c>
      <c r="C115" s="44" t="s">
        <v>415</v>
      </c>
      <c r="D115" s="11" t="s">
        <v>52</v>
      </c>
      <c r="E115" s="1" t="s">
        <v>75</v>
      </c>
      <c r="F115" s="21">
        <v>41423</v>
      </c>
      <c r="G115" s="85">
        <v>1</v>
      </c>
      <c r="H115" s="49">
        <v>19.53</v>
      </c>
      <c r="I115" s="57">
        <v>80.260000000000005</v>
      </c>
    </row>
    <row r="116" spans="2:9" ht="18" customHeight="1" x14ac:dyDescent="0.25">
      <c r="B116" s="68" t="s">
        <v>98</v>
      </c>
      <c r="C116" s="22" t="s">
        <v>416</v>
      </c>
      <c r="D116" s="5" t="s">
        <v>37</v>
      </c>
      <c r="E116" s="1" t="s">
        <v>75</v>
      </c>
      <c r="F116" s="21">
        <v>41003</v>
      </c>
      <c r="G116" s="85">
        <v>1</v>
      </c>
      <c r="H116" s="23">
        <v>16.742999999999999</v>
      </c>
      <c r="I116" s="60">
        <v>46.395000000000003</v>
      </c>
    </row>
    <row r="117" spans="2:9" ht="18" customHeight="1" x14ac:dyDescent="0.25">
      <c r="B117" s="75" t="s">
        <v>108</v>
      </c>
      <c r="C117" s="22" t="s">
        <v>236</v>
      </c>
      <c r="D117" s="22" t="s">
        <v>60</v>
      </c>
      <c r="E117" s="1" t="s">
        <v>75</v>
      </c>
      <c r="F117" s="20">
        <v>2012</v>
      </c>
      <c r="G117" s="85">
        <v>1</v>
      </c>
      <c r="H117" s="23">
        <v>8.58</v>
      </c>
      <c r="I117" s="59">
        <v>30.03</v>
      </c>
    </row>
    <row r="118" spans="2:9" ht="18" customHeight="1" x14ac:dyDescent="0.25">
      <c r="B118" s="72" t="s">
        <v>140</v>
      </c>
      <c r="C118" s="22" t="s">
        <v>511</v>
      </c>
      <c r="D118" s="14" t="s">
        <v>56</v>
      </c>
      <c r="E118" s="1" t="s">
        <v>75</v>
      </c>
      <c r="F118" s="21">
        <v>41258</v>
      </c>
      <c r="G118" s="85">
        <v>1</v>
      </c>
      <c r="H118" s="23">
        <v>4.42</v>
      </c>
      <c r="I118" s="59">
        <v>13.65</v>
      </c>
    </row>
    <row r="119" spans="2:9" s="39" customFormat="1" ht="18" customHeight="1" x14ac:dyDescent="0.25">
      <c r="B119" s="71" t="s">
        <v>96</v>
      </c>
      <c r="C119" s="11" t="s">
        <v>510</v>
      </c>
      <c r="D119" s="12" t="s">
        <v>49</v>
      </c>
      <c r="E119" s="1" t="s">
        <v>75</v>
      </c>
      <c r="F119" s="20">
        <v>2010</v>
      </c>
      <c r="G119" s="85">
        <v>1</v>
      </c>
      <c r="H119" s="23">
        <v>24.407</v>
      </c>
      <c r="I119" s="60">
        <v>90.5</v>
      </c>
    </row>
    <row r="120" spans="2:9" ht="18" customHeight="1" x14ac:dyDescent="0.25">
      <c r="B120" s="71" t="s">
        <v>82</v>
      </c>
      <c r="C120" s="11" t="s">
        <v>512</v>
      </c>
      <c r="D120" s="12" t="s">
        <v>50</v>
      </c>
      <c r="E120" s="1" t="s">
        <v>75</v>
      </c>
      <c r="F120" s="20">
        <v>1998</v>
      </c>
      <c r="G120" s="85">
        <v>1</v>
      </c>
      <c r="H120" s="49">
        <v>0.3</v>
      </c>
      <c r="I120" s="57">
        <v>1.7</v>
      </c>
    </row>
    <row r="121" spans="2:9" ht="18" customHeight="1" x14ac:dyDescent="0.25">
      <c r="B121" s="67" t="s">
        <v>127</v>
      </c>
      <c r="C121" s="11" t="s">
        <v>417</v>
      </c>
      <c r="D121" s="1" t="s">
        <v>33</v>
      </c>
      <c r="E121" s="1" t="s">
        <v>75</v>
      </c>
      <c r="F121" s="20">
        <v>2009</v>
      </c>
      <c r="G121" s="85">
        <v>1</v>
      </c>
      <c r="H121" s="49">
        <v>29.571999999999999</v>
      </c>
      <c r="I121" s="57">
        <v>95</v>
      </c>
    </row>
    <row r="122" spans="2:9" ht="18" customHeight="1" x14ac:dyDescent="0.25">
      <c r="B122" s="67" t="s">
        <v>118</v>
      </c>
      <c r="C122" s="22" t="s">
        <v>515</v>
      </c>
      <c r="D122" s="1" t="s">
        <v>27</v>
      </c>
      <c r="E122" s="1" t="s">
        <v>75</v>
      </c>
      <c r="F122" s="26">
        <v>2012</v>
      </c>
      <c r="G122" s="85">
        <v>1</v>
      </c>
      <c r="H122" s="23">
        <v>48.6</v>
      </c>
      <c r="I122" s="59">
        <v>181.25</v>
      </c>
    </row>
    <row r="123" spans="2:9" ht="18" customHeight="1" x14ac:dyDescent="0.25">
      <c r="B123" s="69" t="s">
        <v>113</v>
      </c>
      <c r="C123" s="11" t="s">
        <v>418</v>
      </c>
      <c r="D123" s="8" t="s">
        <v>64</v>
      </c>
      <c r="E123" s="1" t="s">
        <v>75</v>
      </c>
      <c r="F123" s="25">
        <v>40760</v>
      </c>
      <c r="G123" s="85">
        <v>1</v>
      </c>
      <c r="H123" s="23">
        <v>9.19</v>
      </c>
      <c r="I123" s="59">
        <v>35</v>
      </c>
    </row>
    <row r="124" spans="2:9" ht="18" customHeight="1" x14ac:dyDescent="0.25">
      <c r="B124" s="70" t="s">
        <v>92</v>
      </c>
      <c r="C124" s="11" t="s">
        <v>419</v>
      </c>
      <c r="D124" s="11" t="s">
        <v>39</v>
      </c>
      <c r="E124" s="1" t="s">
        <v>72</v>
      </c>
      <c r="F124" s="25">
        <v>41125</v>
      </c>
      <c r="G124" s="85">
        <v>1</v>
      </c>
      <c r="H124" s="23">
        <v>38</v>
      </c>
      <c r="I124" s="59">
        <v>120.5</v>
      </c>
    </row>
    <row r="125" spans="2:9" ht="18" customHeight="1" x14ac:dyDescent="0.25">
      <c r="B125" s="69" t="s">
        <v>113</v>
      </c>
      <c r="C125" s="11" t="s">
        <v>516</v>
      </c>
      <c r="D125" s="8" t="s">
        <v>64</v>
      </c>
      <c r="E125" s="1" t="s">
        <v>75</v>
      </c>
      <c r="F125" s="25">
        <v>41045</v>
      </c>
      <c r="G125" s="85">
        <v>1</v>
      </c>
      <c r="H125" s="23">
        <v>17.52</v>
      </c>
      <c r="I125" s="59">
        <v>56</v>
      </c>
    </row>
    <row r="126" spans="2:9" ht="18" customHeight="1" x14ac:dyDescent="0.25">
      <c r="B126" s="67" t="s">
        <v>138</v>
      </c>
      <c r="C126" s="11" t="s">
        <v>237</v>
      </c>
      <c r="D126" s="1" t="s">
        <v>13</v>
      </c>
      <c r="E126" s="1" t="s">
        <v>75</v>
      </c>
      <c r="F126" s="20">
        <v>2010</v>
      </c>
      <c r="G126" s="85">
        <v>1</v>
      </c>
      <c r="H126" s="49">
        <v>6.85</v>
      </c>
      <c r="I126" s="57">
        <v>21.5</v>
      </c>
    </row>
    <row r="127" spans="2:9" ht="18" customHeight="1" x14ac:dyDescent="0.25">
      <c r="B127" s="70" t="s">
        <v>80</v>
      </c>
      <c r="C127" s="11" t="s">
        <v>238</v>
      </c>
      <c r="D127" s="11" t="s">
        <v>11</v>
      </c>
      <c r="E127" s="1" t="s">
        <v>75</v>
      </c>
      <c r="F127" s="20">
        <v>2006</v>
      </c>
      <c r="G127" s="85">
        <v>1</v>
      </c>
      <c r="H127" s="49">
        <v>0.55000000000000004</v>
      </c>
      <c r="I127" s="57">
        <v>4.2699999999999996</v>
      </c>
    </row>
    <row r="128" spans="2:9" ht="18" customHeight="1" x14ac:dyDescent="0.25">
      <c r="B128" s="67" t="s">
        <v>119</v>
      </c>
      <c r="C128" s="11" t="s">
        <v>239</v>
      </c>
      <c r="D128" s="1" t="s">
        <v>15</v>
      </c>
      <c r="E128" s="1" t="s">
        <v>75</v>
      </c>
      <c r="F128" s="20">
        <v>2010</v>
      </c>
      <c r="G128" s="85">
        <v>1</v>
      </c>
      <c r="H128" s="49">
        <v>14.63</v>
      </c>
      <c r="I128" s="57">
        <v>60</v>
      </c>
    </row>
    <row r="129" spans="2:9" ht="18" customHeight="1" x14ac:dyDescent="0.25">
      <c r="B129" s="70" t="s">
        <v>102</v>
      </c>
      <c r="C129" s="11" t="s">
        <v>420</v>
      </c>
      <c r="D129" s="11" t="s">
        <v>52</v>
      </c>
      <c r="E129" s="1" t="s">
        <v>72</v>
      </c>
      <c r="F129" s="21">
        <v>40563</v>
      </c>
      <c r="G129" s="85">
        <v>1</v>
      </c>
      <c r="H129" s="49">
        <v>47</v>
      </c>
      <c r="I129" s="60">
        <v>166</v>
      </c>
    </row>
    <row r="130" spans="2:9" ht="18" customHeight="1" x14ac:dyDescent="0.25">
      <c r="B130" s="70" t="s">
        <v>128</v>
      </c>
      <c r="C130" s="11" t="s">
        <v>240</v>
      </c>
      <c r="D130" s="11" t="s">
        <v>30</v>
      </c>
      <c r="E130" s="1" t="s">
        <v>75</v>
      </c>
      <c r="F130" s="21">
        <v>41088</v>
      </c>
      <c r="G130" s="85">
        <v>1</v>
      </c>
      <c r="H130" s="49">
        <v>0.66</v>
      </c>
      <c r="I130" s="57">
        <v>3.2</v>
      </c>
    </row>
    <row r="131" spans="2:9" ht="18" customHeight="1" x14ac:dyDescent="0.25">
      <c r="B131" s="67" t="s">
        <v>112</v>
      </c>
      <c r="C131" s="22" t="s">
        <v>241</v>
      </c>
      <c r="D131" s="1" t="s">
        <v>6</v>
      </c>
      <c r="E131" s="1" t="s">
        <v>75</v>
      </c>
      <c r="F131" s="20">
        <v>2012</v>
      </c>
      <c r="G131" s="85">
        <v>1</v>
      </c>
      <c r="H131" s="23">
        <v>3.6</v>
      </c>
      <c r="I131" s="59">
        <v>19.286999999999999</v>
      </c>
    </row>
    <row r="132" spans="2:9" ht="18" customHeight="1" x14ac:dyDescent="0.25">
      <c r="B132" s="71" t="s">
        <v>81</v>
      </c>
      <c r="C132" s="11" t="s">
        <v>242</v>
      </c>
      <c r="D132" s="12" t="s">
        <v>23</v>
      </c>
      <c r="E132" s="1" t="s">
        <v>75</v>
      </c>
      <c r="F132" s="20">
        <v>1997</v>
      </c>
      <c r="G132" s="85">
        <v>1</v>
      </c>
      <c r="H132" s="203">
        <v>3.15</v>
      </c>
      <c r="I132" s="204">
        <v>16</v>
      </c>
    </row>
    <row r="133" spans="2:9" ht="18" customHeight="1" x14ac:dyDescent="0.25">
      <c r="B133" s="71" t="s">
        <v>81</v>
      </c>
      <c r="C133" s="11" t="s">
        <v>517</v>
      </c>
      <c r="D133" s="12" t="s">
        <v>23</v>
      </c>
      <c r="E133" s="1" t="s">
        <v>75</v>
      </c>
      <c r="F133" s="20">
        <v>1997</v>
      </c>
      <c r="G133" s="85">
        <v>1</v>
      </c>
      <c r="H133" s="203"/>
      <c r="I133" s="204"/>
    </row>
    <row r="134" spans="2:9" ht="18" customHeight="1" x14ac:dyDescent="0.25">
      <c r="B134" s="75" t="s">
        <v>106</v>
      </c>
      <c r="C134" s="11" t="s">
        <v>243</v>
      </c>
      <c r="D134" s="22" t="s">
        <v>41</v>
      </c>
      <c r="E134" s="1" t="s">
        <v>75</v>
      </c>
      <c r="F134" s="21">
        <v>41535</v>
      </c>
      <c r="G134" s="85">
        <v>1</v>
      </c>
      <c r="H134" s="50">
        <v>9.3800000000000008</v>
      </c>
      <c r="I134" s="60">
        <v>23.58</v>
      </c>
    </row>
    <row r="135" spans="2:9" s="39" customFormat="1" ht="18" customHeight="1" x14ac:dyDescent="0.25">
      <c r="B135" s="71" t="s">
        <v>96</v>
      </c>
      <c r="C135" s="11" t="s">
        <v>244</v>
      </c>
      <c r="D135" s="12" t="s">
        <v>49</v>
      </c>
      <c r="E135" s="1" t="s">
        <v>75</v>
      </c>
      <c r="F135" s="20">
        <v>2004</v>
      </c>
      <c r="G135" s="85">
        <v>1</v>
      </c>
      <c r="H135" s="49">
        <v>48.5</v>
      </c>
      <c r="I135" s="57">
        <v>74.8</v>
      </c>
    </row>
    <row r="136" spans="2:9" ht="18" customHeight="1" x14ac:dyDescent="0.25">
      <c r="B136" s="75" t="s">
        <v>108</v>
      </c>
      <c r="C136" s="45" t="s">
        <v>421</v>
      </c>
      <c r="D136" s="22" t="s">
        <v>60</v>
      </c>
      <c r="E136" s="1" t="s">
        <v>72</v>
      </c>
      <c r="F136" s="20">
        <v>2012</v>
      </c>
      <c r="G136" s="85">
        <v>1</v>
      </c>
      <c r="H136" s="49">
        <v>513</v>
      </c>
      <c r="I136" s="57">
        <v>1470</v>
      </c>
    </row>
    <row r="137" spans="2:9" ht="18" customHeight="1" x14ac:dyDescent="0.25">
      <c r="B137" s="75" t="s">
        <v>114</v>
      </c>
      <c r="C137" s="45" t="s">
        <v>422</v>
      </c>
      <c r="D137" s="22" t="s">
        <v>54</v>
      </c>
      <c r="E137" s="1" t="s">
        <v>75</v>
      </c>
      <c r="F137" s="20">
        <v>2013</v>
      </c>
      <c r="G137" s="85">
        <v>1</v>
      </c>
      <c r="H137" s="49">
        <v>18.149999999999999</v>
      </c>
      <c r="I137" s="57">
        <v>63.524999999999991</v>
      </c>
    </row>
    <row r="138" spans="2:9" ht="18" customHeight="1" x14ac:dyDescent="0.25">
      <c r="B138" s="72" t="s">
        <v>93</v>
      </c>
      <c r="C138" s="45" t="s">
        <v>245</v>
      </c>
      <c r="D138" s="14" t="s">
        <v>8</v>
      </c>
      <c r="E138" s="1" t="s">
        <v>75</v>
      </c>
      <c r="F138" s="21">
        <v>41264</v>
      </c>
      <c r="G138" s="85">
        <v>1</v>
      </c>
      <c r="H138" s="49">
        <v>9.6</v>
      </c>
      <c r="I138" s="57">
        <v>44</v>
      </c>
    </row>
    <row r="139" spans="2:9" ht="18" customHeight="1" x14ac:dyDescent="0.25">
      <c r="B139" s="67" t="s">
        <v>129</v>
      </c>
      <c r="C139" s="11" t="s">
        <v>423</v>
      </c>
      <c r="D139" s="1" t="s">
        <v>5</v>
      </c>
      <c r="E139" s="1" t="s">
        <v>75</v>
      </c>
      <c r="F139" s="20">
        <v>2010</v>
      </c>
      <c r="G139" s="85">
        <v>1</v>
      </c>
      <c r="H139" s="49">
        <v>7.11</v>
      </c>
      <c r="I139" s="60">
        <v>33</v>
      </c>
    </row>
    <row r="140" spans="2:9" ht="18" customHeight="1" x14ac:dyDescent="0.25">
      <c r="B140" s="75" t="s">
        <v>139</v>
      </c>
      <c r="C140" s="11" t="s">
        <v>246</v>
      </c>
      <c r="D140" s="22" t="s">
        <v>31</v>
      </c>
      <c r="E140" s="1" t="s">
        <v>75</v>
      </c>
      <c r="F140" s="21">
        <v>41316</v>
      </c>
      <c r="G140" s="85">
        <v>1</v>
      </c>
      <c r="H140" s="49">
        <v>66.290000000000006</v>
      </c>
      <c r="I140" s="60">
        <v>224</v>
      </c>
    </row>
    <row r="141" spans="2:9" ht="18" customHeight="1" x14ac:dyDescent="0.25">
      <c r="B141" s="67" t="s">
        <v>129</v>
      </c>
      <c r="C141" s="11" t="s">
        <v>424</v>
      </c>
      <c r="D141" s="1" t="s">
        <v>5</v>
      </c>
      <c r="E141" s="1" t="s">
        <v>75</v>
      </c>
      <c r="F141" s="20">
        <v>2004</v>
      </c>
      <c r="G141" s="85">
        <v>1</v>
      </c>
      <c r="H141" s="49">
        <v>27.9</v>
      </c>
      <c r="I141" s="60">
        <v>112</v>
      </c>
    </row>
    <row r="142" spans="2:9" ht="18" customHeight="1" x14ac:dyDescent="0.25">
      <c r="B142" s="67" t="s">
        <v>88</v>
      </c>
      <c r="C142" s="11" t="s">
        <v>518</v>
      </c>
      <c r="D142" s="1" t="s">
        <v>16</v>
      </c>
      <c r="E142" s="1" t="s">
        <v>75</v>
      </c>
      <c r="F142" s="21">
        <v>41424</v>
      </c>
      <c r="G142" s="85">
        <v>1</v>
      </c>
      <c r="H142" s="49">
        <v>12.597</v>
      </c>
      <c r="I142" s="60">
        <v>58.11</v>
      </c>
    </row>
    <row r="143" spans="2:9" ht="18" customHeight="1" x14ac:dyDescent="0.25">
      <c r="B143" s="70" t="s">
        <v>116</v>
      </c>
      <c r="C143" s="11" t="s">
        <v>247</v>
      </c>
      <c r="D143" s="11" t="s">
        <v>32</v>
      </c>
      <c r="E143" s="1" t="s">
        <v>75</v>
      </c>
      <c r="F143" s="21">
        <v>41060</v>
      </c>
      <c r="G143" s="85">
        <v>1</v>
      </c>
      <c r="H143" s="49">
        <v>68.861999999999995</v>
      </c>
      <c r="I143" s="58">
        <v>192</v>
      </c>
    </row>
    <row r="144" spans="2:9" ht="18" customHeight="1" x14ac:dyDescent="0.25">
      <c r="B144" s="67" t="s">
        <v>120</v>
      </c>
      <c r="C144" s="22" t="s">
        <v>248</v>
      </c>
      <c r="D144" s="1" t="s">
        <v>40</v>
      </c>
      <c r="E144" s="1" t="s">
        <v>75</v>
      </c>
      <c r="F144" s="21">
        <v>41110</v>
      </c>
      <c r="G144" s="85">
        <v>1</v>
      </c>
      <c r="H144" s="50">
        <v>1.853</v>
      </c>
      <c r="I144" s="60">
        <v>11</v>
      </c>
    </row>
    <row r="145" spans="2:9" ht="18" customHeight="1" x14ac:dyDescent="0.25">
      <c r="B145" s="69" t="s">
        <v>115</v>
      </c>
      <c r="C145" s="11" t="s">
        <v>249</v>
      </c>
      <c r="D145" s="8" t="s">
        <v>10</v>
      </c>
      <c r="E145" s="1" t="s">
        <v>75</v>
      </c>
      <c r="F145" s="20">
        <v>2008</v>
      </c>
      <c r="G145" s="85">
        <v>1</v>
      </c>
      <c r="H145" s="49">
        <v>11</v>
      </c>
      <c r="I145" s="57">
        <v>47</v>
      </c>
    </row>
    <row r="146" spans="2:9" ht="18" customHeight="1" x14ac:dyDescent="0.25">
      <c r="B146" s="69" t="s">
        <v>113</v>
      </c>
      <c r="C146" s="11" t="s">
        <v>519</v>
      </c>
      <c r="D146" s="8" t="s">
        <v>64</v>
      </c>
      <c r="E146" s="1" t="s">
        <v>75</v>
      </c>
      <c r="F146" s="20">
        <v>2011</v>
      </c>
      <c r="G146" s="85">
        <v>1</v>
      </c>
      <c r="H146" s="49">
        <v>16.375</v>
      </c>
      <c r="I146" s="60">
        <v>51.18</v>
      </c>
    </row>
    <row r="147" spans="2:9" ht="18" customHeight="1" x14ac:dyDescent="0.25">
      <c r="B147" s="70" t="s">
        <v>89</v>
      </c>
      <c r="C147" s="22" t="s">
        <v>250</v>
      </c>
      <c r="D147" s="11" t="s">
        <v>19</v>
      </c>
      <c r="E147" s="1" t="s">
        <v>75</v>
      </c>
      <c r="F147" s="21">
        <v>41302</v>
      </c>
      <c r="G147" s="85">
        <v>1</v>
      </c>
      <c r="H147" s="49">
        <v>3.4079999999999999</v>
      </c>
      <c r="I147" s="60">
        <v>10.351000000000001</v>
      </c>
    </row>
    <row r="148" spans="2:9" ht="18" customHeight="1" x14ac:dyDescent="0.25">
      <c r="B148" s="72" t="s">
        <v>140</v>
      </c>
      <c r="C148" s="11" t="s">
        <v>425</v>
      </c>
      <c r="D148" s="14" t="s">
        <v>56</v>
      </c>
      <c r="E148" s="1" t="s">
        <v>75</v>
      </c>
      <c r="F148" s="20">
        <v>2010</v>
      </c>
      <c r="G148" s="85">
        <v>1</v>
      </c>
      <c r="H148" s="49">
        <v>91.54</v>
      </c>
      <c r="I148" s="60">
        <v>360</v>
      </c>
    </row>
    <row r="149" spans="2:9" s="39" customFormat="1" ht="18" customHeight="1" x14ac:dyDescent="0.25">
      <c r="B149" s="67" t="s">
        <v>99</v>
      </c>
      <c r="C149" s="11" t="s">
        <v>426</v>
      </c>
      <c r="D149" s="1" t="s">
        <v>55</v>
      </c>
      <c r="E149" s="1" t="s">
        <v>72</v>
      </c>
      <c r="F149" s="20">
        <v>2010</v>
      </c>
      <c r="G149" s="85">
        <v>1</v>
      </c>
      <c r="H149" s="49">
        <v>60</v>
      </c>
      <c r="I149" s="60">
        <v>250</v>
      </c>
    </row>
    <row r="150" spans="2:9" ht="18" customHeight="1" x14ac:dyDescent="0.25">
      <c r="B150" s="71" t="s">
        <v>81</v>
      </c>
      <c r="C150" s="11" t="s">
        <v>427</v>
      </c>
      <c r="D150" s="12" t="s">
        <v>23</v>
      </c>
      <c r="E150" s="1" t="s">
        <v>72</v>
      </c>
      <c r="F150" s="20">
        <v>2010</v>
      </c>
      <c r="G150" s="85">
        <v>1</v>
      </c>
      <c r="H150" s="49">
        <v>28.72</v>
      </c>
      <c r="I150" s="60">
        <v>88.1</v>
      </c>
    </row>
    <row r="151" spans="2:9" ht="18" customHeight="1" x14ac:dyDescent="0.25">
      <c r="B151" s="69" t="s">
        <v>113</v>
      </c>
      <c r="C151" s="11" t="s">
        <v>428</v>
      </c>
      <c r="D151" s="8" t="s">
        <v>64</v>
      </c>
      <c r="E151" s="1" t="s">
        <v>75</v>
      </c>
      <c r="F151" s="21">
        <v>41118</v>
      </c>
      <c r="G151" s="85">
        <v>1</v>
      </c>
      <c r="H151" s="49">
        <v>8.41</v>
      </c>
      <c r="I151" s="60">
        <v>29.260999999999999</v>
      </c>
    </row>
    <row r="152" spans="2:9" ht="18" customHeight="1" x14ac:dyDescent="0.25">
      <c r="B152" s="69" t="s">
        <v>113</v>
      </c>
      <c r="C152" s="11" t="s">
        <v>429</v>
      </c>
      <c r="D152" s="8" t="s">
        <v>64</v>
      </c>
      <c r="E152" s="1" t="s">
        <v>75</v>
      </c>
      <c r="F152" s="21">
        <v>41199</v>
      </c>
      <c r="G152" s="85">
        <v>1</v>
      </c>
      <c r="H152" s="49">
        <v>6</v>
      </c>
      <c r="I152" s="60">
        <v>24</v>
      </c>
    </row>
    <row r="153" spans="2:9" ht="18" customHeight="1" x14ac:dyDescent="0.25">
      <c r="B153" s="69" t="s">
        <v>115</v>
      </c>
      <c r="C153" s="11" t="s">
        <v>251</v>
      </c>
      <c r="D153" s="8" t="s">
        <v>10</v>
      </c>
      <c r="E153" s="1" t="s">
        <v>75</v>
      </c>
      <c r="F153" s="20">
        <v>2009</v>
      </c>
      <c r="G153" s="85">
        <v>1</v>
      </c>
      <c r="H153" s="49">
        <v>16.206</v>
      </c>
      <c r="I153" s="57">
        <v>59.927999999999997</v>
      </c>
    </row>
    <row r="154" spans="2:9" ht="18" customHeight="1" x14ac:dyDescent="0.25">
      <c r="B154" s="67" t="s">
        <v>118</v>
      </c>
      <c r="C154" s="11" t="s">
        <v>430</v>
      </c>
      <c r="D154" s="1" t="s">
        <v>27</v>
      </c>
      <c r="E154" s="1" t="s">
        <v>75</v>
      </c>
      <c r="F154" s="21">
        <v>40593</v>
      </c>
      <c r="G154" s="85">
        <v>1</v>
      </c>
      <c r="H154" s="49">
        <v>6.98</v>
      </c>
      <c r="I154" s="60">
        <v>22</v>
      </c>
    </row>
    <row r="155" spans="2:9" s="39" customFormat="1" ht="18" customHeight="1" x14ac:dyDescent="0.25">
      <c r="B155" s="70" t="s">
        <v>95</v>
      </c>
      <c r="C155" s="11" t="s">
        <v>252</v>
      </c>
      <c r="D155" s="11" t="s">
        <v>4</v>
      </c>
      <c r="E155" s="1" t="s">
        <v>75</v>
      </c>
      <c r="F155" s="20">
        <v>2011</v>
      </c>
      <c r="G155" s="85">
        <v>1</v>
      </c>
      <c r="H155" s="49">
        <v>20</v>
      </c>
      <c r="I155" s="60">
        <v>95</v>
      </c>
    </row>
    <row r="156" spans="2:9" ht="18" customHeight="1" x14ac:dyDescent="0.25">
      <c r="B156" s="71" t="s">
        <v>82</v>
      </c>
      <c r="C156" s="11" t="s">
        <v>253</v>
      </c>
      <c r="D156" s="12" t="s">
        <v>50</v>
      </c>
      <c r="E156" s="1" t="s">
        <v>75</v>
      </c>
      <c r="F156" s="20">
        <v>2008</v>
      </c>
      <c r="G156" s="85">
        <v>1</v>
      </c>
      <c r="H156" s="49">
        <v>8.74</v>
      </c>
      <c r="I156" s="57">
        <v>35</v>
      </c>
    </row>
    <row r="157" spans="2:9" ht="18" customHeight="1" x14ac:dyDescent="0.25">
      <c r="B157" s="67" t="s">
        <v>118</v>
      </c>
      <c r="C157" s="11" t="s">
        <v>431</v>
      </c>
      <c r="D157" s="1" t="s">
        <v>27</v>
      </c>
      <c r="E157" s="1" t="s">
        <v>75</v>
      </c>
      <c r="F157" s="20">
        <v>2008</v>
      </c>
      <c r="G157" s="85">
        <v>1</v>
      </c>
      <c r="H157" s="49">
        <v>12.63</v>
      </c>
      <c r="I157" s="57">
        <v>17.260000000000002</v>
      </c>
    </row>
    <row r="158" spans="2:9" ht="18" customHeight="1" x14ac:dyDescent="0.25">
      <c r="B158" s="69" t="s">
        <v>113</v>
      </c>
      <c r="C158" s="22" t="s">
        <v>432</v>
      </c>
      <c r="D158" s="8" t="s">
        <v>64</v>
      </c>
      <c r="E158" s="1" t="s">
        <v>75</v>
      </c>
      <c r="F158" s="25">
        <v>41613</v>
      </c>
      <c r="G158" s="85">
        <v>1</v>
      </c>
      <c r="H158" s="49">
        <v>44.1</v>
      </c>
      <c r="I158" s="57">
        <v>160</v>
      </c>
    </row>
    <row r="159" spans="2:9" ht="18" customHeight="1" x14ac:dyDescent="0.25">
      <c r="B159" s="71" t="s">
        <v>103</v>
      </c>
      <c r="C159" s="11" t="s">
        <v>433</v>
      </c>
      <c r="D159" s="12" t="s">
        <v>42</v>
      </c>
      <c r="E159" s="1" t="s">
        <v>72</v>
      </c>
      <c r="F159" s="21">
        <v>40634</v>
      </c>
      <c r="G159" s="85">
        <v>1</v>
      </c>
      <c r="H159" s="23">
        <v>27.617999999999999</v>
      </c>
      <c r="I159" s="59">
        <v>94.47</v>
      </c>
    </row>
    <row r="160" spans="2:9" ht="18" customHeight="1" x14ac:dyDescent="0.25">
      <c r="B160" s="69" t="s">
        <v>113</v>
      </c>
      <c r="C160" s="11" t="s">
        <v>254</v>
      </c>
      <c r="D160" s="8" t="s">
        <v>64</v>
      </c>
      <c r="E160" s="1" t="s">
        <v>75</v>
      </c>
      <c r="F160" s="21">
        <v>40766</v>
      </c>
      <c r="G160" s="85">
        <v>1</v>
      </c>
      <c r="H160" s="49">
        <v>8.4719999999999995</v>
      </c>
      <c r="I160" s="60">
        <v>35.1</v>
      </c>
    </row>
    <row r="161" spans="2:9" ht="18" customHeight="1" x14ac:dyDescent="0.25">
      <c r="B161" s="69" t="s">
        <v>113</v>
      </c>
      <c r="C161" s="11" t="s">
        <v>255</v>
      </c>
      <c r="D161" s="8" t="s">
        <v>64</v>
      </c>
      <c r="E161" s="1" t="s">
        <v>75</v>
      </c>
      <c r="F161" s="25">
        <v>40815</v>
      </c>
      <c r="G161" s="85">
        <v>1</v>
      </c>
      <c r="H161" s="23">
        <v>9.16</v>
      </c>
      <c r="I161" s="59">
        <v>33</v>
      </c>
    </row>
    <row r="162" spans="2:9" ht="18" customHeight="1" x14ac:dyDescent="0.25">
      <c r="B162" s="67" t="s">
        <v>109</v>
      </c>
      <c r="C162" s="11" t="s">
        <v>434</v>
      </c>
      <c r="D162" s="1" t="s">
        <v>58</v>
      </c>
      <c r="E162" s="1" t="s">
        <v>75</v>
      </c>
      <c r="F162" s="25">
        <v>41151</v>
      </c>
      <c r="G162" s="85">
        <v>1</v>
      </c>
      <c r="H162" s="27">
        <v>11.31</v>
      </c>
      <c r="I162" s="61">
        <v>62.768000000000001</v>
      </c>
    </row>
    <row r="163" spans="2:9" ht="18" customHeight="1" x14ac:dyDescent="0.25">
      <c r="B163" s="68" t="s">
        <v>98</v>
      </c>
      <c r="C163" s="11" t="s">
        <v>256</v>
      </c>
      <c r="D163" s="5" t="s">
        <v>37</v>
      </c>
      <c r="E163" s="1" t="s">
        <v>75</v>
      </c>
      <c r="F163" s="20">
        <v>2011</v>
      </c>
      <c r="G163" s="85">
        <v>1</v>
      </c>
      <c r="H163" s="49">
        <v>9.5399999999999991</v>
      </c>
      <c r="I163" s="60">
        <v>32</v>
      </c>
    </row>
    <row r="164" spans="2:9" ht="18" customHeight="1" x14ac:dyDescent="0.25">
      <c r="B164" s="71" t="s">
        <v>79</v>
      </c>
      <c r="C164" s="11" t="s">
        <v>435</v>
      </c>
      <c r="D164" s="12" t="s">
        <v>12</v>
      </c>
      <c r="E164" s="1" t="s">
        <v>72</v>
      </c>
      <c r="F164" s="20">
        <v>2006</v>
      </c>
      <c r="G164" s="85">
        <v>1</v>
      </c>
      <c r="H164" s="49">
        <v>3.6</v>
      </c>
      <c r="I164" s="57">
        <v>20.66</v>
      </c>
    </row>
    <row r="165" spans="2:9" ht="18" customHeight="1" x14ac:dyDescent="0.25">
      <c r="B165" s="70" t="s">
        <v>89</v>
      </c>
      <c r="C165" s="11" t="s">
        <v>257</v>
      </c>
      <c r="D165" s="11" t="s">
        <v>19</v>
      </c>
      <c r="E165" s="1" t="s">
        <v>75</v>
      </c>
      <c r="F165" s="21">
        <v>41198</v>
      </c>
      <c r="G165" s="85">
        <v>1</v>
      </c>
      <c r="H165" s="49">
        <v>2.15</v>
      </c>
      <c r="I165" s="57">
        <v>6.2590000000000003</v>
      </c>
    </row>
    <row r="166" spans="2:9" ht="18" customHeight="1" x14ac:dyDescent="0.25">
      <c r="B166" s="72" t="s">
        <v>93</v>
      </c>
      <c r="C166" s="22" t="s">
        <v>436</v>
      </c>
      <c r="D166" s="14" t="s">
        <v>8</v>
      </c>
      <c r="E166" s="1" t="s">
        <v>75</v>
      </c>
      <c r="F166" s="20">
        <v>2012</v>
      </c>
      <c r="G166" s="85">
        <v>1</v>
      </c>
      <c r="H166" s="49">
        <v>20.12</v>
      </c>
      <c r="I166" s="57">
        <v>32.29</v>
      </c>
    </row>
    <row r="167" spans="2:9" ht="18" customHeight="1" x14ac:dyDescent="0.25">
      <c r="B167" s="71" t="s">
        <v>104</v>
      </c>
      <c r="C167" s="22" t="s">
        <v>437</v>
      </c>
      <c r="D167" s="12" t="s">
        <v>61</v>
      </c>
      <c r="E167" s="1" t="s">
        <v>72</v>
      </c>
      <c r="F167" s="21">
        <v>41485</v>
      </c>
      <c r="G167" s="85">
        <v>1</v>
      </c>
      <c r="H167" s="49">
        <v>25</v>
      </c>
      <c r="I167" s="57">
        <v>80</v>
      </c>
    </row>
    <row r="168" spans="2:9" ht="18" customHeight="1" x14ac:dyDescent="0.25">
      <c r="B168" s="75" t="s">
        <v>90</v>
      </c>
      <c r="C168" s="11" t="s">
        <v>258</v>
      </c>
      <c r="D168" s="22" t="s">
        <v>7</v>
      </c>
      <c r="E168" s="1" t="s">
        <v>75</v>
      </c>
      <c r="F168" s="21">
        <v>40555</v>
      </c>
      <c r="G168" s="85">
        <v>1</v>
      </c>
      <c r="H168" s="23">
        <v>8.1999999999999993</v>
      </c>
      <c r="I168" s="59">
        <v>60</v>
      </c>
    </row>
    <row r="169" spans="2:9" ht="18" customHeight="1" x14ac:dyDescent="0.25">
      <c r="B169" s="71" t="s">
        <v>136</v>
      </c>
      <c r="C169" s="22" t="s">
        <v>259</v>
      </c>
      <c r="D169" s="12" t="s">
        <v>25</v>
      </c>
      <c r="E169" s="1" t="s">
        <v>75</v>
      </c>
      <c r="F169" s="21">
        <v>40991</v>
      </c>
      <c r="G169" s="85">
        <v>1</v>
      </c>
      <c r="H169" s="50">
        <v>9.26</v>
      </c>
      <c r="I169" s="60">
        <v>35</v>
      </c>
    </row>
    <row r="170" spans="2:9" ht="18" customHeight="1" x14ac:dyDescent="0.25">
      <c r="B170" s="75" t="s">
        <v>139</v>
      </c>
      <c r="C170" s="22" t="s">
        <v>438</v>
      </c>
      <c r="D170" s="22" t="s">
        <v>31</v>
      </c>
      <c r="E170" s="1" t="s">
        <v>75</v>
      </c>
      <c r="F170" s="20">
        <v>2012</v>
      </c>
      <c r="G170" s="85">
        <v>1</v>
      </c>
      <c r="H170" s="50">
        <v>48.5</v>
      </c>
      <c r="I170" s="62">
        <v>140</v>
      </c>
    </row>
    <row r="171" spans="2:9" ht="18" customHeight="1" x14ac:dyDescent="0.25">
      <c r="B171" s="69" t="s">
        <v>115</v>
      </c>
      <c r="C171" s="22" t="s">
        <v>260</v>
      </c>
      <c r="D171" s="8" t="s">
        <v>10</v>
      </c>
      <c r="E171" s="1" t="s">
        <v>75</v>
      </c>
      <c r="F171" s="20">
        <v>2013</v>
      </c>
      <c r="G171" s="85">
        <v>1</v>
      </c>
      <c r="H171" s="50">
        <v>7.77</v>
      </c>
      <c r="I171" s="62">
        <v>31.17</v>
      </c>
    </row>
    <row r="172" spans="2:9" ht="18" customHeight="1" x14ac:dyDescent="0.25">
      <c r="B172" s="75" t="s">
        <v>139</v>
      </c>
      <c r="C172" s="22" t="s">
        <v>439</v>
      </c>
      <c r="D172" s="22" t="s">
        <v>31</v>
      </c>
      <c r="E172" s="1" t="s">
        <v>75</v>
      </c>
      <c r="F172" s="21">
        <v>41499</v>
      </c>
      <c r="G172" s="85">
        <v>1</v>
      </c>
      <c r="H172" s="50">
        <v>17.7</v>
      </c>
      <c r="I172" s="62">
        <v>50</v>
      </c>
    </row>
    <row r="173" spans="2:9" ht="18" customHeight="1" x14ac:dyDescent="0.25">
      <c r="B173" s="71" t="s">
        <v>104</v>
      </c>
      <c r="C173" s="22" t="s">
        <v>261</v>
      </c>
      <c r="D173" s="12" t="s">
        <v>61</v>
      </c>
      <c r="E173" s="1" t="s">
        <v>75</v>
      </c>
      <c r="F173" s="21">
        <v>41313</v>
      </c>
      <c r="G173" s="85">
        <v>1</v>
      </c>
      <c r="H173" s="49">
        <v>19.03</v>
      </c>
      <c r="I173" s="58">
        <v>70</v>
      </c>
    </row>
    <row r="174" spans="2:9" s="39" customFormat="1" ht="18" customHeight="1" x14ac:dyDescent="0.25">
      <c r="B174" s="70" t="s">
        <v>95</v>
      </c>
      <c r="C174" s="22" t="s">
        <v>262</v>
      </c>
      <c r="D174" s="11" t="s">
        <v>4</v>
      </c>
      <c r="E174" s="1" t="s">
        <v>75</v>
      </c>
      <c r="F174" s="21">
        <v>41592</v>
      </c>
      <c r="G174" s="85">
        <v>1</v>
      </c>
      <c r="H174" s="49">
        <v>2.6</v>
      </c>
      <c r="I174" s="58">
        <v>12</v>
      </c>
    </row>
    <row r="175" spans="2:9" ht="18" customHeight="1" x14ac:dyDescent="0.25">
      <c r="B175" s="71" t="s">
        <v>94</v>
      </c>
      <c r="C175" s="11" t="s">
        <v>263</v>
      </c>
      <c r="D175" s="12" t="s">
        <v>36</v>
      </c>
      <c r="E175" s="1" t="s">
        <v>75</v>
      </c>
      <c r="F175" s="21">
        <v>40850</v>
      </c>
      <c r="G175" s="85">
        <v>1</v>
      </c>
      <c r="H175" s="23">
        <v>3.6</v>
      </c>
      <c r="I175" s="59">
        <v>16.510000000000002</v>
      </c>
    </row>
    <row r="176" spans="2:9" ht="18" customHeight="1" x14ac:dyDescent="0.25">
      <c r="B176" s="70" t="s">
        <v>92</v>
      </c>
      <c r="C176" s="11" t="s">
        <v>264</v>
      </c>
      <c r="D176" s="11" t="s">
        <v>39</v>
      </c>
      <c r="E176" s="1" t="s">
        <v>75</v>
      </c>
      <c r="F176" s="20">
        <v>2011</v>
      </c>
      <c r="G176" s="85">
        <v>1</v>
      </c>
      <c r="H176" s="49">
        <v>16.425000000000001</v>
      </c>
      <c r="I176" s="60">
        <v>92.2</v>
      </c>
    </row>
    <row r="177" spans="2:9" ht="18" customHeight="1" x14ac:dyDescent="0.25">
      <c r="B177" s="70" t="s">
        <v>92</v>
      </c>
      <c r="C177" s="22" t="s">
        <v>265</v>
      </c>
      <c r="D177" s="11" t="s">
        <v>39</v>
      </c>
      <c r="E177" s="1" t="s">
        <v>75</v>
      </c>
      <c r="F177" s="21">
        <v>41297</v>
      </c>
      <c r="G177" s="85">
        <v>1</v>
      </c>
      <c r="H177" s="23">
        <v>63.878</v>
      </c>
      <c r="I177" s="59">
        <v>185</v>
      </c>
    </row>
    <row r="178" spans="2:9" ht="18" customHeight="1" x14ac:dyDescent="0.25">
      <c r="B178" s="67" t="s">
        <v>88</v>
      </c>
      <c r="C178" s="11" t="s">
        <v>266</v>
      </c>
      <c r="D178" s="1" t="s">
        <v>16</v>
      </c>
      <c r="E178" s="22" t="s">
        <v>0</v>
      </c>
      <c r="F178" s="25">
        <v>40689</v>
      </c>
      <c r="G178" s="85">
        <v>1</v>
      </c>
      <c r="H178" s="23">
        <v>8.92</v>
      </c>
      <c r="I178" s="59">
        <v>63</v>
      </c>
    </row>
    <row r="179" spans="2:9" ht="18" customHeight="1" x14ac:dyDescent="0.25">
      <c r="B179" s="75" t="s">
        <v>114</v>
      </c>
      <c r="C179" s="19" t="s">
        <v>520</v>
      </c>
      <c r="D179" s="22" t="s">
        <v>54</v>
      </c>
      <c r="E179" s="1" t="s">
        <v>75</v>
      </c>
      <c r="F179" s="28">
        <v>2009</v>
      </c>
      <c r="G179" s="85">
        <v>1</v>
      </c>
      <c r="H179" s="27">
        <v>110.32</v>
      </c>
      <c r="I179" s="61">
        <v>370</v>
      </c>
    </row>
    <row r="180" spans="2:9" ht="18" customHeight="1" x14ac:dyDescent="0.25">
      <c r="B180" s="71" t="s">
        <v>81</v>
      </c>
      <c r="C180" s="19" t="s">
        <v>267</v>
      </c>
      <c r="D180" s="12" t="s">
        <v>23</v>
      </c>
      <c r="E180" s="1" t="s">
        <v>75</v>
      </c>
      <c r="F180" s="28">
        <v>2013</v>
      </c>
      <c r="G180" s="85">
        <v>1</v>
      </c>
      <c r="H180" s="27">
        <v>3.0649999999999999</v>
      </c>
      <c r="I180" s="61">
        <v>5.64</v>
      </c>
    </row>
    <row r="181" spans="2:9" ht="18" customHeight="1" x14ac:dyDescent="0.25">
      <c r="B181" s="71" t="s">
        <v>136</v>
      </c>
      <c r="C181" s="11" t="s">
        <v>268</v>
      </c>
      <c r="D181" s="12" t="s">
        <v>25</v>
      </c>
      <c r="E181" s="1" t="s">
        <v>75</v>
      </c>
      <c r="F181" s="20">
        <f>F179</f>
        <v>2009</v>
      </c>
      <c r="G181" s="85">
        <v>1</v>
      </c>
      <c r="H181" s="49">
        <v>7.23</v>
      </c>
      <c r="I181" s="60">
        <v>22</v>
      </c>
    </row>
    <row r="182" spans="2:9" ht="18" customHeight="1" x14ac:dyDescent="0.25">
      <c r="B182" s="70" t="s">
        <v>116</v>
      </c>
      <c r="C182" s="11" t="s">
        <v>269</v>
      </c>
      <c r="D182" s="11" t="s">
        <v>32</v>
      </c>
      <c r="E182" s="1" t="s">
        <v>75</v>
      </c>
      <c r="F182" s="21">
        <v>41435</v>
      </c>
      <c r="G182" s="85">
        <v>1</v>
      </c>
      <c r="H182" s="49">
        <v>13</v>
      </c>
      <c r="I182" s="60">
        <v>45</v>
      </c>
    </row>
    <row r="183" spans="2:9" ht="18" customHeight="1" x14ac:dyDescent="0.25">
      <c r="B183" s="68" t="s">
        <v>98</v>
      </c>
      <c r="C183" s="11" t="s">
        <v>270</v>
      </c>
      <c r="D183" s="5" t="s">
        <v>37</v>
      </c>
      <c r="E183" s="1" t="s">
        <v>75</v>
      </c>
      <c r="F183" s="20">
        <v>2008</v>
      </c>
      <c r="G183" s="85">
        <v>1</v>
      </c>
      <c r="H183" s="49">
        <v>38.72</v>
      </c>
      <c r="I183" s="57">
        <v>114.26</v>
      </c>
    </row>
    <row r="184" spans="2:9" ht="18" customHeight="1" x14ac:dyDescent="0.25">
      <c r="B184" s="71" t="s">
        <v>81</v>
      </c>
      <c r="C184" s="22" t="s">
        <v>271</v>
      </c>
      <c r="D184" s="12" t="s">
        <v>23</v>
      </c>
      <c r="E184" s="1" t="s">
        <v>75</v>
      </c>
      <c r="F184" s="25">
        <v>41124</v>
      </c>
      <c r="G184" s="85">
        <v>1</v>
      </c>
      <c r="H184" s="29">
        <v>9.4</v>
      </c>
      <c r="I184" s="60">
        <v>30.5</v>
      </c>
    </row>
    <row r="185" spans="2:9" ht="18" customHeight="1" x14ac:dyDescent="0.25">
      <c r="B185" s="67" t="s">
        <v>86</v>
      </c>
      <c r="C185" s="22" t="s">
        <v>440</v>
      </c>
      <c r="D185" s="1" t="s">
        <v>20</v>
      </c>
      <c r="E185" s="1" t="s">
        <v>72</v>
      </c>
      <c r="F185" s="25">
        <v>41506</v>
      </c>
      <c r="G185" s="85">
        <v>1</v>
      </c>
      <c r="H185" s="29">
        <v>23</v>
      </c>
      <c r="I185" s="60">
        <v>46</v>
      </c>
    </row>
    <row r="186" spans="2:9" ht="18" customHeight="1" x14ac:dyDescent="0.25">
      <c r="B186" s="72" t="s">
        <v>93</v>
      </c>
      <c r="C186" s="11" t="s">
        <v>441</v>
      </c>
      <c r="D186" s="14" t="s">
        <v>8</v>
      </c>
      <c r="E186" s="1" t="s">
        <v>72</v>
      </c>
      <c r="F186" s="20">
        <v>2010</v>
      </c>
      <c r="G186" s="85">
        <v>1</v>
      </c>
      <c r="H186" s="49">
        <v>38.25</v>
      </c>
      <c r="I186" s="60">
        <v>123</v>
      </c>
    </row>
    <row r="187" spans="2:9" ht="18" customHeight="1" x14ac:dyDescent="0.25">
      <c r="B187" s="67" t="s">
        <v>124</v>
      </c>
      <c r="C187" s="11" t="s">
        <v>521</v>
      </c>
      <c r="D187" s="1" t="s">
        <v>65</v>
      </c>
      <c r="E187" s="1" t="s">
        <v>75</v>
      </c>
      <c r="F187" s="20">
        <f>F186</f>
        <v>2010</v>
      </c>
      <c r="G187" s="85">
        <v>1</v>
      </c>
      <c r="H187" s="49">
        <v>4.4400000000000004</v>
      </c>
      <c r="I187" s="60">
        <v>16</v>
      </c>
    </row>
    <row r="188" spans="2:9" s="39" customFormat="1" ht="18" customHeight="1" x14ac:dyDescent="0.25">
      <c r="B188" s="71" t="s">
        <v>96</v>
      </c>
      <c r="C188" s="11" t="s">
        <v>522</v>
      </c>
      <c r="D188" s="12" t="s">
        <v>49</v>
      </c>
      <c r="E188" s="1" t="s">
        <v>75</v>
      </c>
      <c r="F188" s="21">
        <v>41306</v>
      </c>
      <c r="G188" s="85">
        <v>1</v>
      </c>
      <c r="H188" s="49">
        <v>1.97</v>
      </c>
      <c r="I188" s="60">
        <v>11</v>
      </c>
    </row>
    <row r="189" spans="2:9" ht="18" customHeight="1" x14ac:dyDescent="0.25">
      <c r="B189" s="69" t="s">
        <v>115</v>
      </c>
      <c r="C189" s="11" t="s">
        <v>272</v>
      </c>
      <c r="D189" s="8" t="s">
        <v>10</v>
      </c>
      <c r="E189" s="1" t="s">
        <v>75</v>
      </c>
      <c r="F189" s="20">
        <v>2013</v>
      </c>
      <c r="G189" s="85">
        <v>1</v>
      </c>
      <c r="H189" s="49">
        <v>19.04</v>
      </c>
      <c r="I189" s="60">
        <v>35.79</v>
      </c>
    </row>
    <row r="190" spans="2:9" ht="18" customHeight="1" x14ac:dyDescent="0.25">
      <c r="B190" s="71" t="s">
        <v>81</v>
      </c>
      <c r="C190" s="11" t="s">
        <v>273</v>
      </c>
      <c r="D190" s="12" t="s">
        <v>23</v>
      </c>
      <c r="E190" s="1" t="s">
        <v>75</v>
      </c>
      <c r="F190" s="20">
        <f>F187</f>
        <v>2010</v>
      </c>
      <c r="G190" s="85">
        <v>1</v>
      </c>
      <c r="H190" s="49">
        <v>3.66</v>
      </c>
      <c r="I190" s="60">
        <v>14.904</v>
      </c>
    </row>
    <row r="191" spans="2:9" ht="18" customHeight="1" x14ac:dyDescent="0.25">
      <c r="B191" s="67" t="s">
        <v>129</v>
      </c>
      <c r="C191" s="22" t="s">
        <v>274</v>
      </c>
      <c r="D191" s="1" t="s">
        <v>5</v>
      </c>
      <c r="E191" s="1" t="s">
        <v>75</v>
      </c>
      <c r="F191" s="25">
        <v>41019</v>
      </c>
      <c r="G191" s="85">
        <v>1</v>
      </c>
      <c r="H191" s="49">
        <v>20.55</v>
      </c>
      <c r="I191" s="57">
        <v>97.96</v>
      </c>
    </row>
    <row r="192" spans="2:9" ht="18" customHeight="1" x14ac:dyDescent="0.25">
      <c r="B192" s="75" t="s">
        <v>139</v>
      </c>
      <c r="C192" s="22" t="s">
        <v>275</v>
      </c>
      <c r="D192" s="22" t="s">
        <v>31</v>
      </c>
      <c r="E192" s="1" t="s">
        <v>75</v>
      </c>
      <c r="F192" s="26">
        <v>2013</v>
      </c>
      <c r="G192" s="85">
        <v>1</v>
      </c>
      <c r="H192" s="49">
        <v>28.277999999999999</v>
      </c>
      <c r="I192" s="57">
        <v>85</v>
      </c>
    </row>
    <row r="193" spans="2:9" ht="18" customHeight="1" x14ac:dyDescent="0.25">
      <c r="B193" s="69" t="s">
        <v>117</v>
      </c>
      <c r="C193" s="22" t="s">
        <v>442</v>
      </c>
      <c r="D193" s="8" t="s">
        <v>28</v>
      </c>
      <c r="E193" s="1" t="s">
        <v>75</v>
      </c>
      <c r="F193" s="25">
        <v>41167</v>
      </c>
      <c r="G193" s="85">
        <v>1</v>
      </c>
      <c r="H193" s="30">
        <v>4.1900000000000004</v>
      </c>
      <c r="I193" s="63">
        <v>11</v>
      </c>
    </row>
    <row r="194" spans="2:9" ht="18" customHeight="1" x14ac:dyDescent="0.25">
      <c r="B194" s="67" t="s">
        <v>112</v>
      </c>
      <c r="C194" s="22" t="s">
        <v>523</v>
      </c>
      <c r="D194" s="1" t="s">
        <v>6</v>
      </c>
      <c r="E194" s="1" t="s">
        <v>75</v>
      </c>
      <c r="F194" s="25">
        <v>41347</v>
      </c>
      <c r="G194" s="85">
        <v>1</v>
      </c>
      <c r="H194" s="30">
        <v>5.39</v>
      </c>
      <c r="I194" s="63">
        <v>20.07</v>
      </c>
    </row>
    <row r="195" spans="2:9" ht="18" customHeight="1" x14ac:dyDescent="0.25">
      <c r="B195" s="67" t="s">
        <v>112</v>
      </c>
      <c r="C195" s="11" t="s">
        <v>524</v>
      </c>
      <c r="D195" s="1" t="s">
        <v>6</v>
      </c>
      <c r="E195" s="1" t="s">
        <v>75</v>
      </c>
      <c r="F195" s="21">
        <v>40599</v>
      </c>
      <c r="G195" s="85">
        <v>1</v>
      </c>
      <c r="H195" s="49">
        <v>4.6900000000000004</v>
      </c>
      <c r="I195" s="60">
        <v>16</v>
      </c>
    </row>
    <row r="196" spans="2:9" ht="18" customHeight="1" x14ac:dyDescent="0.25">
      <c r="B196" s="71" t="s">
        <v>81</v>
      </c>
      <c r="C196" s="11" t="s">
        <v>276</v>
      </c>
      <c r="D196" s="12" t="s">
        <v>23</v>
      </c>
      <c r="E196" s="1" t="s">
        <v>75</v>
      </c>
      <c r="F196" s="20">
        <v>2009</v>
      </c>
      <c r="G196" s="85">
        <v>1</v>
      </c>
      <c r="H196" s="29">
        <v>0.92</v>
      </c>
      <c r="I196" s="60">
        <v>4.38</v>
      </c>
    </row>
    <row r="197" spans="2:9" ht="18" customHeight="1" x14ac:dyDescent="0.25">
      <c r="B197" s="67" t="s">
        <v>86</v>
      </c>
      <c r="C197" s="11" t="s">
        <v>525</v>
      </c>
      <c r="D197" s="1" t="s">
        <v>20</v>
      </c>
      <c r="E197" s="1" t="s">
        <v>75</v>
      </c>
      <c r="F197" s="20">
        <f>F196</f>
        <v>2009</v>
      </c>
      <c r="G197" s="85">
        <v>1</v>
      </c>
      <c r="H197" s="29">
        <v>19.920000000000002</v>
      </c>
      <c r="I197" s="60">
        <v>72</v>
      </c>
    </row>
    <row r="198" spans="2:9" ht="18" customHeight="1" x14ac:dyDescent="0.25">
      <c r="B198" s="71" t="s">
        <v>85</v>
      </c>
      <c r="C198" s="11" t="s">
        <v>277</v>
      </c>
      <c r="D198" s="12" t="s">
        <v>46</v>
      </c>
      <c r="E198" s="1" t="s">
        <v>75</v>
      </c>
      <c r="F198" s="21">
        <v>40927</v>
      </c>
      <c r="G198" s="85">
        <v>1</v>
      </c>
      <c r="H198" s="23">
        <v>1.92</v>
      </c>
      <c r="I198" s="59">
        <v>10</v>
      </c>
    </row>
    <row r="199" spans="2:9" s="39" customFormat="1" ht="18" customHeight="1" x14ac:dyDescent="0.25">
      <c r="B199" s="70" t="s">
        <v>95</v>
      </c>
      <c r="C199" s="11" t="s">
        <v>278</v>
      </c>
      <c r="D199" s="11" t="s">
        <v>4</v>
      </c>
      <c r="E199" s="1" t="s">
        <v>75</v>
      </c>
      <c r="F199" s="21">
        <v>41421</v>
      </c>
      <c r="G199" s="85">
        <v>1</v>
      </c>
      <c r="H199" s="23">
        <v>42.65</v>
      </c>
      <c r="I199" s="59">
        <v>130</v>
      </c>
    </row>
    <row r="200" spans="2:9" s="39" customFormat="1" ht="18" customHeight="1" x14ac:dyDescent="0.25">
      <c r="B200" s="70" t="s">
        <v>95</v>
      </c>
      <c r="C200" s="11" t="s">
        <v>526</v>
      </c>
      <c r="D200" s="11" t="s">
        <v>4</v>
      </c>
      <c r="E200" s="1" t="s">
        <v>75</v>
      </c>
      <c r="F200" s="21">
        <v>41375</v>
      </c>
      <c r="G200" s="85">
        <v>1</v>
      </c>
      <c r="H200" s="23">
        <v>26</v>
      </c>
      <c r="I200" s="59">
        <v>85</v>
      </c>
    </row>
    <row r="201" spans="2:9" s="39" customFormat="1" ht="18" customHeight="1" x14ac:dyDescent="0.25">
      <c r="B201" s="67" t="s">
        <v>99</v>
      </c>
      <c r="C201" s="11" t="s">
        <v>279</v>
      </c>
      <c r="D201" s="1" t="s">
        <v>55</v>
      </c>
      <c r="E201" s="1" t="s">
        <v>75</v>
      </c>
      <c r="F201" s="21">
        <v>41520</v>
      </c>
      <c r="G201" s="85">
        <v>1</v>
      </c>
      <c r="H201" s="23">
        <v>3.05</v>
      </c>
      <c r="I201" s="59">
        <v>12.5</v>
      </c>
    </row>
    <row r="202" spans="2:9" ht="18" customHeight="1" x14ac:dyDescent="0.25">
      <c r="B202" s="69" t="s">
        <v>115</v>
      </c>
      <c r="C202" s="11" t="s">
        <v>280</v>
      </c>
      <c r="D202" s="8" t="s">
        <v>10</v>
      </c>
      <c r="E202" s="1" t="s">
        <v>75</v>
      </c>
      <c r="F202" s="20">
        <v>2012</v>
      </c>
      <c r="G202" s="85">
        <v>1</v>
      </c>
      <c r="H202" s="49">
        <v>22.5</v>
      </c>
      <c r="I202" s="60">
        <v>86.97</v>
      </c>
    </row>
    <row r="203" spans="2:9" ht="18" customHeight="1" x14ac:dyDescent="0.25">
      <c r="B203" s="69" t="s">
        <v>115</v>
      </c>
      <c r="C203" s="11" t="s">
        <v>281</v>
      </c>
      <c r="D203" s="8" t="s">
        <v>10</v>
      </c>
      <c r="E203" s="1" t="s">
        <v>75</v>
      </c>
      <c r="F203" s="20">
        <v>2012</v>
      </c>
      <c r="G203" s="85">
        <v>1</v>
      </c>
      <c r="H203" s="49">
        <v>45</v>
      </c>
      <c r="I203" s="60">
        <v>125</v>
      </c>
    </row>
    <row r="204" spans="2:9" ht="18" customHeight="1" x14ac:dyDescent="0.25">
      <c r="B204" s="75" t="s">
        <v>108</v>
      </c>
      <c r="C204" s="11" t="s">
        <v>282</v>
      </c>
      <c r="D204" s="22" t="s">
        <v>60</v>
      </c>
      <c r="E204" s="1" t="s">
        <v>75</v>
      </c>
      <c r="F204" s="20">
        <v>2012</v>
      </c>
      <c r="G204" s="85">
        <v>1</v>
      </c>
      <c r="H204" s="49">
        <v>6.45</v>
      </c>
      <c r="I204" s="60">
        <v>20</v>
      </c>
    </row>
    <row r="205" spans="2:9" ht="18" customHeight="1" x14ac:dyDescent="0.25">
      <c r="B205" s="67" t="s">
        <v>129</v>
      </c>
      <c r="C205" s="11" t="s">
        <v>443</v>
      </c>
      <c r="D205" s="1" t="s">
        <v>5</v>
      </c>
      <c r="E205" s="1" t="s">
        <v>75</v>
      </c>
      <c r="F205" s="20">
        <v>2009</v>
      </c>
      <c r="G205" s="85">
        <v>1</v>
      </c>
      <c r="H205" s="49">
        <v>13.03</v>
      </c>
      <c r="I205" s="57">
        <v>52</v>
      </c>
    </row>
    <row r="206" spans="2:9" ht="18" customHeight="1" x14ac:dyDescent="0.25">
      <c r="B206" s="69" t="s">
        <v>117</v>
      </c>
      <c r="C206" s="22" t="s">
        <v>283</v>
      </c>
      <c r="D206" s="8" t="s">
        <v>28</v>
      </c>
      <c r="E206" s="1" t="s">
        <v>75</v>
      </c>
      <c r="F206" s="20">
        <v>2012</v>
      </c>
      <c r="G206" s="85">
        <v>1</v>
      </c>
      <c r="H206" s="49">
        <v>9.33</v>
      </c>
      <c r="I206" s="57">
        <v>42</v>
      </c>
    </row>
    <row r="207" spans="2:9" ht="18" customHeight="1" x14ac:dyDescent="0.25">
      <c r="B207" s="72" t="s">
        <v>93</v>
      </c>
      <c r="C207" s="22" t="s">
        <v>284</v>
      </c>
      <c r="D207" s="14" t="s">
        <v>8</v>
      </c>
      <c r="E207" s="1" t="s">
        <v>75</v>
      </c>
      <c r="F207" s="21">
        <v>41438</v>
      </c>
      <c r="G207" s="85">
        <v>1</v>
      </c>
      <c r="H207" s="49">
        <v>2.63</v>
      </c>
      <c r="I207" s="57">
        <v>9.4499999999999993</v>
      </c>
    </row>
    <row r="208" spans="2:9" ht="18" customHeight="1" x14ac:dyDescent="0.25">
      <c r="B208" s="71" t="s">
        <v>82</v>
      </c>
      <c r="C208" s="11" t="s">
        <v>285</v>
      </c>
      <c r="D208" s="12" t="s">
        <v>50</v>
      </c>
      <c r="E208" s="1" t="s">
        <v>72</v>
      </c>
      <c r="F208" s="21">
        <v>40657</v>
      </c>
      <c r="G208" s="85">
        <v>1</v>
      </c>
      <c r="H208" s="23">
        <v>60</v>
      </c>
      <c r="I208" s="57">
        <v>206</v>
      </c>
    </row>
    <row r="209" spans="2:9" ht="18" customHeight="1" x14ac:dyDescent="0.25">
      <c r="B209" s="71" t="s">
        <v>82</v>
      </c>
      <c r="C209" s="11" t="s">
        <v>527</v>
      </c>
      <c r="D209" s="12" t="s">
        <v>50</v>
      </c>
      <c r="E209" s="1" t="s">
        <v>75</v>
      </c>
      <c r="F209" s="28">
        <v>2002</v>
      </c>
      <c r="G209" s="85">
        <v>1</v>
      </c>
      <c r="H209" s="23">
        <v>42</v>
      </c>
      <c r="I209" s="57">
        <v>187.5</v>
      </c>
    </row>
    <row r="210" spans="2:9" s="39" customFormat="1" ht="18" customHeight="1" x14ac:dyDescent="0.25">
      <c r="B210" s="70" t="s">
        <v>95</v>
      </c>
      <c r="C210" s="11" t="s">
        <v>286</v>
      </c>
      <c r="D210" s="11" t="s">
        <v>4</v>
      </c>
      <c r="E210" s="1" t="s">
        <v>75</v>
      </c>
      <c r="F210" s="31">
        <v>41087</v>
      </c>
      <c r="G210" s="85">
        <v>1</v>
      </c>
      <c r="H210" s="49">
        <v>29.4</v>
      </c>
      <c r="I210" s="57">
        <v>117</v>
      </c>
    </row>
    <row r="211" spans="2:9" s="39" customFormat="1" ht="18" customHeight="1" x14ac:dyDescent="0.25">
      <c r="B211" s="70" t="s">
        <v>95</v>
      </c>
      <c r="C211" s="11" t="s">
        <v>528</v>
      </c>
      <c r="D211" s="11" t="s">
        <v>4</v>
      </c>
      <c r="E211" s="1" t="s">
        <v>72</v>
      </c>
      <c r="F211" s="20">
        <v>2010</v>
      </c>
      <c r="G211" s="85">
        <v>1</v>
      </c>
      <c r="H211" s="49">
        <v>69.349999999999994</v>
      </c>
      <c r="I211" s="60">
        <v>223</v>
      </c>
    </row>
    <row r="212" spans="2:9" ht="18" customHeight="1" x14ac:dyDescent="0.25">
      <c r="B212" s="70" t="s">
        <v>80</v>
      </c>
      <c r="C212" s="11" t="s">
        <v>287</v>
      </c>
      <c r="D212" s="11" t="s">
        <v>11</v>
      </c>
      <c r="E212" s="1" t="s">
        <v>75</v>
      </c>
      <c r="F212" s="20">
        <v>2004</v>
      </c>
      <c r="G212" s="85">
        <v>1</v>
      </c>
      <c r="H212" s="49">
        <v>8.84</v>
      </c>
      <c r="I212" s="57">
        <v>41</v>
      </c>
    </row>
    <row r="213" spans="2:9" ht="18" customHeight="1" x14ac:dyDescent="0.25">
      <c r="B213" s="70" t="s">
        <v>116</v>
      </c>
      <c r="C213" s="22" t="s">
        <v>288</v>
      </c>
      <c r="D213" s="11" t="s">
        <v>32</v>
      </c>
      <c r="E213" s="1" t="s">
        <v>75</v>
      </c>
      <c r="F213" s="25">
        <v>41213</v>
      </c>
      <c r="G213" s="85">
        <v>1</v>
      </c>
      <c r="H213" s="23">
        <v>19.75</v>
      </c>
      <c r="I213" s="59">
        <v>36</v>
      </c>
    </row>
    <row r="214" spans="2:9" ht="18" customHeight="1" x14ac:dyDescent="0.25">
      <c r="B214" s="68" t="s">
        <v>98</v>
      </c>
      <c r="C214" s="11" t="s">
        <v>289</v>
      </c>
      <c r="D214" s="5" t="s">
        <v>37</v>
      </c>
      <c r="E214" s="1" t="s">
        <v>75</v>
      </c>
      <c r="F214" s="20">
        <v>2008</v>
      </c>
      <c r="G214" s="85">
        <v>1</v>
      </c>
      <c r="H214" s="49">
        <v>9.26</v>
      </c>
      <c r="I214" s="57">
        <v>36</v>
      </c>
    </row>
    <row r="215" spans="2:9" ht="18" customHeight="1" x14ac:dyDescent="0.25">
      <c r="B215" s="75" t="s">
        <v>132</v>
      </c>
      <c r="C215" s="11" t="s">
        <v>444</v>
      </c>
      <c r="D215" s="22" t="s">
        <v>14</v>
      </c>
      <c r="E215" s="1" t="s">
        <v>72</v>
      </c>
      <c r="F215" s="20">
        <v>2012</v>
      </c>
      <c r="G215" s="85">
        <v>1</v>
      </c>
      <c r="H215" s="49">
        <v>47.45</v>
      </c>
      <c r="I215" s="57">
        <v>210</v>
      </c>
    </row>
    <row r="216" spans="2:9" ht="18" customHeight="1" x14ac:dyDescent="0.25">
      <c r="B216" s="75" t="s">
        <v>139</v>
      </c>
      <c r="C216" s="11" t="s">
        <v>290</v>
      </c>
      <c r="D216" s="22" t="s">
        <v>31</v>
      </c>
      <c r="E216" s="1" t="s">
        <v>75</v>
      </c>
      <c r="F216" s="21">
        <v>41421</v>
      </c>
      <c r="G216" s="85">
        <v>1</v>
      </c>
      <c r="H216" s="49">
        <v>3.0979999999999999</v>
      </c>
      <c r="I216" s="57">
        <v>10.199999999999999</v>
      </c>
    </row>
    <row r="217" spans="2:9" ht="18" customHeight="1" x14ac:dyDescent="0.25">
      <c r="B217" s="69" t="s">
        <v>117</v>
      </c>
      <c r="C217" s="11" t="s">
        <v>291</v>
      </c>
      <c r="D217" s="8" t="s">
        <v>28</v>
      </c>
      <c r="E217" s="1" t="s">
        <v>75</v>
      </c>
      <c r="F217" s="25">
        <v>41425</v>
      </c>
      <c r="G217" s="85">
        <v>1</v>
      </c>
      <c r="H217" s="49">
        <v>6.8659999999999997</v>
      </c>
      <c r="I217" s="57">
        <v>25.8</v>
      </c>
    </row>
    <row r="218" spans="2:9" ht="18" customHeight="1" x14ac:dyDescent="0.25">
      <c r="B218" s="67" t="s">
        <v>129</v>
      </c>
      <c r="C218" s="11" t="s">
        <v>445</v>
      </c>
      <c r="D218" s="1" t="s">
        <v>5</v>
      </c>
      <c r="E218" s="1" t="s">
        <v>75</v>
      </c>
      <c r="F218" s="20">
        <v>2012</v>
      </c>
      <c r="G218" s="85">
        <v>1</v>
      </c>
      <c r="H218" s="49">
        <v>7.98</v>
      </c>
      <c r="I218" s="57">
        <v>40.26</v>
      </c>
    </row>
    <row r="219" spans="2:9" s="39" customFormat="1" ht="18" customHeight="1" x14ac:dyDescent="0.25">
      <c r="B219" s="71" t="s">
        <v>96</v>
      </c>
      <c r="C219" s="11" t="s">
        <v>292</v>
      </c>
      <c r="D219" s="12" t="s">
        <v>49</v>
      </c>
      <c r="E219" s="1" t="s">
        <v>75</v>
      </c>
      <c r="F219" s="20">
        <f>F214</f>
        <v>2008</v>
      </c>
      <c r="G219" s="85">
        <v>1</v>
      </c>
      <c r="H219" s="49">
        <v>10.01</v>
      </c>
      <c r="I219" s="60">
        <v>43</v>
      </c>
    </row>
    <row r="220" spans="2:9" ht="18" customHeight="1" x14ac:dyDescent="0.25">
      <c r="B220" s="68" t="s">
        <v>98</v>
      </c>
      <c r="C220" s="11" t="s">
        <v>293</v>
      </c>
      <c r="D220" s="5" t="s">
        <v>37</v>
      </c>
      <c r="E220" s="1" t="s">
        <v>75</v>
      </c>
      <c r="F220" s="21">
        <v>40998</v>
      </c>
      <c r="G220" s="85">
        <v>1</v>
      </c>
      <c r="H220" s="49">
        <v>24.265999999999998</v>
      </c>
      <c r="I220" s="57">
        <v>60.26</v>
      </c>
    </row>
    <row r="221" spans="2:9" ht="18" customHeight="1" x14ac:dyDescent="0.25">
      <c r="B221" s="75" t="s">
        <v>111</v>
      </c>
      <c r="C221" s="11" t="s">
        <v>294</v>
      </c>
      <c r="D221" s="22" t="s">
        <v>22</v>
      </c>
      <c r="E221" s="1" t="s">
        <v>75</v>
      </c>
      <c r="F221" s="25">
        <v>40709</v>
      </c>
      <c r="G221" s="85">
        <v>1</v>
      </c>
      <c r="H221" s="23">
        <v>2.8690000000000002</v>
      </c>
      <c r="I221" s="59">
        <v>13.2</v>
      </c>
    </row>
    <row r="222" spans="2:9" ht="18" customHeight="1" x14ac:dyDescent="0.25">
      <c r="B222" s="71" t="s">
        <v>82</v>
      </c>
      <c r="C222" s="11" t="s">
        <v>295</v>
      </c>
      <c r="D222" s="12" t="s">
        <v>50</v>
      </c>
      <c r="E222" s="1" t="s">
        <v>75</v>
      </c>
      <c r="F222" s="20">
        <v>2006</v>
      </c>
      <c r="G222" s="85">
        <v>1</v>
      </c>
      <c r="H222" s="49">
        <v>10.8</v>
      </c>
      <c r="I222" s="57">
        <v>60</v>
      </c>
    </row>
    <row r="223" spans="2:9" ht="18" customHeight="1" x14ac:dyDescent="0.25">
      <c r="B223" s="67" t="s">
        <v>86</v>
      </c>
      <c r="C223" s="11" t="s">
        <v>296</v>
      </c>
      <c r="D223" s="1" t="s">
        <v>20</v>
      </c>
      <c r="E223" s="1" t="s">
        <v>75</v>
      </c>
      <c r="F223" s="20">
        <v>2008</v>
      </c>
      <c r="G223" s="85">
        <v>1</v>
      </c>
      <c r="H223" s="49">
        <v>2.2999999999999998</v>
      </c>
      <c r="I223" s="57">
        <v>4.28</v>
      </c>
    </row>
    <row r="224" spans="2:9" ht="18" customHeight="1" x14ac:dyDescent="0.25">
      <c r="B224" s="67" t="s">
        <v>86</v>
      </c>
      <c r="C224" s="11" t="s">
        <v>529</v>
      </c>
      <c r="D224" s="1" t="s">
        <v>20</v>
      </c>
      <c r="E224" s="1" t="s">
        <v>75</v>
      </c>
      <c r="F224" s="25">
        <v>41319</v>
      </c>
      <c r="G224" s="85">
        <v>1</v>
      </c>
      <c r="H224" s="49">
        <v>4</v>
      </c>
      <c r="I224" s="57">
        <v>12</v>
      </c>
    </row>
    <row r="225" spans="2:9" ht="18" customHeight="1" x14ac:dyDescent="0.25">
      <c r="B225" s="67" t="s">
        <v>121</v>
      </c>
      <c r="C225" s="11" t="s">
        <v>530</v>
      </c>
      <c r="D225" s="1" t="s">
        <v>47</v>
      </c>
      <c r="E225" s="1" t="s">
        <v>75</v>
      </c>
      <c r="F225" s="20">
        <f>F223</f>
        <v>2008</v>
      </c>
      <c r="G225" s="85">
        <v>1</v>
      </c>
      <c r="H225" s="49">
        <v>7.24</v>
      </c>
      <c r="I225" s="60">
        <v>44</v>
      </c>
    </row>
    <row r="226" spans="2:9" ht="18" customHeight="1" x14ac:dyDescent="0.25">
      <c r="B226" s="69" t="s">
        <v>117</v>
      </c>
      <c r="C226" s="22" t="s">
        <v>446</v>
      </c>
      <c r="D226" s="8" t="s">
        <v>28</v>
      </c>
      <c r="E226" s="1" t="s">
        <v>72</v>
      </c>
      <c r="F226" s="21">
        <v>40991</v>
      </c>
      <c r="G226" s="85">
        <v>1</v>
      </c>
      <c r="H226" s="50">
        <v>96</v>
      </c>
      <c r="I226" s="60">
        <v>314</v>
      </c>
    </row>
    <row r="227" spans="2:9" ht="18" customHeight="1" x14ac:dyDescent="0.25">
      <c r="B227" s="69" t="s">
        <v>113</v>
      </c>
      <c r="C227" s="11" t="s">
        <v>447</v>
      </c>
      <c r="D227" s="8" t="s">
        <v>64</v>
      </c>
      <c r="E227" s="1" t="s">
        <v>75</v>
      </c>
      <c r="F227" s="20">
        <v>2009</v>
      </c>
      <c r="G227" s="85">
        <v>1</v>
      </c>
      <c r="H227" s="49">
        <v>9.1</v>
      </c>
      <c r="I227" s="57">
        <v>27.36</v>
      </c>
    </row>
    <row r="228" spans="2:9" ht="18" customHeight="1" x14ac:dyDescent="0.25">
      <c r="B228" s="70" t="s">
        <v>92</v>
      </c>
      <c r="C228" s="22" t="s">
        <v>448</v>
      </c>
      <c r="D228" s="11" t="s">
        <v>39</v>
      </c>
      <c r="E228" s="1" t="s">
        <v>72</v>
      </c>
      <c r="F228" s="21">
        <v>41060</v>
      </c>
      <c r="G228" s="85">
        <v>1</v>
      </c>
      <c r="H228" s="49">
        <v>28.22</v>
      </c>
      <c r="I228" s="57">
        <v>73.58</v>
      </c>
    </row>
    <row r="229" spans="2:9" ht="18" customHeight="1" x14ac:dyDescent="0.25">
      <c r="B229" s="68" t="s">
        <v>98</v>
      </c>
      <c r="C229" s="11" t="s">
        <v>297</v>
      </c>
      <c r="D229" s="5" t="s">
        <v>37</v>
      </c>
      <c r="E229" s="1" t="s">
        <v>75</v>
      </c>
      <c r="F229" s="20">
        <v>2009</v>
      </c>
      <c r="G229" s="85">
        <v>1</v>
      </c>
      <c r="H229" s="49">
        <v>1.8</v>
      </c>
      <c r="I229" s="57">
        <v>4.28</v>
      </c>
    </row>
    <row r="230" spans="2:9" ht="18" customHeight="1" x14ac:dyDescent="0.25">
      <c r="B230" s="69" t="s">
        <v>113</v>
      </c>
      <c r="C230" s="11" t="s">
        <v>531</v>
      </c>
      <c r="D230" s="8" t="s">
        <v>64</v>
      </c>
      <c r="E230" s="1" t="s">
        <v>75</v>
      </c>
      <c r="F230" s="21">
        <v>41249</v>
      </c>
      <c r="G230" s="85">
        <v>1</v>
      </c>
      <c r="H230" s="49">
        <v>12.38</v>
      </c>
      <c r="I230" s="57">
        <v>61</v>
      </c>
    </row>
    <row r="231" spans="2:9" ht="18" customHeight="1" x14ac:dyDescent="0.25">
      <c r="B231" s="75" t="s">
        <v>108</v>
      </c>
      <c r="C231" s="11" t="s">
        <v>298</v>
      </c>
      <c r="D231" s="22" t="s">
        <v>60</v>
      </c>
      <c r="E231" s="1" t="s">
        <v>75</v>
      </c>
      <c r="F231" s="20">
        <f>F229</f>
        <v>2009</v>
      </c>
      <c r="G231" s="85">
        <v>1</v>
      </c>
      <c r="H231" s="49">
        <v>8.1</v>
      </c>
      <c r="I231" s="60">
        <v>40</v>
      </c>
    </row>
    <row r="232" spans="2:9" ht="18" customHeight="1" x14ac:dyDescent="0.25">
      <c r="B232" s="70" t="s">
        <v>116</v>
      </c>
      <c r="C232" s="22" t="s">
        <v>299</v>
      </c>
      <c r="D232" s="11" t="s">
        <v>32</v>
      </c>
      <c r="E232" s="1" t="s">
        <v>75</v>
      </c>
      <c r="F232" s="21">
        <v>41515</v>
      </c>
      <c r="G232" s="85">
        <v>1</v>
      </c>
      <c r="H232" s="49">
        <v>13.58</v>
      </c>
      <c r="I232" s="60">
        <v>32.07</v>
      </c>
    </row>
    <row r="233" spans="2:9" ht="18" customHeight="1" x14ac:dyDescent="0.25">
      <c r="B233" s="67" t="s">
        <v>121</v>
      </c>
      <c r="C233" s="11" t="s">
        <v>513</v>
      </c>
      <c r="D233" s="1" t="s">
        <v>47</v>
      </c>
      <c r="E233" s="1" t="s">
        <v>75</v>
      </c>
      <c r="F233" s="20">
        <v>2004</v>
      </c>
      <c r="G233" s="85">
        <v>1</v>
      </c>
      <c r="H233" s="49">
        <v>13</v>
      </c>
      <c r="I233" s="57">
        <v>88</v>
      </c>
    </row>
    <row r="234" spans="2:9" ht="18" customHeight="1" x14ac:dyDescent="0.25">
      <c r="B234" s="68" t="s">
        <v>98</v>
      </c>
      <c r="C234" s="11" t="s">
        <v>300</v>
      </c>
      <c r="D234" s="5" t="s">
        <v>37</v>
      </c>
      <c r="E234" s="1" t="s">
        <v>75</v>
      </c>
      <c r="F234" s="21">
        <v>40619</v>
      </c>
      <c r="G234" s="85">
        <v>1</v>
      </c>
      <c r="H234" s="49">
        <v>142.28</v>
      </c>
      <c r="I234" s="60">
        <v>334.02100000000002</v>
      </c>
    </row>
    <row r="235" spans="2:9" ht="18" customHeight="1" x14ac:dyDescent="0.25">
      <c r="B235" s="70" t="s">
        <v>100</v>
      </c>
      <c r="C235" s="11" t="s">
        <v>301</v>
      </c>
      <c r="D235" s="11" t="s">
        <v>43</v>
      </c>
      <c r="E235" s="1" t="s">
        <v>75</v>
      </c>
      <c r="F235" s="20">
        <v>2008</v>
      </c>
      <c r="G235" s="85">
        <v>1</v>
      </c>
      <c r="H235" s="49">
        <v>16.7</v>
      </c>
      <c r="I235" s="57">
        <v>90</v>
      </c>
    </row>
    <row r="236" spans="2:9" ht="18" customHeight="1" x14ac:dyDescent="0.25">
      <c r="B236" s="70" t="s">
        <v>102</v>
      </c>
      <c r="C236" s="11" t="s">
        <v>302</v>
      </c>
      <c r="D236" s="11" t="s">
        <v>52</v>
      </c>
      <c r="E236" s="1" t="s">
        <v>75</v>
      </c>
      <c r="F236" s="21">
        <v>41410</v>
      </c>
      <c r="G236" s="85">
        <v>1</v>
      </c>
      <c r="H236" s="49">
        <v>5.29</v>
      </c>
      <c r="I236" s="57">
        <v>36.380000000000003</v>
      </c>
    </row>
    <row r="237" spans="2:9" ht="18" customHeight="1" x14ac:dyDescent="0.25">
      <c r="B237" s="71" t="s">
        <v>136</v>
      </c>
      <c r="C237" s="11" t="s">
        <v>303</v>
      </c>
      <c r="D237" s="12" t="s">
        <v>25</v>
      </c>
      <c r="E237" s="1" t="s">
        <v>75</v>
      </c>
      <c r="F237" s="21">
        <v>40879</v>
      </c>
      <c r="G237" s="85">
        <v>1</v>
      </c>
      <c r="H237" s="23">
        <v>4.67</v>
      </c>
      <c r="I237" s="59">
        <v>21</v>
      </c>
    </row>
    <row r="238" spans="2:9" ht="18" customHeight="1" x14ac:dyDescent="0.25">
      <c r="B238" s="67" t="s">
        <v>99</v>
      </c>
      <c r="C238" s="11" t="s">
        <v>304</v>
      </c>
      <c r="D238" s="1" t="s">
        <v>55</v>
      </c>
      <c r="E238" s="1" t="s">
        <v>75</v>
      </c>
      <c r="F238" s="21" t="s">
        <v>3</v>
      </c>
      <c r="G238" s="85">
        <v>1</v>
      </c>
      <c r="H238" s="23">
        <v>8.48</v>
      </c>
      <c r="I238" s="59">
        <v>30</v>
      </c>
    </row>
    <row r="239" spans="2:9" ht="18" customHeight="1" x14ac:dyDescent="0.25">
      <c r="B239" s="69" t="s">
        <v>113</v>
      </c>
      <c r="C239" s="11" t="s">
        <v>305</v>
      </c>
      <c r="D239" s="8" t="s">
        <v>64</v>
      </c>
      <c r="E239" s="1" t="s">
        <v>75</v>
      </c>
      <c r="F239" s="21">
        <v>41075</v>
      </c>
      <c r="G239" s="85">
        <v>1</v>
      </c>
      <c r="H239" s="49">
        <v>5.68</v>
      </c>
      <c r="I239" s="58">
        <v>21</v>
      </c>
    </row>
    <row r="240" spans="2:9" ht="18" customHeight="1" x14ac:dyDescent="0.25">
      <c r="B240" s="75" t="s">
        <v>114</v>
      </c>
      <c r="C240" s="11" t="s">
        <v>306</v>
      </c>
      <c r="D240" s="22" t="s">
        <v>54</v>
      </c>
      <c r="E240" s="1" t="s">
        <v>75</v>
      </c>
      <c r="F240" s="21">
        <v>41393</v>
      </c>
      <c r="G240" s="85">
        <v>1</v>
      </c>
      <c r="H240" s="49">
        <v>5.74</v>
      </c>
      <c r="I240" s="58">
        <v>20.64</v>
      </c>
    </row>
    <row r="241" spans="2:9" ht="18" customHeight="1" x14ac:dyDescent="0.25">
      <c r="B241" s="75" t="s">
        <v>111</v>
      </c>
      <c r="C241" s="11" t="s">
        <v>307</v>
      </c>
      <c r="D241" s="22" t="s">
        <v>22</v>
      </c>
      <c r="E241" s="1" t="s">
        <v>75</v>
      </c>
      <c r="F241" s="25">
        <v>40641</v>
      </c>
      <c r="G241" s="85">
        <v>1</v>
      </c>
      <c r="H241" s="23">
        <v>14.5</v>
      </c>
      <c r="I241" s="59">
        <v>48</v>
      </c>
    </row>
    <row r="242" spans="2:9" ht="18" customHeight="1" x14ac:dyDescent="0.25">
      <c r="B242" s="72" t="s">
        <v>140</v>
      </c>
      <c r="C242" s="11" t="s">
        <v>308</v>
      </c>
      <c r="D242" s="14" t="s">
        <v>56</v>
      </c>
      <c r="E242" s="1" t="s">
        <v>75</v>
      </c>
      <c r="F242" s="25">
        <v>40688</v>
      </c>
      <c r="G242" s="85">
        <v>1</v>
      </c>
      <c r="H242" s="23">
        <v>25.2</v>
      </c>
      <c r="I242" s="59">
        <v>126</v>
      </c>
    </row>
    <row r="243" spans="2:9" ht="18" customHeight="1" x14ac:dyDescent="0.25">
      <c r="B243" s="69" t="s">
        <v>115</v>
      </c>
      <c r="C243" s="11" t="s">
        <v>532</v>
      </c>
      <c r="D243" s="8" t="s">
        <v>10</v>
      </c>
      <c r="E243" s="1" t="s">
        <v>75</v>
      </c>
      <c r="F243" s="20">
        <v>2009</v>
      </c>
      <c r="G243" s="85">
        <v>1</v>
      </c>
      <c r="H243" s="49">
        <v>8.48</v>
      </c>
      <c r="I243" s="57">
        <v>32.42</v>
      </c>
    </row>
    <row r="244" spans="2:9" ht="18" customHeight="1" x14ac:dyDescent="0.25">
      <c r="B244" s="75" t="s">
        <v>139</v>
      </c>
      <c r="C244" s="11" t="s">
        <v>449</v>
      </c>
      <c r="D244" s="22" t="s">
        <v>31</v>
      </c>
      <c r="E244" s="1" t="s">
        <v>75</v>
      </c>
      <c r="F244" s="20">
        <f>F243</f>
        <v>2009</v>
      </c>
      <c r="G244" s="85">
        <v>1</v>
      </c>
      <c r="H244" s="49">
        <v>1.42</v>
      </c>
      <c r="I244" s="60">
        <v>5.5</v>
      </c>
    </row>
    <row r="245" spans="2:9" ht="18" customHeight="1" x14ac:dyDescent="0.25">
      <c r="B245" s="67" t="s">
        <v>129</v>
      </c>
      <c r="C245" s="11" t="s">
        <v>309</v>
      </c>
      <c r="D245" s="1" t="s">
        <v>5</v>
      </c>
      <c r="E245" s="1" t="s">
        <v>75</v>
      </c>
      <c r="F245" s="20">
        <f>F244</f>
        <v>2009</v>
      </c>
      <c r="G245" s="85">
        <v>1</v>
      </c>
      <c r="H245" s="49">
        <v>7.12</v>
      </c>
      <c r="I245" s="60">
        <v>40.159999999999997</v>
      </c>
    </row>
    <row r="246" spans="2:9" ht="18" customHeight="1" x14ac:dyDescent="0.25">
      <c r="B246" s="68" t="s">
        <v>98</v>
      </c>
      <c r="C246" s="11" t="s">
        <v>310</v>
      </c>
      <c r="D246" s="5" t="s">
        <v>37</v>
      </c>
      <c r="E246" s="1" t="s">
        <v>75</v>
      </c>
      <c r="F246" s="20">
        <v>2009</v>
      </c>
      <c r="G246" s="85">
        <v>1</v>
      </c>
      <c r="H246" s="49">
        <v>34.130000000000003</v>
      </c>
      <c r="I246" s="60">
        <v>107</v>
      </c>
    </row>
    <row r="247" spans="2:9" ht="18" customHeight="1" x14ac:dyDescent="0.25">
      <c r="B247" s="67" t="s">
        <v>112</v>
      </c>
      <c r="C247" s="11" t="s">
        <v>311</v>
      </c>
      <c r="D247" s="1" t="s">
        <v>6</v>
      </c>
      <c r="E247" s="1" t="s">
        <v>75</v>
      </c>
      <c r="F247" s="21">
        <v>41312</v>
      </c>
      <c r="G247" s="85">
        <v>1</v>
      </c>
      <c r="H247" s="49">
        <v>29.25</v>
      </c>
      <c r="I247" s="60">
        <v>108</v>
      </c>
    </row>
    <row r="248" spans="2:9" ht="18" customHeight="1" x14ac:dyDescent="0.25">
      <c r="B248" s="72" t="s">
        <v>140</v>
      </c>
      <c r="C248" s="11" t="s">
        <v>450</v>
      </c>
      <c r="D248" s="14" t="s">
        <v>56</v>
      </c>
      <c r="E248" s="1" t="s">
        <v>75</v>
      </c>
      <c r="F248" s="20">
        <v>2010</v>
      </c>
      <c r="G248" s="85">
        <v>1</v>
      </c>
      <c r="H248" s="49">
        <v>9.5</v>
      </c>
      <c r="I248" s="60">
        <v>40</v>
      </c>
    </row>
    <row r="249" spans="2:9" s="39" customFormat="1" ht="18" customHeight="1" x14ac:dyDescent="0.25">
      <c r="B249" s="67" t="s">
        <v>99</v>
      </c>
      <c r="C249" s="11" t="s">
        <v>312</v>
      </c>
      <c r="D249" s="1" t="s">
        <v>55</v>
      </c>
      <c r="E249" s="1" t="s">
        <v>75</v>
      </c>
      <c r="F249" s="20">
        <v>2006</v>
      </c>
      <c r="G249" s="85">
        <v>1</v>
      </c>
      <c r="H249" s="49">
        <v>28.81</v>
      </c>
      <c r="I249" s="57">
        <v>51.64</v>
      </c>
    </row>
    <row r="250" spans="2:9" ht="18" customHeight="1" x14ac:dyDescent="0.25">
      <c r="B250" s="75" t="s">
        <v>90</v>
      </c>
      <c r="C250" s="44" t="s">
        <v>533</v>
      </c>
      <c r="D250" s="22" t="s">
        <v>7</v>
      </c>
      <c r="E250" s="1" t="s">
        <v>75</v>
      </c>
      <c r="F250" s="20">
        <v>2012</v>
      </c>
      <c r="G250" s="85">
        <v>1</v>
      </c>
      <c r="H250" s="49">
        <v>19.109000000000002</v>
      </c>
      <c r="I250" s="57">
        <v>111</v>
      </c>
    </row>
    <row r="251" spans="2:9" ht="18" customHeight="1" x14ac:dyDescent="0.25">
      <c r="B251" s="75" t="s">
        <v>139</v>
      </c>
      <c r="C251" s="11" t="s">
        <v>313</v>
      </c>
      <c r="D251" s="22" t="s">
        <v>31</v>
      </c>
      <c r="E251" s="1" t="s">
        <v>75</v>
      </c>
      <c r="F251" s="20">
        <v>2008</v>
      </c>
      <c r="G251" s="85">
        <v>1</v>
      </c>
      <c r="H251" s="205">
        <v>31.3</v>
      </c>
      <c r="I251" s="206">
        <v>100</v>
      </c>
    </row>
    <row r="252" spans="2:9" ht="18" customHeight="1" x14ac:dyDescent="0.25">
      <c r="B252" s="75" t="s">
        <v>139</v>
      </c>
      <c r="C252" s="11" t="s">
        <v>534</v>
      </c>
      <c r="D252" s="22" t="s">
        <v>31</v>
      </c>
      <c r="E252" s="1" t="s">
        <v>75</v>
      </c>
      <c r="F252" s="20">
        <v>2009</v>
      </c>
      <c r="G252" s="85">
        <v>1</v>
      </c>
      <c r="H252" s="205"/>
      <c r="I252" s="206"/>
    </row>
    <row r="253" spans="2:9" ht="18" customHeight="1" x14ac:dyDescent="0.25">
      <c r="B253" s="75" t="s">
        <v>139</v>
      </c>
      <c r="C253" s="11" t="s">
        <v>314</v>
      </c>
      <c r="D253" s="22" t="s">
        <v>31</v>
      </c>
      <c r="E253" s="1" t="s">
        <v>75</v>
      </c>
      <c r="F253" s="20">
        <v>2011</v>
      </c>
      <c r="G253" s="85">
        <v>1</v>
      </c>
      <c r="H253" s="49">
        <v>5.2</v>
      </c>
      <c r="I253" s="57">
        <v>20</v>
      </c>
    </row>
    <row r="254" spans="2:9" ht="18" customHeight="1" x14ac:dyDescent="0.25">
      <c r="B254" s="69" t="s">
        <v>117</v>
      </c>
      <c r="C254" s="11" t="s">
        <v>315</v>
      </c>
      <c r="D254" s="8" t="s">
        <v>28</v>
      </c>
      <c r="E254" s="1" t="s">
        <v>75</v>
      </c>
      <c r="F254" s="20">
        <v>2009</v>
      </c>
      <c r="G254" s="85">
        <v>1</v>
      </c>
      <c r="H254" s="49">
        <v>10.8</v>
      </c>
      <c r="I254" s="57">
        <v>40</v>
      </c>
    </row>
    <row r="255" spans="2:9" ht="18" customHeight="1" x14ac:dyDescent="0.25">
      <c r="B255" s="68" t="s">
        <v>98</v>
      </c>
      <c r="C255" s="11" t="s">
        <v>451</v>
      </c>
      <c r="D255" s="5" t="s">
        <v>37</v>
      </c>
      <c r="E255" s="1" t="s">
        <v>72</v>
      </c>
      <c r="F255" s="21">
        <v>41569</v>
      </c>
      <c r="G255" s="85">
        <v>1</v>
      </c>
      <c r="H255" s="49">
        <v>207.92</v>
      </c>
      <c r="I255" s="57">
        <v>502</v>
      </c>
    </row>
    <row r="256" spans="2:9" ht="18" customHeight="1" x14ac:dyDescent="0.25">
      <c r="B256" s="68" t="s">
        <v>98</v>
      </c>
      <c r="C256" s="11" t="s">
        <v>316</v>
      </c>
      <c r="D256" s="5" t="s">
        <v>37</v>
      </c>
      <c r="E256" s="1" t="s">
        <v>75</v>
      </c>
      <c r="F256" s="21">
        <v>41405</v>
      </c>
      <c r="G256" s="85">
        <v>1</v>
      </c>
      <c r="H256" s="49">
        <v>8</v>
      </c>
      <c r="I256" s="57">
        <v>24</v>
      </c>
    </row>
    <row r="257" spans="2:9" ht="18" customHeight="1" x14ac:dyDescent="0.25">
      <c r="B257" s="70" t="s">
        <v>89</v>
      </c>
      <c r="C257" s="11" t="s">
        <v>317</v>
      </c>
      <c r="D257" s="11" t="s">
        <v>19</v>
      </c>
      <c r="E257" s="1" t="s">
        <v>75</v>
      </c>
      <c r="F257" s="21">
        <v>41338</v>
      </c>
      <c r="G257" s="85">
        <v>1</v>
      </c>
      <c r="H257" s="49">
        <v>4.0469999999999997</v>
      </c>
      <c r="I257" s="57">
        <v>12.56</v>
      </c>
    </row>
    <row r="258" spans="2:9" ht="18" customHeight="1" x14ac:dyDescent="0.25">
      <c r="B258" s="68" t="s">
        <v>98</v>
      </c>
      <c r="C258" s="11" t="s">
        <v>318</v>
      </c>
      <c r="D258" s="5" t="s">
        <v>37</v>
      </c>
      <c r="E258" s="1" t="s">
        <v>75</v>
      </c>
      <c r="F258" s="20">
        <v>2007</v>
      </c>
      <c r="G258" s="85">
        <v>1</v>
      </c>
      <c r="H258" s="49">
        <v>2.4</v>
      </c>
      <c r="I258" s="57">
        <v>18.72</v>
      </c>
    </row>
    <row r="259" spans="2:9" ht="18" customHeight="1" x14ac:dyDescent="0.25">
      <c r="B259" s="69" t="s">
        <v>117</v>
      </c>
      <c r="C259" s="46" t="s">
        <v>319</v>
      </c>
      <c r="D259" s="8" t="s">
        <v>28</v>
      </c>
      <c r="E259" s="1" t="s">
        <v>75</v>
      </c>
      <c r="F259" s="20">
        <v>2011</v>
      </c>
      <c r="G259" s="85">
        <v>1</v>
      </c>
      <c r="H259" s="23">
        <v>3.84</v>
      </c>
      <c r="I259" s="59">
        <v>21.56</v>
      </c>
    </row>
    <row r="260" spans="2:9" ht="18" customHeight="1" x14ac:dyDescent="0.25">
      <c r="B260" s="69" t="s">
        <v>117</v>
      </c>
      <c r="C260" s="46" t="s">
        <v>535</v>
      </c>
      <c r="D260" s="8" t="s">
        <v>28</v>
      </c>
      <c r="E260" s="1" t="s">
        <v>75</v>
      </c>
      <c r="F260" s="20">
        <v>2011</v>
      </c>
      <c r="G260" s="85">
        <v>1</v>
      </c>
      <c r="H260" s="23">
        <v>3.08</v>
      </c>
      <c r="I260" s="59">
        <v>18.97</v>
      </c>
    </row>
    <row r="261" spans="2:9" ht="18" customHeight="1" x14ac:dyDescent="0.25">
      <c r="B261" s="69" t="s">
        <v>117</v>
      </c>
      <c r="C261" s="46" t="s">
        <v>536</v>
      </c>
      <c r="D261" s="8" t="s">
        <v>28</v>
      </c>
      <c r="E261" s="1" t="s">
        <v>75</v>
      </c>
      <c r="F261" s="20">
        <v>2011</v>
      </c>
      <c r="G261" s="85">
        <v>1</v>
      </c>
      <c r="H261" s="23">
        <v>10.35</v>
      </c>
      <c r="I261" s="59">
        <v>57.76</v>
      </c>
    </row>
    <row r="262" spans="2:9" ht="18" customHeight="1" x14ac:dyDescent="0.25">
      <c r="B262" s="69" t="s">
        <v>117</v>
      </c>
      <c r="C262" s="22" t="s">
        <v>537</v>
      </c>
      <c r="D262" s="8" t="s">
        <v>28</v>
      </c>
      <c r="E262" s="1" t="s">
        <v>75</v>
      </c>
      <c r="F262" s="20">
        <v>2011</v>
      </c>
      <c r="G262" s="85">
        <v>1</v>
      </c>
      <c r="H262" s="23">
        <v>4.5999999999999996</v>
      </c>
      <c r="I262" s="59">
        <v>21.62</v>
      </c>
    </row>
    <row r="263" spans="2:9" ht="18" customHeight="1" x14ac:dyDescent="0.25">
      <c r="B263" s="67" t="s">
        <v>118</v>
      </c>
      <c r="C263" s="22" t="s">
        <v>320</v>
      </c>
      <c r="D263" s="1" t="s">
        <v>27</v>
      </c>
      <c r="E263" s="1" t="s">
        <v>75</v>
      </c>
      <c r="F263" s="20">
        <v>2011</v>
      </c>
      <c r="G263" s="85">
        <v>1</v>
      </c>
      <c r="H263" s="23">
        <v>4.0999999999999996</v>
      </c>
      <c r="I263" s="59">
        <v>24.27</v>
      </c>
    </row>
    <row r="264" spans="2:9" ht="18" customHeight="1" x14ac:dyDescent="0.25">
      <c r="B264" s="68" t="s">
        <v>98</v>
      </c>
      <c r="C264" s="11" t="s">
        <v>321</v>
      </c>
      <c r="D264" s="5" t="s">
        <v>37</v>
      </c>
      <c r="E264" s="1" t="s">
        <v>75</v>
      </c>
      <c r="F264" s="24">
        <v>2005</v>
      </c>
      <c r="G264" s="85">
        <v>1</v>
      </c>
      <c r="H264" s="50">
        <v>24</v>
      </c>
      <c r="I264" s="60">
        <v>71</v>
      </c>
    </row>
    <row r="265" spans="2:9" ht="18" customHeight="1" x14ac:dyDescent="0.25">
      <c r="B265" s="70" t="s">
        <v>128</v>
      </c>
      <c r="C265" s="11" t="s">
        <v>322</v>
      </c>
      <c r="D265" s="11" t="s">
        <v>30</v>
      </c>
      <c r="E265" s="1" t="s">
        <v>75</v>
      </c>
      <c r="F265" s="20">
        <f>F263</f>
        <v>2011</v>
      </c>
      <c r="G265" s="85">
        <v>1</v>
      </c>
      <c r="H265" s="49">
        <v>1.59</v>
      </c>
      <c r="I265" s="60">
        <v>8.32</v>
      </c>
    </row>
    <row r="266" spans="2:9" ht="18" customHeight="1" x14ac:dyDescent="0.25">
      <c r="B266" s="68" t="s">
        <v>98</v>
      </c>
      <c r="C266" s="11" t="s">
        <v>323</v>
      </c>
      <c r="D266" s="5" t="s">
        <v>37</v>
      </c>
      <c r="E266" s="1" t="s">
        <v>72</v>
      </c>
      <c r="F266" s="21">
        <v>41088</v>
      </c>
      <c r="G266" s="85">
        <v>1</v>
      </c>
      <c r="H266" s="49">
        <v>8</v>
      </c>
      <c r="I266" s="57">
        <v>26.51</v>
      </c>
    </row>
    <row r="267" spans="2:9" ht="18" customHeight="1" x14ac:dyDescent="0.25">
      <c r="B267" s="71" t="s">
        <v>82</v>
      </c>
      <c r="C267" s="11" t="s">
        <v>324</v>
      </c>
      <c r="D267" s="12" t="s">
        <v>50</v>
      </c>
      <c r="E267" s="1" t="s">
        <v>75</v>
      </c>
      <c r="F267" s="21">
        <v>41348</v>
      </c>
      <c r="G267" s="85">
        <v>1</v>
      </c>
      <c r="H267" s="49">
        <v>11.143000000000001</v>
      </c>
      <c r="I267" s="57">
        <v>44.29</v>
      </c>
    </row>
    <row r="268" spans="2:9" s="39" customFormat="1" ht="18" customHeight="1" x14ac:dyDescent="0.25">
      <c r="B268" s="70" t="s">
        <v>95</v>
      </c>
      <c r="C268" s="11" t="s">
        <v>325</v>
      </c>
      <c r="D268" s="11" t="s">
        <v>4</v>
      </c>
      <c r="E268" s="1" t="s">
        <v>72</v>
      </c>
      <c r="F268" s="20">
        <v>2013</v>
      </c>
      <c r="G268" s="85">
        <v>1</v>
      </c>
      <c r="H268" s="49">
        <v>191.28</v>
      </c>
      <c r="I268" s="57">
        <v>766</v>
      </c>
    </row>
    <row r="269" spans="2:9" ht="18" customHeight="1" x14ac:dyDescent="0.25">
      <c r="B269" s="70" t="s">
        <v>89</v>
      </c>
      <c r="C269" s="11" t="s">
        <v>326</v>
      </c>
      <c r="D269" s="11" t="s">
        <v>19</v>
      </c>
      <c r="E269" s="1" t="s">
        <v>75</v>
      </c>
      <c r="F269" s="20">
        <v>2005</v>
      </c>
      <c r="G269" s="85">
        <v>1</v>
      </c>
      <c r="H269" s="49">
        <v>14.61</v>
      </c>
      <c r="I269" s="60">
        <v>50</v>
      </c>
    </row>
    <row r="270" spans="2:9" ht="18" customHeight="1" x14ac:dyDescent="0.25">
      <c r="B270" s="75" t="s">
        <v>139</v>
      </c>
      <c r="C270" s="22" t="s">
        <v>538</v>
      </c>
      <c r="D270" s="22" t="s">
        <v>31</v>
      </c>
      <c r="E270" s="1" t="s">
        <v>75</v>
      </c>
      <c r="F270" s="21">
        <v>41094</v>
      </c>
      <c r="G270" s="85">
        <v>1</v>
      </c>
      <c r="H270" s="49">
        <v>38.6</v>
      </c>
      <c r="I270" s="60">
        <v>105</v>
      </c>
    </row>
    <row r="271" spans="2:9" ht="18" customHeight="1" x14ac:dyDescent="0.25">
      <c r="B271" s="67" t="s">
        <v>118</v>
      </c>
      <c r="C271" s="11" t="s">
        <v>452</v>
      </c>
      <c r="D271" s="1" t="s">
        <v>27</v>
      </c>
      <c r="E271" s="1" t="s">
        <v>75</v>
      </c>
      <c r="F271" s="20">
        <v>2009</v>
      </c>
      <c r="G271" s="85">
        <v>1</v>
      </c>
      <c r="H271" s="49">
        <v>5.76</v>
      </c>
      <c r="I271" s="57">
        <v>25</v>
      </c>
    </row>
    <row r="272" spans="2:9" ht="18" customHeight="1" x14ac:dyDescent="0.25">
      <c r="B272" s="74" t="s">
        <v>122</v>
      </c>
      <c r="C272" s="11" t="s">
        <v>327</v>
      </c>
      <c r="D272" s="19" t="s">
        <v>26</v>
      </c>
      <c r="E272" s="1" t="s">
        <v>75</v>
      </c>
      <c r="F272" s="20">
        <v>2007</v>
      </c>
      <c r="G272" s="85">
        <v>1</v>
      </c>
      <c r="H272" s="49">
        <v>5.375</v>
      </c>
      <c r="I272" s="60">
        <v>31.68</v>
      </c>
    </row>
    <row r="273" spans="2:9" ht="18" customHeight="1" x14ac:dyDescent="0.25">
      <c r="B273" s="67" t="s">
        <v>121</v>
      </c>
      <c r="C273" s="11" t="s">
        <v>328</v>
      </c>
      <c r="D273" s="1" t="s">
        <v>47</v>
      </c>
      <c r="E273" s="1" t="s">
        <v>75</v>
      </c>
      <c r="F273" s="20">
        <v>2008</v>
      </c>
      <c r="G273" s="85">
        <v>1</v>
      </c>
      <c r="H273" s="49">
        <v>8.6739999999999995</v>
      </c>
      <c r="I273" s="60">
        <v>25.015000000000001</v>
      </c>
    </row>
    <row r="274" spans="2:9" ht="18" customHeight="1" x14ac:dyDescent="0.25">
      <c r="B274" s="69" t="s">
        <v>113</v>
      </c>
      <c r="C274" s="11" t="s">
        <v>329</v>
      </c>
      <c r="D274" s="8" t="s">
        <v>64</v>
      </c>
      <c r="E274" s="1" t="s">
        <v>75</v>
      </c>
      <c r="F274" s="21">
        <v>41449</v>
      </c>
      <c r="G274" s="85">
        <v>1</v>
      </c>
      <c r="H274" s="49">
        <v>15.497999999999999</v>
      </c>
      <c r="I274" s="60">
        <v>52.98</v>
      </c>
    </row>
    <row r="275" spans="2:9" ht="18" customHeight="1" x14ac:dyDescent="0.25">
      <c r="B275" s="70" t="s">
        <v>92</v>
      </c>
      <c r="C275" s="11" t="s">
        <v>330</v>
      </c>
      <c r="D275" s="11" t="s">
        <v>39</v>
      </c>
      <c r="E275" s="1" t="s">
        <v>75</v>
      </c>
      <c r="F275" s="20">
        <f>F273</f>
        <v>2008</v>
      </c>
      <c r="G275" s="85">
        <v>1</v>
      </c>
      <c r="H275" s="49">
        <v>28</v>
      </c>
      <c r="I275" s="60">
        <v>123</v>
      </c>
    </row>
    <row r="276" spans="2:9" ht="18" customHeight="1" x14ac:dyDescent="0.25">
      <c r="B276" s="68" t="s">
        <v>98</v>
      </c>
      <c r="C276" s="11" t="s">
        <v>453</v>
      </c>
      <c r="D276" s="5" t="s">
        <v>37</v>
      </c>
      <c r="E276" s="1" t="s">
        <v>75</v>
      </c>
      <c r="F276" s="26">
        <v>2011</v>
      </c>
      <c r="G276" s="85">
        <v>1</v>
      </c>
      <c r="H276" s="23">
        <v>4.6093999999999999</v>
      </c>
      <c r="I276" s="59">
        <v>16.100000000000001</v>
      </c>
    </row>
    <row r="277" spans="2:9" ht="18" customHeight="1" x14ac:dyDescent="0.25">
      <c r="B277" s="75" t="s">
        <v>139</v>
      </c>
      <c r="C277" s="11" t="s">
        <v>331</v>
      </c>
      <c r="D277" s="22" t="s">
        <v>31</v>
      </c>
      <c r="E277" s="1" t="s">
        <v>75</v>
      </c>
      <c r="F277" s="20">
        <v>2011</v>
      </c>
      <c r="G277" s="85">
        <v>1</v>
      </c>
      <c r="H277" s="23">
        <v>9.74</v>
      </c>
      <c r="I277" s="59">
        <v>41</v>
      </c>
    </row>
    <row r="278" spans="2:9" ht="18" customHeight="1" x14ac:dyDescent="0.25">
      <c r="B278" s="67" t="s">
        <v>127</v>
      </c>
      <c r="C278" s="11" t="s">
        <v>332</v>
      </c>
      <c r="D278" s="1" t="s">
        <v>33</v>
      </c>
      <c r="E278" s="1" t="s">
        <v>75</v>
      </c>
      <c r="F278" s="21">
        <v>41136</v>
      </c>
      <c r="G278" s="85">
        <v>1</v>
      </c>
      <c r="H278" s="23">
        <v>16.86</v>
      </c>
      <c r="I278" s="59">
        <v>61.917999999999999</v>
      </c>
    </row>
    <row r="279" spans="2:9" s="39" customFormat="1" ht="18" customHeight="1" x14ac:dyDescent="0.25">
      <c r="B279" s="70" t="s">
        <v>95</v>
      </c>
      <c r="C279" s="11" t="s">
        <v>333</v>
      </c>
      <c r="D279" s="11" t="s">
        <v>4</v>
      </c>
      <c r="E279" s="1" t="s">
        <v>75</v>
      </c>
      <c r="F279" s="21">
        <v>41389</v>
      </c>
      <c r="G279" s="85">
        <v>1</v>
      </c>
      <c r="H279" s="23">
        <v>23.8</v>
      </c>
      <c r="I279" s="59">
        <v>72.293999999999997</v>
      </c>
    </row>
    <row r="280" spans="2:9" ht="21" customHeight="1" x14ac:dyDescent="0.25">
      <c r="B280" s="70" t="s">
        <v>134</v>
      </c>
      <c r="C280" s="11" t="s">
        <v>539</v>
      </c>
      <c r="D280" s="11" t="s">
        <v>44</v>
      </c>
      <c r="E280" s="1" t="s">
        <v>75</v>
      </c>
      <c r="F280" s="20">
        <f>F277</f>
        <v>2011</v>
      </c>
      <c r="G280" s="85">
        <v>1</v>
      </c>
      <c r="H280" s="49">
        <v>0.38</v>
      </c>
      <c r="I280" s="60">
        <v>1.44</v>
      </c>
    </row>
    <row r="281" spans="2:9" ht="18" customHeight="1" x14ac:dyDescent="0.25">
      <c r="B281" s="70" t="s">
        <v>144</v>
      </c>
      <c r="C281" s="11" t="s">
        <v>334</v>
      </c>
      <c r="D281" s="11" t="s">
        <v>59</v>
      </c>
      <c r="E281" s="1" t="s">
        <v>75</v>
      </c>
      <c r="F281" s="21">
        <v>41596</v>
      </c>
      <c r="G281" s="85">
        <v>1</v>
      </c>
      <c r="H281" s="49">
        <v>46.11</v>
      </c>
      <c r="I281" s="60">
        <v>150.61000000000001</v>
      </c>
    </row>
    <row r="282" spans="2:9" ht="18" customHeight="1" x14ac:dyDescent="0.25">
      <c r="B282" s="75" t="s">
        <v>139</v>
      </c>
      <c r="C282" s="11" t="s">
        <v>335</v>
      </c>
      <c r="D282" s="22" t="s">
        <v>31</v>
      </c>
      <c r="E282" s="1" t="s">
        <v>75</v>
      </c>
      <c r="F282" s="21">
        <v>41334</v>
      </c>
      <c r="G282" s="85">
        <v>1</v>
      </c>
      <c r="H282" s="49">
        <v>25.04</v>
      </c>
      <c r="I282" s="60">
        <v>74.92</v>
      </c>
    </row>
    <row r="283" spans="2:9" ht="18" customHeight="1" x14ac:dyDescent="0.25">
      <c r="B283" s="67" t="s">
        <v>129</v>
      </c>
      <c r="C283" s="11" t="s">
        <v>336</v>
      </c>
      <c r="D283" s="1" t="s">
        <v>5</v>
      </c>
      <c r="E283" s="22" t="s">
        <v>74</v>
      </c>
      <c r="F283" s="26">
        <v>2011</v>
      </c>
      <c r="G283" s="85">
        <v>1</v>
      </c>
      <c r="H283" s="23">
        <v>3.03</v>
      </c>
      <c r="I283" s="59">
        <v>22</v>
      </c>
    </row>
    <row r="284" spans="2:9" ht="18" customHeight="1" x14ac:dyDescent="0.25">
      <c r="B284" s="71" t="s">
        <v>104</v>
      </c>
      <c r="C284" s="11" t="s">
        <v>220</v>
      </c>
      <c r="D284" s="12" t="s">
        <v>61</v>
      </c>
      <c r="E284" s="1" t="s">
        <v>75</v>
      </c>
      <c r="F284" s="24">
        <v>2009</v>
      </c>
      <c r="G284" s="85">
        <v>1</v>
      </c>
      <c r="H284" s="50">
        <v>63</v>
      </c>
      <c r="I284" s="60">
        <v>330</v>
      </c>
    </row>
    <row r="285" spans="2:9" ht="18" customHeight="1" x14ac:dyDescent="0.25">
      <c r="B285" s="68" t="s">
        <v>98</v>
      </c>
      <c r="C285" s="11" t="s">
        <v>454</v>
      </c>
      <c r="D285" s="5" t="s">
        <v>37</v>
      </c>
      <c r="E285" s="1" t="s">
        <v>75</v>
      </c>
      <c r="F285" s="20">
        <v>2009</v>
      </c>
      <c r="G285" s="85">
        <v>1</v>
      </c>
      <c r="H285" s="49">
        <v>4.4000000000000004</v>
      </c>
      <c r="I285" s="57">
        <v>13.34</v>
      </c>
    </row>
    <row r="286" spans="2:9" s="39" customFormat="1" ht="18" customHeight="1" x14ac:dyDescent="0.25">
      <c r="B286" s="70" t="s">
        <v>95</v>
      </c>
      <c r="C286" s="22" t="s">
        <v>337</v>
      </c>
      <c r="D286" s="11" t="s">
        <v>4</v>
      </c>
      <c r="E286" s="1" t="s">
        <v>75</v>
      </c>
      <c r="F286" s="20">
        <f>F285</f>
        <v>2009</v>
      </c>
      <c r="G286" s="85">
        <v>1</v>
      </c>
      <c r="H286" s="49">
        <v>4.6760000000000002</v>
      </c>
      <c r="I286" s="60">
        <v>10</v>
      </c>
    </row>
    <row r="287" spans="2:9" ht="18" customHeight="1" x14ac:dyDescent="0.25">
      <c r="B287" s="72" t="s">
        <v>93</v>
      </c>
      <c r="C287" s="11" t="s">
        <v>338</v>
      </c>
      <c r="D287" s="14" t="s">
        <v>8</v>
      </c>
      <c r="E287" s="1" t="s">
        <v>75</v>
      </c>
      <c r="F287" s="20">
        <v>2011</v>
      </c>
      <c r="G287" s="85">
        <v>1</v>
      </c>
      <c r="H287" s="49">
        <v>9.2650000000000006</v>
      </c>
      <c r="I287" s="57">
        <v>41</v>
      </c>
    </row>
    <row r="288" spans="2:9" ht="18" customHeight="1" x14ac:dyDescent="0.25">
      <c r="B288" s="71" t="s">
        <v>136</v>
      </c>
      <c r="C288" s="22" t="s">
        <v>339</v>
      </c>
      <c r="D288" s="12" t="s">
        <v>25</v>
      </c>
      <c r="E288" s="1" t="s">
        <v>75</v>
      </c>
      <c r="F288" s="21">
        <v>41003</v>
      </c>
      <c r="G288" s="85">
        <v>1</v>
      </c>
      <c r="H288" s="23">
        <v>8.0239999999999991</v>
      </c>
      <c r="I288" s="60">
        <v>30</v>
      </c>
    </row>
    <row r="289" spans="2:9" s="39" customFormat="1" ht="18" customHeight="1" x14ac:dyDescent="0.25">
      <c r="B289" s="70" t="s">
        <v>95</v>
      </c>
      <c r="C289" s="22" t="s">
        <v>455</v>
      </c>
      <c r="D289" s="11" t="s">
        <v>4</v>
      </c>
      <c r="E289" s="1" t="s">
        <v>72</v>
      </c>
      <c r="F289" s="21">
        <v>41324</v>
      </c>
      <c r="G289" s="85">
        <v>1</v>
      </c>
      <c r="H289" s="23">
        <v>155.85</v>
      </c>
      <c r="I289" s="60">
        <v>378.38</v>
      </c>
    </row>
    <row r="290" spans="2:9" ht="18" customHeight="1" x14ac:dyDescent="0.25">
      <c r="B290" s="70" t="s">
        <v>89</v>
      </c>
      <c r="C290" s="11" t="s">
        <v>456</v>
      </c>
      <c r="D290" s="11" t="s">
        <v>19</v>
      </c>
      <c r="E290" s="1" t="s">
        <v>72</v>
      </c>
      <c r="F290" s="20">
        <v>2012</v>
      </c>
      <c r="G290" s="85">
        <v>1</v>
      </c>
      <c r="H290" s="23">
        <v>74.849999999999994</v>
      </c>
      <c r="I290" s="59">
        <v>203</v>
      </c>
    </row>
    <row r="291" spans="2:9" ht="18" customHeight="1" x14ac:dyDescent="0.25">
      <c r="B291" s="70" t="s">
        <v>116</v>
      </c>
      <c r="C291" s="11" t="s">
        <v>340</v>
      </c>
      <c r="D291" s="11" t="s">
        <v>32</v>
      </c>
      <c r="E291" s="1" t="s">
        <v>75</v>
      </c>
      <c r="F291" s="21">
        <v>41467</v>
      </c>
      <c r="G291" s="85">
        <v>1</v>
      </c>
      <c r="H291" s="23">
        <v>14.66</v>
      </c>
      <c r="I291" s="59">
        <v>60</v>
      </c>
    </row>
    <row r="292" spans="2:9" ht="18" customHeight="1" x14ac:dyDescent="0.25">
      <c r="B292" s="68" t="s">
        <v>98</v>
      </c>
      <c r="C292" s="11" t="s">
        <v>341</v>
      </c>
      <c r="D292" s="5" t="s">
        <v>37</v>
      </c>
      <c r="E292" s="1" t="s">
        <v>75</v>
      </c>
      <c r="F292" s="26">
        <v>2011</v>
      </c>
      <c r="G292" s="85">
        <v>1</v>
      </c>
      <c r="H292" s="23">
        <v>1.07</v>
      </c>
      <c r="I292" s="59">
        <v>4.5999999999999996</v>
      </c>
    </row>
    <row r="293" spans="2:9" ht="18" customHeight="1" x14ac:dyDescent="0.25">
      <c r="B293" s="70" t="s">
        <v>130</v>
      </c>
      <c r="C293" s="11" t="s">
        <v>342</v>
      </c>
      <c r="D293" s="11" t="s">
        <v>24</v>
      </c>
      <c r="E293" s="1" t="s">
        <v>75</v>
      </c>
      <c r="F293" s="20">
        <v>2011</v>
      </c>
      <c r="G293" s="85">
        <v>1</v>
      </c>
      <c r="H293" s="49">
        <v>22.92</v>
      </c>
      <c r="I293" s="60">
        <v>78</v>
      </c>
    </row>
    <row r="294" spans="2:9" ht="18" customHeight="1" x14ac:dyDescent="0.25">
      <c r="B294" s="70" t="s">
        <v>130</v>
      </c>
      <c r="C294" s="11" t="s">
        <v>540</v>
      </c>
      <c r="D294" s="11" t="s">
        <v>24</v>
      </c>
      <c r="E294" s="1" t="s">
        <v>75</v>
      </c>
      <c r="F294" s="20">
        <v>2010</v>
      </c>
      <c r="G294" s="85">
        <v>1</v>
      </c>
      <c r="H294" s="49">
        <v>12.298999999999999</v>
      </c>
      <c r="I294" s="57">
        <v>36</v>
      </c>
    </row>
    <row r="295" spans="2:9" ht="18" customHeight="1" x14ac:dyDescent="0.25">
      <c r="B295" s="67" t="s">
        <v>109</v>
      </c>
      <c r="C295" s="11" t="s">
        <v>343</v>
      </c>
      <c r="D295" s="1" t="s">
        <v>58</v>
      </c>
      <c r="E295" s="1" t="s">
        <v>75</v>
      </c>
      <c r="F295" s="26">
        <v>2011</v>
      </c>
      <c r="G295" s="85">
        <v>1</v>
      </c>
      <c r="H295" s="23">
        <v>17.5</v>
      </c>
      <c r="I295" s="59">
        <v>97.7</v>
      </c>
    </row>
    <row r="296" spans="2:9" s="39" customFormat="1" ht="18" customHeight="1" x14ac:dyDescent="0.25">
      <c r="B296" s="70" t="s">
        <v>95</v>
      </c>
      <c r="C296" s="11" t="s">
        <v>457</v>
      </c>
      <c r="D296" s="11" t="s">
        <v>4</v>
      </c>
      <c r="E296" s="1" t="s">
        <v>72</v>
      </c>
      <c r="F296" s="25">
        <v>41487</v>
      </c>
      <c r="G296" s="85">
        <v>1</v>
      </c>
      <c r="H296" s="23">
        <v>20</v>
      </c>
      <c r="I296" s="59">
        <v>120.215</v>
      </c>
    </row>
    <row r="297" spans="2:9" ht="18" customHeight="1" x14ac:dyDescent="0.25">
      <c r="B297" s="72" t="s">
        <v>93</v>
      </c>
      <c r="C297" s="22" t="s">
        <v>344</v>
      </c>
      <c r="D297" s="14" t="s">
        <v>8</v>
      </c>
      <c r="E297" s="1" t="s">
        <v>75</v>
      </c>
      <c r="F297" s="20">
        <v>2011</v>
      </c>
      <c r="G297" s="85">
        <v>1</v>
      </c>
      <c r="H297" s="49">
        <v>12.045999999999999</v>
      </c>
      <c r="I297" s="57">
        <v>47.56</v>
      </c>
    </row>
    <row r="298" spans="2:9" s="39" customFormat="1" ht="18" customHeight="1" x14ac:dyDescent="0.25">
      <c r="B298" s="71" t="s">
        <v>96</v>
      </c>
      <c r="C298" s="11" t="s">
        <v>541</v>
      </c>
      <c r="D298" s="12" t="s">
        <v>49</v>
      </c>
      <c r="E298" s="1" t="s">
        <v>75</v>
      </c>
      <c r="F298" s="20">
        <v>2009</v>
      </c>
      <c r="G298" s="85">
        <v>1</v>
      </c>
      <c r="H298" s="49">
        <v>35.258000000000003</v>
      </c>
      <c r="I298" s="57">
        <v>120</v>
      </c>
    </row>
    <row r="299" spans="2:9" ht="18" customHeight="1" x14ac:dyDescent="0.25">
      <c r="B299" s="69" t="s">
        <v>113</v>
      </c>
      <c r="C299" s="11" t="s">
        <v>345</v>
      </c>
      <c r="D299" s="8" t="s">
        <v>64</v>
      </c>
      <c r="E299" s="1" t="s">
        <v>75</v>
      </c>
      <c r="F299" s="20">
        <v>2013</v>
      </c>
      <c r="G299" s="85">
        <v>1</v>
      </c>
      <c r="H299" s="49">
        <v>11.39</v>
      </c>
      <c r="I299" s="57">
        <v>40</v>
      </c>
    </row>
    <row r="300" spans="2:9" s="39" customFormat="1" ht="18" customHeight="1" x14ac:dyDescent="0.25">
      <c r="B300" s="70" t="s">
        <v>95</v>
      </c>
      <c r="C300" s="11" t="s">
        <v>458</v>
      </c>
      <c r="D300" s="11" t="s">
        <v>4</v>
      </c>
      <c r="E300" s="1" t="s">
        <v>72</v>
      </c>
      <c r="F300" s="20">
        <v>2011</v>
      </c>
      <c r="G300" s="85">
        <v>1</v>
      </c>
      <c r="H300" s="23">
        <v>89.42</v>
      </c>
      <c r="I300" s="59">
        <v>203.14</v>
      </c>
    </row>
    <row r="301" spans="2:9" s="39" customFormat="1" ht="18" customHeight="1" x14ac:dyDescent="0.25">
      <c r="B301" s="70" t="s">
        <v>95</v>
      </c>
      <c r="C301" s="11" t="s">
        <v>459</v>
      </c>
      <c r="D301" s="11" t="s">
        <v>4</v>
      </c>
      <c r="E301" s="1" t="s">
        <v>75</v>
      </c>
      <c r="F301" s="20">
        <v>2006</v>
      </c>
      <c r="G301" s="85">
        <v>1</v>
      </c>
      <c r="H301" s="49">
        <v>49.6</v>
      </c>
      <c r="I301" s="57">
        <v>163</v>
      </c>
    </row>
    <row r="302" spans="2:9" ht="18" customHeight="1" x14ac:dyDescent="0.25">
      <c r="B302" s="70" t="s">
        <v>142</v>
      </c>
      <c r="C302" s="11" t="s">
        <v>460</v>
      </c>
      <c r="D302" s="11" t="s">
        <v>9</v>
      </c>
      <c r="E302" s="1" t="s">
        <v>75</v>
      </c>
      <c r="F302" s="20">
        <v>2012</v>
      </c>
      <c r="G302" s="85">
        <v>1</v>
      </c>
      <c r="H302" s="49">
        <v>11.157</v>
      </c>
      <c r="I302" s="57">
        <v>40</v>
      </c>
    </row>
    <row r="303" spans="2:9" ht="18" customHeight="1" x14ac:dyDescent="0.25">
      <c r="B303" s="67" t="s">
        <v>112</v>
      </c>
      <c r="C303" s="11" t="s">
        <v>461</v>
      </c>
      <c r="D303" s="1" t="s">
        <v>6</v>
      </c>
      <c r="E303" s="1" t="s">
        <v>75</v>
      </c>
      <c r="F303" s="20">
        <v>2012</v>
      </c>
      <c r="G303" s="85">
        <v>1</v>
      </c>
      <c r="H303" s="30">
        <v>32.548000000000002</v>
      </c>
      <c r="I303" s="63">
        <v>125</v>
      </c>
    </row>
    <row r="304" spans="2:9" ht="18" customHeight="1" x14ac:dyDescent="0.25">
      <c r="B304" s="71" t="s">
        <v>103</v>
      </c>
      <c r="C304" s="11" t="s">
        <v>346</v>
      </c>
      <c r="D304" s="12" t="s">
        <v>42</v>
      </c>
      <c r="E304" s="1" t="s">
        <v>75</v>
      </c>
      <c r="F304" s="20">
        <v>2001</v>
      </c>
      <c r="G304" s="85">
        <v>1</v>
      </c>
      <c r="H304" s="49">
        <v>3.2</v>
      </c>
      <c r="I304" s="57">
        <v>12.5</v>
      </c>
    </row>
    <row r="305" spans="2:9" ht="18" customHeight="1" x14ac:dyDescent="0.25">
      <c r="B305" s="70" t="s">
        <v>116</v>
      </c>
      <c r="C305" s="11" t="s">
        <v>542</v>
      </c>
      <c r="D305" s="11" t="s">
        <v>32</v>
      </c>
      <c r="E305" s="1" t="s">
        <v>75</v>
      </c>
      <c r="F305" s="21">
        <v>41354</v>
      </c>
      <c r="G305" s="85">
        <v>1</v>
      </c>
      <c r="H305" s="49">
        <v>6.63</v>
      </c>
      <c r="I305" s="57">
        <v>30</v>
      </c>
    </row>
    <row r="306" spans="2:9" ht="22.5" customHeight="1" x14ac:dyDescent="0.25">
      <c r="B306" s="67" t="s">
        <v>125</v>
      </c>
      <c r="C306" s="22" t="s">
        <v>543</v>
      </c>
      <c r="D306" s="1" t="s">
        <v>66</v>
      </c>
      <c r="E306" s="1" t="s">
        <v>75</v>
      </c>
      <c r="F306" s="26">
        <v>2011</v>
      </c>
      <c r="G306" s="85">
        <v>1</v>
      </c>
      <c r="H306" s="23">
        <v>41.454000000000001</v>
      </c>
      <c r="I306" s="59">
        <v>170</v>
      </c>
    </row>
    <row r="307" spans="2:9" ht="18" customHeight="1" x14ac:dyDescent="0.25">
      <c r="B307" s="67" t="s">
        <v>129</v>
      </c>
      <c r="C307" s="22" t="s">
        <v>544</v>
      </c>
      <c r="D307" s="1" t="s">
        <v>5</v>
      </c>
      <c r="E307" s="1" t="s">
        <v>75</v>
      </c>
      <c r="F307" s="26">
        <v>2012</v>
      </c>
      <c r="G307" s="85">
        <v>1</v>
      </c>
      <c r="H307" s="50">
        <v>35.630000000000003</v>
      </c>
      <c r="I307" s="59">
        <v>151</v>
      </c>
    </row>
    <row r="308" spans="2:9" ht="18" customHeight="1" x14ac:dyDescent="0.25">
      <c r="B308" s="75" t="s">
        <v>139</v>
      </c>
      <c r="C308" s="11" t="s">
        <v>462</v>
      </c>
      <c r="D308" s="22" t="s">
        <v>31</v>
      </c>
      <c r="E308" s="1" t="s">
        <v>75</v>
      </c>
      <c r="F308" s="20">
        <v>2011</v>
      </c>
      <c r="G308" s="85">
        <v>1</v>
      </c>
      <c r="H308" s="49">
        <v>37.700000000000003</v>
      </c>
      <c r="I308" s="57">
        <v>130</v>
      </c>
    </row>
    <row r="309" spans="2:9" ht="18" customHeight="1" x14ac:dyDescent="0.25">
      <c r="B309" s="69" t="s">
        <v>115</v>
      </c>
      <c r="C309" s="11" t="s">
        <v>347</v>
      </c>
      <c r="D309" s="8" t="s">
        <v>10</v>
      </c>
      <c r="E309" s="1" t="s">
        <v>75</v>
      </c>
      <c r="F309" s="24">
        <v>2010</v>
      </c>
      <c r="G309" s="85">
        <v>1</v>
      </c>
      <c r="H309" s="50">
        <v>24.2</v>
      </c>
      <c r="I309" s="57">
        <v>67</v>
      </c>
    </row>
    <row r="310" spans="2:9" ht="18" customHeight="1" x14ac:dyDescent="0.25">
      <c r="B310" s="71" t="s">
        <v>104</v>
      </c>
      <c r="C310" s="11" t="s">
        <v>545</v>
      </c>
      <c r="D310" s="12" t="s">
        <v>61</v>
      </c>
      <c r="E310" s="1" t="s">
        <v>72</v>
      </c>
      <c r="F310" s="20">
        <f>F309</f>
        <v>2010</v>
      </c>
      <c r="G310" s="85">
        <v>1</v>
      </c>
      <c r="H310" s="49">
        <v>8.68</v>
      </c>
      <c r="I310" s="60">
        <v>41</v>
      </c>
    </row>
    <row r="311" spans="2:9" ht="18" customHeight="1" x14ac:dyDescent="0.25">
      <c r="B311" s="67" t="s">
        <v>120</v>
      </c>
      <c r="C311" s="11" t="s">
        <v>348</v>
      </c>
      <c r="D311" s="1" t="s">
        <v>40</v>
      </c>
      <c r="E311" s="1" t="s">
        <v>75</v>
      </c>
      <c r="F311" s="20">
        <f>F310</f>
        <v>2010</v>
      </c>
      <c r="G311" s="85">
        <v>1</v>
      </c>
      <c r="H311" s="49">
        <v>30.6</v>
      </c>
      <c r="I311" s="60">
        <v>111.72</v>
      </c>
    </row>
    <row r="312" spans="2:9" ht="18" customHeight="1" x14ac:dyDescent="0.25">
      <c r="B312" s="70" t="s">
        <v>110</v>
      </c>
      <c r="C312" s="11" t="s">
        <v>349</v>
      </c>
      <c r="D312" s="11" t="s">
        <v>63</v>
      </c>
      <c r="E312" s="1" t="s">
        <v>75</v>
      </c>
      <c r="F312" s="21">
        <v>41068</v>
      </c>
      <c r="G312" s="85">
        <v>1</v>
      </c>
      <c r="H312" s="49">
        <v>40.15</v>
      </c>
      <c r="I312" s="58">
        <v>248</v>
      </c>
    </row>
    <row r="313" spans="2:9" ht="18" customHeight="1" x14ac:dyDescent="0.25">
      <c r="B313" s="75" t="s">
        <v>114</v>
      </c>
      <c r="C313" s="11" t="s">
        <v>350</v>
      </c>
      <c r="D313" s="22" t="s">
        <v>54</v>
      </c>
      <c r="E313" s="1" t="s">
        <v>75</v>
      </c>
      <c r="F313" s="21">
        <v>41591</v>
      </c>
      <c r="G313" s="85">
        <v>1</v>
      </c>
      <c r="H313" s="49">
        <v>42</v>
      </c>
      <c r="I313" s="58">
        <v>146</v>
      </c>
    </row>
    <row r="314" spans="2:9" ht="18" customHeight="1" x14ac:dyDescent="0.25">
      <c r="B314" s="69" t="s">
        <v>113</v>
      </c>
      <c r="C314" s="11" t="s">
        <v>351</v>
      </c>
      <c r="D314" s="8" t="s">
        <v>64</v>
      </c>
      <c r="E314" s="1" t="s">
        <v>75</v>
      </c>
      <c r="F314" s="21">
        <v>41571</v>
      </c>
      <c r="G314" s="85">
        <v>1</v>
      </c>
      <c r="H314" s="49">
        <v>12.9</v>
      </c>
      <c r="I314" s="58">
        <v>39.61</v>
      </c>
    </row>
    <row r="315" spans="2:9" ht="18" customHeight="1" x14ac:dyDescent="0.25">
      <c r="B315" s="67" t="s">
        <v>112</v>
      </c>
      <c r="C315" s="11" t="s">
        <v>352</v>
      </c>
      <c r="D315" s="1" t="s">
        <v>6</v>
      </c>
      <c r="E315" s="1" t="s">
        <v>75</v>
      </c>
      <c r="F315" s="21">
        <v>41310</v>
      </c>
      <c r="G315" s="85">
        <v>1</v>
      </c>
      <c r="H315" s="49">
        <v>9.0299999999999994</v>
      </c>
      <c r="I315" s="58">
        <v>31</v>
      </c>
    </row>
    <row r="316" spans="2:9" s="39" customFormat="1" ht="18" customHeight="1" x14ac:dyDescent="0.25">
      <c r="B316" s="71" t="s">
        <v>96</v>
      </c>
      <c r="C316" s="11" t="s">
        <v>353</v>
      </c>
      <c r="D316" s="12" t="s">
        <v>49</v>
      </c>
      <c r="E316" s="1" t="s">
        <v>75</v>
      </c>
      <c r="F316" s="26">
        <v>2011</v>
      </c>
      <c r="G316" s="85">
        <v>1</v>
      </c>
      <c r="H316" s="23">
        <v>47.7</v>
      </c>
      <c r="I316" s="59">
        <v>224</v>
      </c>
    </row>
    <row r="317" spans="2:9" ht="18" customHeight="1" x14ac:dyDescent="0.25">
      <c r="B317" s="67" t="s">
        <v>86</v>
      </c>
      <c r="C317" s="11" t="s">
        <v>354</v>
      </c>
      <c r="D317" s="1" t="s">
        <v>20</v>
      </c>
      <c r="E317" s="1" t="s">
        <v>75</v>
      </c>
      <c r="F317" s="25">
        <v>41522</v>
      </c>
      <c r="G317" s="85">
        <v>1</v>
      </c>
      <c r="H317" s="23">
        <v>1.9</v>
      </c>
      <c r="I317" s="59">
        <v>8.08</v>
      </c>
    </row>
    <row r="318" spans="2:9" ht="18" customHeight="1" x14ac:dyDescent="0.25">
      <c r="B318" s="75" t="s">
        <v>139</v>
      </c>
      <c r="C318" s="11" t="s">
        <v>355</v>
      </c>
      <c r="D318" s="22" t="s">
        <v>31</v>
      </c>
      <c r="E318" s="1" t="s">
        <v>75</v>
      </c>
      <c r="F318" s="26">
        <v>2011</v>
      </c>
      <c r="G318" s="85">
        <v>1</v>
      </c>
      <c r="H318" s="23">
        <v>26.579000000000001</v>
      </c>
      <c r="I318" s="59">
        <v>85</v>
      </c>
    </row>
    <row r="319" spans="2:9" ht="18" customHeight="1" x14ac:dyDescent="0.25">
      <c r="B319" s="69" t="s">
        <v>117</v>
      </c>
      <c r="C319" s="11" t="s">
        <v>356</v>
      </c>
      <c r="D319" s="8" t="s">
        <v>28</v>
      </c>
      <c r="E319" s="1" t="s">
        <v>75</v>
      </c>
      <c r="F319" s="26">
        <v>2013</v>
      </c>
      <c r="G319" s="85">
        <v>1</v>
      </c>
      <c r="H319" s="23">
        <v>36.380000000000003</v>
      </c>
      <c r="I319" s="59">
        <v>83.83</v>
      </c>
    </row>
    <row r="320" spans="2:9" s="39" customFormat="1" ht="18" customHeight="1" x14ac:dyDescent="0.25">
      <c r="B320" s="71" t="s">
        <v>96</v>
      </c>
      <c r="C320" s="11" t="s">
        <v>463</v>
      </c>
      <c r="D320" s="12" t="s">
        <v>49</v>
      </c>
      <c r="E320" s="1" t="s">
        <v>75</v>
      </c>
      <c r="F320" s="20">
        <v>2004</v>
      </c>
      <c r="G320" s="85">
        <v>1</v>
      </c>
      <c r="H320" s="49">
        <v>23</v>
      </c>
      <c r="I320" s="57">
        <v>93.2</v>
      </c>
    </row>
    <row r="321" spans="2:9" ht="18" customHeight="1" x14ac:dyDescent="0.25">
      <c r="B321" s="67" t="s">
        <v>135</v>
      </c>
      <c r="C321" s="11" t="s">
        <v>357</v>
      </c>
      <c r="D321" s="1" t="s">
        <v>57</v>
      </c>
      <c r="E321" s="1" t="s">
        <v>75</v>
      </c>
      <c r="F321" s="20">
        <v>2000</v>
      </c>
      <c r="G321" s="85">
        <v>1</v>
      </c>
      <c r="H321" s="49">
        <v>9.3000000000000007</v>
      </c>
      <c r="I321" s="57">
        <v>55</v>
      </c>
    </row>
    <row r="322" spans="2:9" ht="18" customHeight="1" x14ac:dyDescent="0.25">
      <c r="B322" s="69" t="s">
        <v>115</v>
      </c>
      <c r="C322" s="22" t="s">
        <v>358</v>
      </c>
      <c r="D322" s="8" t="s">
        <v>10</v>
      </c>
      <c r="E322" s="1" t="s">
        <v>75</v>
      </c>
      <c r="F322" s="21">
        <v>41015</v>
      </c>
      <c r="G322" s="85">
        <v>1</v>
      </c>
      <c r="H322" s="50">
        <v>26.6</v>
      </c>
      <c r="I322" s="60">
        <v>64.319999999999993</v>
      </c>
    </row>
    <row r="323" spans="2:9" ht="18" customHeight="1" x14ac:dyDescent="0.25">
      <c r="B323" s="70" t="s">
        <v>89</v>
      </c>
      <c r="C323" s="11" t="s">
        <v>464</v>
      </c>
      <c r="D323" s="11" t="s">
        <v>19</v>
      </c>
      <c r="E323" s="1" t="s">
        <v>75</v>
      </c>
      <c r="F323" s="20">
        <v>2012</v>
      </c>
      <c r="G323" s="85">
        <v>1</v>
      </c>
      <c r="H323" s="49">
        <v>8.68</v>
      </c>
      <c r="I323" s="60">
        <v>34</v>
      </c>
    </row>
    <row r="324" spans="2:9" ht="18" customHeight="1" x14ac:dyDescent="0.25">
      <c r="B324" s="67" t="s">
        <v>129</v>
      </c>
      <c r="C324" s="11" t="s">
        <v>465</v>
      </c>
      <c r="D324" s="1" t="s">
        <v>5</v>
      </c>
      <c r="E324" s="1" t="s">
        <v>75</v>
      </c>
      <c r="F324" s="20">
        <v>2009</v>
      </c>
      <c r="G324" s="85">
        <v>1</v>
      </c>
      <c r="H324" s="49">
        <v>30.1</v>
      </c>
      <c r="I324" s="57">
        <v>137</v>
      </c>
    </row>
    <row r="325" spans="2:9" ht="18" customHeight="1" x14ac:dyDescent="0.25">
      <c r="B325" s="75" t="s">
        <v>111</v>
      </c>
      <c r="C325" s="11" t="s">
        <v>359</v>
      </c>
      <c r="D325" s="22" t="s">
        <v>22</v>
      </c>
      <c r="E325" s="1" t="s">
        <v>75</v>
      </c>
      <c r="F325" s="21">
        <v>41319</v>
      </c>
      <c r="G325" s="85">
        <v>1</v>
      </c>
      <c r="H325" s="49">
        <v>18.68</v>
      </c>
      <c r="I325" s="57">
        <v>150</v>
      </c>
    </row>
    <row r="326" spans="2:9" ht="18" customHeight="1" x14ac:dyDescent="0.25">
      <c r="B326" s="71" t="s">
        <v>104</v>
      </c>
      <c r="C326" s="22" t="s">
        <v>360</v>
      </c>
      <c r="D326" s="12" t="s">
        <v>61</v>
      </c>
      <c r="E326" s="1" t="s">
        <v>75</v>
      </c>
      <c r="F326" s="21">
        <v>40991</v>
      </c>
      <c r="G326" s="85">
        <v>1</v>
      </c>
      <c r="H326" s="49">
        <v>6.56</v>
      </c>
      <c r="I326" s="57">
        <v>23.36</v>
      </c>
    </row>
    <row r="327" spans="2:9" ht="18" customHeight="1" x14ac:dyDescent="0.25">
      <c r="B327" s="68" t="s">
        <v>98</v>
      </c>
      <c r="C327" s="11" t="s">
        <v>361</v>
      </c>
      <c r="D327" s="5" t="s">
        <v>37</v>
      </c>
      <c r="E327" s="1" t="s">
        <v>75</v>
      </c>
      <c r="F327" s="20">
        <v>2011</v>
      </c>
      <c r="G327" s="85">
        <v>1</v>
      </c>
      <c r="H327" s="49">
        <v>2.66</v>
      </c>
      <c r="I327" s="57">
        <v>9.98</v>
      </c>
    </row>
    <row r="328" spans="2:9" s="39" customFormat="1" ht="18" customHeight="1" x14ac:dyDescent="0.25">
      <c r="B328" s="71" t="s">
        <v>96</v>
      </c>
      <c r="C328" s="11" t="s">
        <v>362</v>
      </c>
      <c r="D328" s="12" t="s">
        <v>49</v>
      </c>
      <c r="E328" s="1" t="s">
        <v>75</v>
      </c>
      <c r="F328" s="21">
        <v>41306</v>
      </c>
      <c r="G328" s="85">
        <v>1</v>
      </c>
      <c r="H328" s="49">
        <v>1.958</v>
      </c>
      <c r="I328" s="57">
        <v>7.1</v>
      </c>
    </row>
    <row r="329" spans="2:9" ht="18" customHeight="1" x14ac:dyDescent="0.25">
      <c r="B329" s="70" t="s">
        <v>110</v>
      </c>
      <c r="C329" s="19" t="s">
        <v>546</v>
      </c>
      <c r="D329" s="11" t="s">
        <v>63</v>
      </c>
      <c r="E329" s="1" t="s">
        <v>75</v>
      </c>
      <c r="F329" s="28" t="s">
        <v>1</v>
      </c>
      <c r="G329" s="85">
        <v>1</v>
      </c>
      <c r="H329" s="27">
        <v>64.28</v>
      </c>
      <c r="I329" s="61">
        <v>450</v>
      </c>
    </row>
    <row r="330" spans="2:9" s="39" customFormat="1" ht="18" customHeight="1" x14ac:dyDescent="0.25">
      <c r="B330" s="67" t="s">
        <v>99</v>
      </c>
      <c r="C330" s="11" t="s">
        <v>547</v>
      </c>
      <c r="D330" s="1" t="s">
        <v>55</v>
      </c>
      <c r="E330" s="1" t="s">
        <v>75</v>
      </c>
      <c r="F330" s="20" t="str">
        <f>F329</f>
        <v>2009-2010</v>
      </c>
      <c r="G330" s="85">
        <v>1</v>
      </c>
      <c r="H330" s="49">
        <v>7.35</v>
      </c>
      <c r="I330" s="60">
        <v>25</v>
      </c>
    </row>
    <row r="331" spans="2:9" ht="18" customHeight="1" x14ac:dyDescent="0.25">
      <c r="B331" s="70" t="s">
        <v>123</v>
      </c>
      <c r="C331" s="11" t="s">
        <v>363</v>
      </c>
      <c r="D331" s="11" t="s">
        <v>17</v>
      </c>
      <c r="E331" s="1" t="s">
        <v>75</v>
      </c>
      <c r="F331" s="21">
        <v>41472</v>
      </c>
      <c r="G331" s="85">
        <v>1</v>
      </c>
      <c r="H331" s="49">
        <v>18.725000000000001</v>
      </c>
      <c r="I331" s="60">
        <v>55</v>
      </c>
    </row>
    <row r="332" spans="2:9" ht="18" customHeight="1" x14ac:dyDescent="0.25">
      <c r="B332" s="67" t="s">
        <v>121</v>
      </c>
      <c r="C332" s="11" t="s">
        <v>364</v>
      </c>
      <c r="D332" s="1" t="s">
        <v>47</v>
      </c>
      <c r="E332" s="1" t="s">
        <v>75</v>
      </c>
      <c r="F332" s="21">
        <v>40963</v>
      </c>
      <c r="G332" s="85">
        <v>1</v>
      </c>
      <c r="H332" s="23">
        <v>0.74</v>
      </c>
      <c r="I332" s="59">
        <v>4</v>
      </c>
    </row>
    <row r="333" spans="2:9" ht="18" customHeight="1" x14ac:dyDescent="0.25">
      <c r="B333" s="71" t="s">
        <v>104</v>
      </c>
      <c r="C333" s="11" t="s">
        <v>365</v>
      </c>
      <c r="D333" s="12" t="s">
        <v>61</v>
      </c>
      <c r="E333" s="1" t="s">
        <v>75</v>
      </c>
      <c r="F333" s="20">
        <v>2011</v>
      </c>
      <c r="G333" s="85">
        <v>1</v>
      </c>
      <c r="H333" s="23">
        <v>25.49</v>
      </c>
      <c r="I333" s="59">
        <v>101.49</v>
      </c>
    </row>
    <row r="334" spans="2:9" ht="18" customHeight="1" x14ac:dyDescent="0.25">
      <c r="B334" s="68" t="s">
        <v>98</v>
      </c>
      <c r="C334" s="11" t="s">
        <v>466</v>
      </c>
      <c r="D334" s="5" t="s">
        <v>37</v>
      </c>
      <c r="E334" s="1" t="s">
        <v>72</v>
      </c>
      <c r="F334" s="21">
        <v>41537</v>
      </c>
      <c r="G334" s="85">
        <v>1</v>
      </c>
      <c r="H334" s="23">
        <v>102.54</v>
      </c>
      <c r="I334" s="59">
        <v>282</v>
      </c>
    </row>
    <row r="335" spans="2:9" ht="18" customHeight="1" x14ac:dyDescent="0.25">
      <c r="B335" s="70" t="s">
        <v>102</v>
      </c>
      <c r="C335" s="11" t="s">
        <v>366</v>
      </c>
      <c r="D335" s="11" t="s">
        <v>52</v>
      </c>
      <c r="E335" s="1" t="s">
        <v>75</v>
      </c>
      <c r="F335" s="20">
        <v>2011</v>
      </c>
      <c r="G335" s="85">
        <v>1</v>
      </c>
      <c r="H335" s="23">
        <v>6</v>
      </c>
      <c r="I335" s="59">
        <v>23</v>
      </c>
    </row>
    <row r="336" spans="2:9" s="39" customFormat="1" ht="18" customHeight="1" x14ac:dyDescent="0.25">
      <c r="B336" s="71" t="s">
        <v>96</v>
      </c>
      <c r="C336" s="11" t="s">
        <v>367</v>
      </c>
      <c r="D336" s="12" t="s">
        <v>49</v>
      </c>
      <c r="E336" s="1" t="s">
        <v>75</v>
      </c>
      <c r="F336" s="20">
        <v>2011</v>
      </c>
      <c r="G336" s="85">
        <v>1</v>
      </c>
      <c r="H336" s="23">
        <v>8.06</v>
      </c>
      <c r="I336" s="59">
        <v>42.6</v>
      </c>
    </row>
    <row r="337" spans="2:9" ht="18" customHeight="1" x14ac:dyDescent="0.25">
      <c r="B337" s="67" t="s">
        <v>125</v>
      </c>
      <c r="C337" s="11" t="s">
        <v>368</v>
      </c>
      <c r="D337" s="1" t="s">
        <v>66</v>
      </c>
      <c r="E337" s="1" t="s">
        <v>75</v>
      </c>
      <c r="F337" s="20">
        <f>F336</f>
        <v>2011</v>
      </c>
      <c r="G337" s="85">
        <v>1</v>
      </c>
      <c r="H337" s="49">
        <v>3.31</v>
      </c>
      <c r="I337" s="60">
        <v>10.199999999999999</v>
      </c>
    </row>
    <row r="338" spans="2:9" s="39" customFormat="1" ht="18" customHeight="1" x14ac:dyDescent="0.25">
      <c r="B338" s="67" t="s">
        <v>99</v>
      </c>
      <c r="C338" s="11" t="s">
        <v>369</v>
      </c>
      <c r="D338" s="1" t="s">
        <v>55</v>
      </c>
      <c r="E338" s="1" t="s">
        <v>75</v>
      </c>
      <c r="F338" s="20">
        <v>2009</v>
      </c>
      <c r="G338" s="85">
        <v>1</v>
      </c>
      <c r="H338" s="49">
        <v>4.9000000000000004</v>
      </c>
      <c r="I338" s="57">
        <v>17</v>
      </c>
    </row>
    <row r="339" spans="2:9" ht="18" customHeight="1" x14ac:dyDescent="0.25">
      <c r="B339" s="69" t="s">
        <v>113</v>
      </c>
      <c r="C339" s="11" t="s">
        <v>370</v>
      </c>
      <c r="D339" s="8" t="s">
        <v>64</v>
      </c>
      <c r="E339" s="1" t="s">
        <v>75</v>
      </c>
      <c r="F339" s="20">
        <v>2010</v>
      </c>
      <c r="G339" s="85">
        <v>1</v>
      </c>
      <c r="H339" s="49">
        <v>20</v>
      </c>
      <c r="I339" s="57">
        <v>108.06</v>
      </c>
    </row>
    <row r="340" spans="2:9" ht="18" customHeight="1" x14ac:dyDescent="0.25">
      <c r="B340" s="69" t="s">
        <v>113</v>
      </c>
      <c r="C340" s="11" t="s">
        <v>548</v>
      </c>
      <c r="D340" s="8" t="s">
        <v>64</v>
      </c>
      <c r="E340" s="1" t="s">
        <v>75</v>
      </c>
      <c r="F340" s="20">
        <v>2010</v>
      </c>
      <c r="G340" s="85">
        <v>1</v>
      </c>
      <c r="H340" s="49">
        <v>21.58</v>
      </c>
      <c r="I340" s="57">
        <v>95.3</v>
      </c>
    </row>
    <row r="341" spans="2:9" s="39" customFormat="1" ht="18" customHeight="1" x14ac:dyDescent="0.25">
      <c r="B341" s="67" t="s">
        <v>99</v>
      </c>
      <c r="C341" s="11" t="s">
        <v>371</v>
      </c>
      <c r="D341" s="1" t="s">
        <v>55</v>
      </c>
      <c r="E341" s="1" t="s">
        <v>75</v>
      </c>
      <c r="F341" s="20">
        <v>2011</v>
      </c>
      <c r="G341" s="85">
        <v>1</v>
      </c>
      <c r="H341" s="23">
        <v>15.2</v>
      </c>
      <c r="I341" s="59">
        <v>48.3</v>
      </c>
    </row>
    <row r="342" spans="2:9" ht="18" customHeight="1" x14ac:dyDescent="0.25">
      <c r="B342" s="67" t="s">
        <v>120</v>
      </c>
      <c r="C342" s="11" t="s">
        <v>467</v>
      </c>
      <c r="D342" s="1" t="s">
        <v>40</v>
      </c>
      <c r="E342" s="1" t="s">
        <v>72</v>
      </c>
      <c r="F342" s="20">
        <v>2011</v>
      </c>
      <c r="G342" s="85">
        <v>1</v>
      </c>
      <c r="H342" s="49">
        <v>33.11</v>
      </c>
      <c r="I342" s="57">
        <v>140</v>
      </c>
    </row>
    <row r="343" spans="2:9" ht="18" customHeight="1" x14ac:dyDescent="0.25">
      <c r="B343" s="72" t="s">
        <v>140</v>
      </c>
      <c r="C343" s="11" t="s">
        <v>468</v>
      </c>
      <c r="D343" s="14" t="s">
        <v>56</v>
      </c>
      <c r="E343" s="1" t="s">
        <v>75</v>
      </c>
      <c r="F343" s="20">
        <v>2010</v>
      </c>
      <c r="G343" s="85">
        <v>1</v>
      </c>
      <c r="H343" s="49">
        <v>8.8000000000000007</v>
      </c>
      <c r="I343" s="57">
        <v>31.97</v>
      </c>
    </row>
    <row r="344" spans="2:9" ht="18" customHeight="1" x14ac:dyDescent="0.25">
      <c r="B344" s="67" t="s">
        <v>120</v>
      </c>
      <c r="C344" s="11" t="s">
        <v>372</v>
      </c>
      <c r="D344" s="1" t="s">
        <v>40</v>
      </c>
      <c r="E344" s="1" t="s">
        <v>75</v>
      </c>
      <c r="F344" s="21">
        <v>41481</v>
      </c>
      <c r="G344" s="85">
        <v>1</v>
      </c>
      <c r="H344" s="49">
        <v>21.436</v>
      </c>
      <c r="I344" s="57">
        <v>67</v>
      </c>
    </row>
    <row r="345" spans="2:9" ht="18" customHeight="1" x14ac:dyDescent="0.25">
      <c r="B345" s="74" t="s">
        <v>122</v>
      </c>
      <c r="C345" s="11" t="s">
        <v>549</v>
      </c>
      <c r="D345" s="19" t="s">
        <v>26</v>
      </c>
      <c r="E345" s="1" t="s">
        <v>72</v>
      </c>
      <c r="F345" s="20">
        <v>2008</v>
      </c>
      <c r="G345" s="85">
        <v>1</v>
      </c>
      <c r="H345" s="49">
        <v>56.84</v>
      </c>
      <c r="I345" s="57">
        <v>161</v>
      </c>
    </row>
    <row r="346" spans="2:9" ht="18" customHeight="1" x14ac:dyDescent="0.25">
      <c r="B346" s="69" t="s">
        <v>117</v>
      </c>
      <c r="C346" s="22" t="s">
        <v>373</v>
      </c>
      <c r="D346" s="8" t="s">
        <v>28</v>
      </c>
      <c r="E346" s="1" t="s">
        <v>75</v>
      </c>
      <c r="F346" s="21">
        <v>41005</v>
      </c>
      <c r="G346" s="85">
        <v>1</v>
      </c>
      <c r="H346" s="50">
        <v>18</v>
      </c>
      <c r="I346" s="60">
        <v>60</v>
      </c>
    </row>
    <row r="347" spans="2:9" ht="18" customHeight="1" x14ac:dyDescent="0.25">
      <c r="B347" s="67" t="s">
        <v>129</v>
      </c>
      <c r="C347" s="22" t="s">
        <v>469</v>
      </c>
      <c r="D347" s="1" t="s">
        <v>5</v>
      </c>
      <c r="E347" s="1" t="s">
        <v>72</v>
      </c>
      <c r="F347" s="20">
        <v>2013</v>
      </c>
      <c r="G347" s="85">
        <v>1</v>
      </c>
      <c r="H347" s="50">
        <v>27.234000000000002</v>
      </c>
      <c r="I347" s="60">
        <v>80</v>
      </c>
    </row>
    <row r="348" spans="2:9" ht="18" customHeight="1" x14ac:dyDescent="0.25">
      <c r="B348" s="70" t="s">
        <v>80</v>
      </c>
      <c r="C348" s="11" t="s">
        <v>374</v>
      </c>
      <c r="D348" s="11" t="s">
        <v>11</v>
      </c>
      <c r="E348" s="1" t="s">
        <v>75</v>
      </c>
      <c r="F348" s="20">
        <v>2009</v>
      </c>
      <c r="G348" s="85">
        <v>1</v>
      </c>
      <c r="H348" s="49">
        <v>5.85</v>
      </c>
      <c r="I348" s="57">
        <v>23.2</v>
      </c>
    </row>
    <row r="349" spans="2:9" ht="18" customHeight="1" x14ac:dyDescent="0.25">
      <c r="B349" s="75" t="s">
        <v>139</v>
      </c>
      <c r="C349" s="11" t="s">
        <v>375</v>
      </c>
      <c r="D349" s="22" t="s">
        <v>31</v>
      </c>
      <c r="E349" s="1" t="s">
        <v>75</v>
      </c>
      <c r="F349" s="21">
        <v>41229</v>
      </c>
      <c r="G349" s="85">
        <v>1</v>
      </c>
      <c r="H349" s="49">
        <v>8.9</v>
      </c>
      <c r="I349" s="57">
        <v>26</v>
      </c>
    </row>
    <row r="350" spans="2:9" ht="18" customHeight="1" x14ac:dyDescent="0.25">
      <c r="B350" s="70" t="s">
        <v>142</v>
      </c>
      <c r="C350" s="11" t="s">
        <v>550</v>
      </c>
      <c r="D350" s="11" t="s">
        <v>9</v>
      </c>
      <c r="E350" s="1" t="s">
        <v>75</v>
      </c>
      <c r="F350" s="20">
        <v>2011</v>
      </c>
      <c r="G350" s="85">
        <v>1</v>
      </c>
      <c r="H350" s="49">
        <v>6.13</v>
      </c>
      <c r="I350" s="60">
        <v>22.32</v>
      </c>
    </row>
    <row r="351" spans="2:9" ht="18" customHeight="1" x14ac:dyDescent="0.25">
      <c r="B351" s="72" t="s">
        <v>93</v>
      </c>
      <c r="C351" s="11" t="s">
        <v>470</v>
      </c>
      <c r="D351" s="14" t="s">
        <v>8</v>
      </c>
      <c r="E351" s="1" t="s">
        <v>75</v>
      </c>
      <c r="F351" s="20">
        <v>2006</v>
      </c>
      <c r="G351" s="85">
        <v>1</v>
      </c>
      <c r="H351" s="49">
        <v>15.4</v>
      </c>
      <c r="I351" s="57">
        <v>53.061</v>
      </c>
    </row>
    <row r="352" spans="2:9" ht="18" customHeight="1" x14ac:dyDescent="0.25">
      <c r="B352" s="69" t="s">
        <v>113</v>
      </c>
      <c r="C352" s="11" t="s">
        <v>376</v>
      </c>
      <c r="D352" s="8" t="s">
        <v>64</v>
      </c>
      <c r="E352" s="1" t="s">
        <v>75</v>
      </c>
      <c r="F352" s="21">
        <v>41457</v>
      </c>
      <c r="G352" s="85">
        <v>1</v>
      </c>
      <c r="H352" s="49">
        <v>8.5660000000000007</v>
      </c>
      <c r="I352" s="57">
        <v>25</v>
      </c>
    </row>
    <row r="353" spans="2:9" ht="18" customHeight="1" x14ac:dyDescent="0.25">
      <c r="B353" s="67" t="s">
        <v>86</v>
      </c>
      <c r="C353" s="22" t="s">
        <v>377</v>
      </c>
      <c r="D353" s="1" t="s">
        <v>20</v>
      </c>
      <c r="E353" s="1" t="s">
        <v>75</v>
      </c>
      <c r="F353" s="21">
        <v>40984</v>
      </c>
      <c r="G353" s="85">
        <v>1</v>
      </c>
      <c r="H353" s="49">
        <v>6.9240000000000004</v>
      </c>
      <c r="I353" s="57">
        <v>20</v>
      </c>
    </row>
    <row r="354" spans="2:9" ht="18" customHeight="1" x14ac:dyDescent="0.25">
      <c r="B354" s="68" t="s">
        <v>98</v>
      </c>
      <c r="C354" s="11" t="s">
        <v>514</v>
      </c>
      <c r="D354" s="5" t="s">
        <v>37</v>
      </c>
      <c r="E354" s="1" t="s">
        <v>75</v>
      </c>
      <c r="F354" s="20">
        <v>2004</v>
      </c>
      <c r="G354" s="85">
        <v>1</v>
      </c>
      <c r="H354" s="49">
        <v>4.5</v>
      </c>
      <c r="I354" s="57">
        <v>18.88</v>
      </c>
    </row>
    <row r="355" spans="2:9" ht="18" customHeight="1" x14ac:dyDescent="0.25">
      <c r="B355" s="75" t="s">
        <v>139</v>
      </c>
      <c r="C355" s="11" t="s">
        <v>378</v>
      </c>
      <c r="D355" s="22" t="s">
        <v>31</v>
      </c>
      <c r="E355" s="1" t="s">
        <v>75</v>
      </c>
      <c r="F355" s="20">
        <v>2010</v>
      </c>
      <c r="G355" s="85">
        <v>1</v>
      </c>
      <c r="H355" s="49">
        <v>21.6</v>
      </c>
      <c r="I355" s="60">
        <v>70</v>
      </c>
    </row>
    <row r="356" spans="2:9" ht="18" customHeight="1" x14ac:dyDescent="0.25">
      <c r="B356" s="67" t="s">
        <v>129</v>
      </c>
      <c r="C356" s="11" t="s">
        <v>379</v>
      </c>
      <c r="D356" s="1" t="s">
        <v>5</v>
      </c>
      <c r="E356" s="1" t="s">
        <v>75</v>
      </c>
      <c r="F356" s="21">
        <v>41201</v>
      </c>
      <c r="G356" s="85">
        <v>1</v>
      </c>
      <c r="H356" s="49">
        <v>6.7439999999999998</v>
      </c>
      <c r="I356" s="60">
        <v>18</v>
      </c>
    </row>
    <row r="357" spans="2:9" ht="18" customHeight="1" x14ac:dyDescent="0.25">
      <c r="B357" s="68" t="s">
        <v>98</v>
      </c>
      <c r="C357" s="11" t="s">
        <v>471</v>
      </c>
      <c r="D357" s="5" t="s">
        <v>37</v>
      </c>
      <c r="E357" s="1" t="s">
        <v>75</v>
      </c>
      <c r="F357" s="20">
        <v>2007</v>
      </c>
      <c r="G357" s="85">
        <v>1</v>
      </c>
      <c r="H357" s="49">
        <v>12.3</v>
      </c>
      <c r="I357" s="57">
        <v>48.292999999999999</v>
      </c>
    </row>
    <row r="358" spans="2:9" ht="18" customHeight="1" x14ac:dyDescent="0.25">
      <c r="B358" s="67" t="s">
        <v>112</v>
      </c>
      <c r="C358" s="19" t="s">
        <v>380</v>
      </c>
      <c r="D358" s="1" t="s">
        <v>6</v>
      </c>
      <c r="E358" s="1" t="s">
        <v>75</v>
      </c>
      <c r="F358" s="28">
        <v>2009</v>
      </c>
      <c r="G358" s="85">
        <v>1</v>
      </c>
      <c r="H358" s="27">
        <v>1.98</v>
      </c>
      <c r="I358" s="61">
        <v>10.08</v>
      </c>
    </row>
    <row r="359" spans="2:9" ht="18" customHeight="1" x14ac:dyDescent="0.25">
      <c r="B359" s="67" t="s">
        <v>124</v>
      </c>
      <c r="C359" s="19" t="s">
        <v>472</v>
      </c>
      <c r="D359" s="1" t="s">
        <v>65</v>
      </c>
      <c r="E359" s="1" t="s">
        <v>72</v>
      </c>
      <c r="F359" s="28">
        <v>2013</v>
      </c>
      <c r="G359" s="85">
        <v>1</v>
      </c>
      <c r="H359" s="27">
        <v>128.22</v>
      </c>
      <c r="I359" s="61">
        <v>364.25200000000001</v>
      </c>
    </row>
    <row r="360" spans="2:9" ht="18" customHeight="1" x14ac:dyDescent="0.25">
      <c r="B360" s="68" t="s">
        <v>98</v>
      </c>
      <c r="C360" s="11" t="s">
        <v>381</v>
      </c>
      <c r="D360" s="5" t="s">
        <v>37</v>
      </c>
      <c r="E360" s="1" t="s">
        <v>75</v>
      </c>
      <c r="F360" s="20">
        <v>2008</v>
      </c>
      <c r="G360" s="85">
        <v>1</v>
      </c>
      <c r="H360" s="49">
        <v>0.82</v>
      </c>
      <c r="I360" s="57">
        <v>5.28</v>
      </c>
    </row>
    <row r="361" spans="2:9" ht="18" customHeight="1" x14ac:dyDescent="0.25">
      <c r="B361" s="75" t="s">
        <v>105</v>
      </c>
      <c r="C361" s="11" t="s">
        <v>382</v>
      </c>
      <c r="D361" s="22" t="s">
        <v>67</v>
      </c>
      <c r="E361" s="1" t="s">
        <v>75</v>
      </c>
      <c r="F361" s="26">
        <v>2011</v>
      </c>
      <c r="G361" s="85">
        <v>1</v>
      </c>
      <c r="H361" s="23">
        <v>33</v>
      </c>
      <c r="I361" s="59">
        <v>141</v>
      </c>
    </row>
    <row r="362" spans="2:9" ht="18" customHeight="1" x14ac:dyDescent="0.25">
      <c r="B362" s="68" t="s">
        <v>98</v>
      </c>
      <c r="C362" s="11" t="s">
        <v>473</v>
      </c>
      <c r="D362" s="5" t="s">
        <v>37</v>
      </c>
      <c r="E362" s="1" t="s">
        <v>75</v>
      </c>
      <c r="F362" s="25">
        <v>41121</v>
      </c>
      <c r="G362" s="85">
        <v>1</v>
      </c>
      <c r="H362" s="49">
        <v>1.57</v>
      </c>
      <c r="I362" s="57">
        <v>10.86</v>
      </c>
    </row>
    <row r="363" spans="2:9" ht="18" customHeight="1" x14ac:dyDescent="0.25">
      <c r="B363" s="75" t="s">
        <v>139</v>
      </c>
      <c r="C363" s="22" t="s">
        <v>383</v>
      </c>
      <c r="D363" s="22" t="s">
        <v>31</v>
      </c>
      <c r="E363" s="1" t="s">
        <v>75</v>
      </c>
      <c r="F363" s="26">
        <v>2012</v>
      </c>
      <c r="G363" s="85">
        <v>1</v>
      </c>
      <c r="H363" s="23">
        <v>8.73</v>
      </c>
      <c r="I363" s="59">
        <v>30</v>
      </c>
    </row>
    <row r="364" spans="2:9" ht="18" customHeight="1" x14ac:dyDescent="0.25">
      <c r="B364" s="72" t="s">
        <v>93</v>
      </c>
      <c r="C364" s="11" t="s">
        <v>384</v>
      </c>
      <c r="D364" s="14" t="s">
        <v>8</v>
      </c>
      <c r="E364" s="1" t="s">
        <v>75</v>
      </c>
      <c r="F364" s="20">
        <v>2008</v>
      </c>
      <c r="G364" s="85">
        <v>1</v>
      </c>
      <c r="H364" s="49">
        <v>7.5</v>
      </c>
      <c r="I364" s="57">
        <v>35</v>
      </c>
    </row>
    <row r="365" spans="2:9" ht="18" customHeight="1" x14ac:dyDescent="0.25">
      <c r="B365" s="72" t="s">
        <v>93</v>
      </c>
      <c r="C365" s="11" t="s">
        <v>385</v>
      </c>
      <c r="D365" s="14" t="s">
        <v>8</v>
      </c>
      <c r="E365" s="1" t="s">
        <v>72</v>
      </c>
      <c r="F365" s="20">
        <v>2009</v>
      </c>
      <c r="G365" s="85">
        <v>1</v>
      </c>
      <c r="H365" s="49">
        <v>4.76</v>
      </c>
      <c r="I365" s="57">
        <v>14.93</v>
      </c>
    </row>
    <row r="366" spans="2:9" ht="18" customHeight="1" x14ac:dyDescent="0.25">
      <c r="B366" s="69" t="s">
        <v>113</v>
      </c>
      <c r="C366" s="11" t="s">
        <v>551</v>
      </c>
      <c r="D366" s="8" t="s">
        <v>64</v>
      </c>
      <c r="E366" s="1" t="s">
        <v>75</v>
      </c>
      <c r="F366" s="21">
        <v>41477</v>
      </c>
      <c r="G366" s="85">
        <v>1</v>
      </c>
      <c r="H366" s="49">
        <v>2.5</v>
      </c>
      <c r="I366" s="57">
        <v>11</v>
      </c>
    </row>
    <row r="367" spans="2:9" ht="18" customHeight="1" x14ac:dyDescent="0.25">
      <c r="B367" s="68" t="s">
        <v>98</v>
      </c>
      <c r="C367" s="44" t="s">
        <v>386</v>
      </c>
      <c r="D367" s="5" t="s">
        <v>37</v>
      </c>
      <c r="E367" s="1" t="s">
        <v>75</v>
      </c>
      <c r="F367" s="21">
        <v>41314</v>
      </c>
      <c r="G367" s="85">
        <v>1</v>
      </c>
      <c r="H367" s="49">
        <v>14.834</v>
      </c>
      <c r="I367" s="64">
        <v>35</v>
      </c>
    </row>
    <row r="368" spans="2:9" s="39" customFormat="1" ht="18" customHeight="1" x14ac:dyDescent="0.25">
      <c r="B368" s="70" t="s">
        <v>95</v>
      </c>
      <c r="C368" s="44" t="s">
        <v>387</v>
      </c>
      <c r="D368" s="11" t="s">
        <v>4</v>
      </c>
      <c r="E368" s="1" t="s">
        <v>75</v>
      </c>
      <c r="F368" s="21">
        <v>41331</v>
      </c>
      <c r="G368" s="85">
        <v>1</v>
      </c>
      <c r="H368" s="49">
        <v>49.99</v>
      </c>
      <c r="I368" s="64">
        <v>208</v>
      </c>
    </row>
    <row r="369" spans="2:9" ht="18" customHeight="1" x14ac:dyDescent="0.25">
      <c r="B369" s="75" t="s">
        <v>139</v>
      </c>
      <c r="C369" s="11" t="s">
        <v>552</v>
      </c>
      <c r="D369" s="22" t="s">
        <v>31</v>
      </c>
      <c r="E369" s="1" t="s">
        <v>75</v>
      </c>
      <c r="F369" s="21">
        <v>41272</v>
      </c>
      <c r="G369" s="85">
        <v>1</v>
      </c>
      <c r="H369" s="49">
        <v>21.24</v>
      </c>
      <c r="I369" s="57">
        <v>80</v>
      </c>
    </row>
    <row r="370" spans="2:9" ht="18" customHeight="1" x14ac:dyDescent="0.25">
      <c r="B370" s="70" t="s">
        <v>110</v>
      </c>
      <c r="C370" s="11" t="s">
        <v>474</v>
      </c>
      <c r="D370" s="11" t="s">
        <v>63</v>
      </c>
      <c r="E370" s="1" t="s">
        <v>72</v>
      </c>
      <c r="F370" s="21">
        <v>40921</v>
      </c>
      <c r="G370" s="85">
        <v>1</v>
      </c>
      <c r="H370" s="23">
        <v>37.19</v>
      </c>
      <c r="I370" s="59">
        <v>100.8</v>
      </c>
    </row>
    <row r="371" spans="2:9" ht="18" customHeight="1" x14ac:dyDescent="0.25">
      <c r="B371" s="70" t="s">
        <v>102</v>
      </c>
      <c r="C371" s="11" t="s">
        <v>475</v>
      </c>
      <c r="D371" s="11" t="s">
        <v>52</v>
      </c>
      <c r="E371" s="1" t="s">
        <v>75</v>
      </c>
      <c r="F371" s="21">
        <v>41180</v>
      </c>
      <c r="G371" s="85">
        <v>1</v>
      </c>
      <c r="H371" s="30">
        <v>8.44</v>
      </c>
      <c r="I371" s="63">
        <v>71</v>
      </c>
    </row>
    <row r="372" spans="2:9" ht="18" customHeight="1" x14ac:dyDescent="0.25">
      <c r="B372" s="69" t="s">
        <v>117</v>
      </c>
      <c r="C372" s="22" t="s">
        <v>553</v>
      </c>
      <c r="D372" s="8" t="s">
        <v>28</v>
      </c>
      <c r="E372" s="1" t="s">
        <v>75</v>
      </c>
      <c r="F372" s="21">
        <v>40999</v>
      </c>
      <c r="G372" s="85">
        <v>1</v>
      </c>
      <c r="H372" s="23">
        <v>16.66</v>
      </c>
      <c r="I372" s="59">
        <v>49.23</v>
      </c>
    </row>
    <row r="373" spans="2:9" ht="18" customHeight="1" x14ac:dyDescent="0.25">
      <c r="B373" s="71" t="s">
        <v>104</v>
      </c>
      <c r="C373" s="11" t="s">
        <v>388</v>
      </c>
      <c r="D373" s="12" t="s">
        <v>61</v>
      </c>
      <c r="E373" s="1" t="s">
        <v>75</v>
      </c>
      <c r="F373" s="26">
        <v>2011</v>
      </c>
      <c r="G373" s="85">
        <v>1</v>
      </c>
      <c r="H373" s="23">
        <v>1.605</v>
      </c>
      <c r="I373" s="59">
        <v>7.8609999999999998</v>
      </c>
    </row>
    <row r="374" spans="2:9" ht="18" customHeight="1" x14ac:dyDescent="0.25">
      <c r="B374" s="67" t="s">
        <v>86</v>
      </c>
      <c r="C374" s="11" t="s">
        <v>476</v>
      </c>
      <c r="D374" s="1" t="s">
        <v>20</v>
      </c>
      <c r="E374" s="22" t="s">
        <v>77</v>
      </c>
      <c r="F374" s="20">
        <f>F373</f>
        <v>2011</v>
      </c>
      <c r="G374" s="85">
        <v>1</v>
      </c>
      <c r="H374" s="49">
        <v>100</v>
      </c>
      <c r="I374" s="60">
        <v>423</v>
      </c>
    </row>
    <row r="375" spans="2:9" ht="18" customHeight="1" x14ac:dyDescent="0.25">
      <c r="B375" s="75" t="s">
        <v>114</v>
      </c>
      <c r="C375" s="11" t="s">
        <v>554</v>
      </c>
      <c r="D375" s="22" t="s">
        <v>54</v>
      </c>
      <c r="E375" s="1" t="s">
        <v>75</v>
      </c>
      <c r="F375" s="20" t="s">
        <v>2</v>
      </c>
      <c r="G375" s="85">
        <v>1</v>
      </c>
      <c r="H375" s="49">
        <v>42.25</v>
      </c>
      <c r="I375" s="65">
        <v>92</v>
      </c>
    </row>
    <row r="376" spans="2:9" ht="18" customHeight="1" x14ac:dyDescent="0.25">
      <c r="B376" s="67" t="s">
        <v>124</v>
      </c>
      <c r="C376" s="11" t="s">
        <v>477</v>
      </c>
      <c r="D376" s="1" t="s">
        <v>65</v>
      </c>
      <c r="E376" s="1" t="s">
        <v>72</v>
      </c>
      <c r="F376" s="20">
        <v>2009</v>
      </c>
      <c r="G376" s="85">
        <v>1</v>
      </c>
      <c r="H376" s="49">
        <v>82</v>
      </c>
      <c r="I376" s="57">
        <v>322</v>
      </c>
    </row>
    <row r="377" spans="2:9" ht="18" customHeight="1" x14ac:dyDescent="0.25">
      <c r="B377" s="72" t="s">
        <v>140</v>
      </c>
      <c r="C377" s="11" t="s">
        <v>555</v>
      </c>
      <c r="D377" s="14" t="s">
        <v>56</v>
      </c>
      <c r="E377" s="1" t="s">
        <v>75</v>
      </c>
      <c r="F377" s="20">
        <f>F376</f>
        <v>2009</v>
      </c>
      <c r="G377" s="85">
        <v>1</v>
      </c>
      <c r="H377" s="49">
        <v>62.15</v>
      </c>
      <c r="I377" s="60">
        <v>156</v>
      </c>
    </row>
    <row r="378" spans="2:9" ht="18" customHeight="1" x14ac:dyDescent="0.25">
      <c r="B378" s="72" t="s">
        <v>140</v>
      </c>
      <c r="C378" s="11" t="s">
        <v>556</v>
      </c>
      <c r="D378" s="14" t="s">
        <v>56</v>
      </c>
      <c r="E378" s="1" t="s">
        <v>75</v>
      </c>
      <c r="F378" s="21">
        <v>41541</v>
      </c>
      <c r="G378" s="85">
        <v>1</v>
      </c>
      <c r="H378" s="49">
        <v>19.690000000000001</v>
      </c>
      <c r="I378" s="60">
        <v>100.646</v>
      </c>
    </row>
    <row r="379" spans="2:9" ht="18" customHeight="1" x14ac:dyDescent="0.25">
      <c r="B379" s="69" t="s">
        <v>113</v>
      </c>
      <c r="C379" s="11" t="s">
        <v>389</v>
      </c>
      <c r="D379" s="8" t="s">
        <v>64</v>
      </c>
      <c r="E379" s="1" t="s">
        <v>75</v>
      </c>
      <c r="F379" s="21">
        <v>41449</v>
      </c>
      <c r="G379" s="85">
        <v>1</v>
      </c>
      <c r="H379" s="49">
        <v>11.939</v>
      </c>
      <c r="I379" s="60">
        <v>40</v>
      </c>
    </row>
    <row r="380" spans="2:9" ht="18" customHeight="1" x14ac:dyDescent="0.25">
      <c r="B380" s="69" t="s">
        <v>113</v>
      </c>
      <c r="C380" s="11" t="s">
        <v>390</v>
      </c>
      <c r="D380" s="8" t="s">
        <v>64</v>
      </c>
      <c r="E380" s="1" t="s">
        <v>75</v>
      </c>
      <c r="F380" s="21">
        <v>41298</v>
      </c>
      <c r="G380" s="85">
        <v>1</v>
      </c>
      <c r="H380" s="49">
        <v>16.64</v>
      </c>
      <c r="I380" s="60">
        <v>60</v>
      </c>
    </row>
    <row r="381" spans="2:9" ht="18" customHeight="1" x14ac:dyDescent="0.25">
      <c r="B381" s="68" t="s">
        <v>98</v>
      </c>
      <c r="C381" s="22" t="s">
        <v>391</v>
      </c>
      <c r="D381" s="5" t="s">
        <v>37</v>
      </c>
      <c r="E381" s="1" t="s">
        <v>75</v>
      </c>
      <c r="F381" s="21">
        <v>41104</v>
      </c>
      <c r="G381" s="85">
        <v>1</v>
      </c>
      <c r="H381" s="23">
        <v>1.04</v>
      </c>
      <c r="I381" s="59">
        <v>4.59</v>
      </c>
    </row>
    <row r="382" spans="2:9" ht="18" customHeight="1" x14ac:dyDescent="0.25">
      <c r="B382" s="67" t="s">
        <v>118</v>
      </c>
      <c r="C382" s="11" t="s">
        <v>392</v>
      </c>
      <c r="D382" s="1" t="s">
        <v>27</v>
      </c>
      <c r="E382" s="1" t="s">
        <v>75</v>
      </c>
      <c r="F382" s="26">
        <v>2011</v>
      </c>
      <c r="G382" s="85">
        <v>1</v>
      </c>
      <c r="H382" s="23">
        <v>12.416</v>
      </c>
      <c r="I382" s="59">
        <v>40.65</v>
      </c>
    </row>
    <row r="383" spans="2:9" ht="18" customHeight="1" x14ac:dyDescent="0.25">
      <c r="B383" s="69" t="s">
        <v>113</v>
      </c>
      <c r="C383" s="11" t="s">
        <v>393</v>
      </c>
      <c r="D383" s="8" t="s">
        <v>64</v>
      </c>
      <c r="E383" s="1" t="s">
        <v>75</v>
      </c>
      <c r="F383" s="25">
        <v>41017</v>
      </c>
      <c r="G383" s="85">
        <v>1</v>
      </c>
      <c r="H383" s="49">
        <v>8.5779999999999994</v>
      </c>
      <c r="I383" s="57">
        <v>27</v>
      </c>
    </row>
    <row r="384" spans="2:9" ht="18" customHeight="1" x14ac:dyDescent="0.25">
      <c r="B384" s="69" t="s">
        <v>113</v>
      </c>
      <c r="C384" s="22" t="s">
        <v>478</v>
      </c>
      <c r="D384" s="8" t="s">
        <v>64</v>
      </c>
      <c r="E384" s="1" t="s">
        <v>75</v>
      </c>
      <c r="F384" s="25">
        <v>41240</v>
      </c>
      <c r="G384" s="85">
        <v>1</v>
      </c>
      <c r="H384" s="50">
        <v>8.9459999999999997</v>
      </c>
      <c r="I384" s="59">
        <v>30</v>
      </c>
    </row>
    <row r="385" spans="2:9" ht="18" customHeight="1" x14ac:dyDescent="0.25">
      <c r="B385" s="71" t="s">
        <v>103</v>
      </c>
      <c r="C385" s="22" t="s">
        <v>394</v>
      </c>
      <c r="D385" s="12" t="s">
        <v>42</v>
      </c>
      <c r="E385" s="1" t="s">
        <v>75</v>
      </c>
      <c r="F385" s="26">
        <v>2013</v>
      </c>
      <c r="G385" s="85">
        <v>1</v>
      </c>
      <c r="H385" s="50">
        <v>0.31</v>
      </c>
      <c r="I385" s="59">
        <v>1</v>
      </c>
    </row>
    <row r="386" spans="2:9" ht="18" customHeight="1" x14ac:dyDescent="0.25">
      <c r="B386" s="70" t="s">
        <v>137</v>
      </c>
      <c r="C386" s="11" t="s">
        <v>557</v>
      </c>
      <c r="D386" s="11" t="s">
        <v>38</v>
      </c>
      <c r="E386" s="1" t="s">
        <v>75</v>
      </c>
      <c r="F386" s="20">
        <v>2009</v>
      </c>
      <c r="G386" s="85">
        <v>1</v>
      </c>
      <c r="H386" s="50">
        <v>14.835000000000001</v>
      </c>
      <c r="I386" s="60">
        <v>56.89</v>
      </c>
    </row>
    <row r="387" spans="2:9" s="39" customFormat="1" ht="18" customHeight="1" x14ac:dyDescent="0.25">
      <c r="B387" s="67" t="s">
        <v>99</v>
      </c>
      <c r="C387" s="22" t="s">
        <v>395</v>
      </c>
      <c r="D387" s="1" t="s">
        <v>55</v>
      </c>
      <c r="E387" s="1" t="s">
        <v>72</v>
      </c>
      <c r="F387" s="26">
        <v>2011</v>
      </c>
      <c r="G387" s="85">
        <v>1</v>
      </c>
      <c r="H387" s="23">
        <v>5.46</v>
      </c>
      <c r="I387" s="59">
        <v>17</v>
      </c>
    </row>
    <row r="388" spans="2:9" s="39" customFormat="1" ht="27" customHeight="1" x14ac:dyDescent="0.25">
      <c r="B388" s="70" t="s">
        <v>95</v>
      </c>
      <c r="C388" s="22" t="s">
        <v>490</v>
      </c>
      <c r="D388" s="11" t="s">
        <v>4</v>
      </c>
      <c r="E388" s="47" t="s">
        <v>76</v>
      </c>
      <c r="F388" s="21">
        <v>41041</v>
      </c>
      <c r="G388" s="85">
        <v>1</v>
      </c>
      <c r="H388" s="49">
        <v>26.98</v>
      </c>
      <c r="I388" s="58">
        <v>110</v>
      </c>
    </row>
    <row r="389" spans="2:9" ht="18" customHeight="1" x14ac:dyDescent="0.25">
      <c r="B389" s="70" t="s">
        <v>95</v>
      </c>
      <c r="C389" s="22" t="s">
        <v>489</v>
      </c>
      <c r="D389" s="11" t="s">
        <v>4</v>
      </c>
      <c r="E389" s="1" t="s">
        <v>72</v>
      </c>
      <c r="F389" s="21">
        <v>41166</v>
      </c>
      <c r="G389" s="85">
        <v>1</v>
      </c>
      <c r="H389" s="49">
        <v>28.54</v>
      </c>
      <c r="I389" s="58">
        <v>95.26</v>
      </c>
    </row>
    <row r="390" spans="2:9" ht="18" customHeight="1" x14ac:dyDescent="0.25">
      <c r="B390" s="70" t="s">
        <v>112</v>
      </c>
      <c r="C390" s="22" t="s">
        <v>558</v>
      </c>
      <c r="D390" s="11" t="s">
        <v>6</v>
      </c>
      <c r="E390" s="1" t="s">
        <v>72</v>
      </c>
      <c r="F390" s="21">
        <v>41285</v>
      </c>
      <c r="G390" s="85">
        <v>1</v>
      </c>
      <c r="H390" s="199">
        <v>24.28</v>
      </c>
      <c r="I390" s="201">
        <v>71.39</v>
      </c>
    </row>
    <row r="391" spans="2:9" ht="18" customHeight="1" x14ac:dyDescent="0.25">
      <c r="B391" s="70" t="s">
        <v>112</v>
      </c>
      <c r="C391" s="22" t="s">
        <v>488</v>
      </c>
      <c r="D391" s="11" t="s">
        <v>6</v>
      </c>
      <c r="E391" s="1" t="s">
        <v>75</v>
      </c>
      <c r="F391" s="21">
        <v>40636</v>
      </c>
      <c r="G391" s="85">
        <v>1</v>
      </c>
      <c r="H391" s="200"/>
      <c r="I391" s="202"/>
    </row>
    <row r="392" spans="2:9" ht="18" customHeight="1" x14ac:dyDescent="0.25">
      <c r="B392" s="72" t="s">
        <v>93</v>
      </c>
      <c r="C392" s="11" t="s">
        <v>396</v>
      </c>
      <c r="D392" s="14" t="s">
        <v>8</v>
      </c>
      <c r="E392" s="1" t="s">
        <v>75</v>
      </c>
      <c r="F392" s="25">
        <v>41481</v>
      </c>
      <c r="G392" s="85">
        <v>1</v>
      </c>
      <c r="H392" s="23">
        <v>8.9700000000000006</v>
      </c>
      <c r="I392" s="59">
        <v>24.84</v>
      </c>
    </row>
    <row r="393" spans="2:9" ht="18" customHeight="1" x14ac:dyDescent="0.25">
      <c r="B393" s="68" t="s">
        <v>98</v>
      </c>
      <c r="C393" s="11" t="s">
        <v>397</v>
      </c>
      <c r="D393" s="5" t="s">
        <v>37</v>
      </c>
      <c r="E393" s="1" t="s">
        <v>75</v>
      </c>
      <c r="F393" s="26">
        <v>2011</v>
      </c>
      <c r="G393" s="85">
        <v>1</v>
      </c>
      <c r="H393" s="23">
        <v>3.794</v>
      </c>
      <c r="I393" s="59">
        <v>14.92</v>
      </c>
    </row>
    <row r="394" spans="2:9" ht="18" customHeight="1" x14ac:dyDescent="0.25">
      <c r="B394" s="75" t="s">
        <v>106</v>
      </c>
      <c r="C394" s="11" t="s">
        <v>398</v>
      </c>
      <c r="D394" s="22" t="s">
        <v>41</v>
      </c>
      <c r="E394" s="1" t="s">
        <v>75</v>
      </c>
      <c r="F394" s="26">
        <v>2011</v>
      </c>
      <c r="G394" s="85">
        <v>1</v>
      </c>
      <c r="H394" s="23">
        <v>5.8</v>
      </c>
      <c r="I394" s="59">
        <v>14</v>
      </c>
    </row>
    <row r="395" spans="2:9" ht="18" customHeight="1" x14ac:dyDescent="0.25">
      <c r="B395" s="70" t="s">
        <v>112</v>
      </c>
      <c r="C395" s="11" t="s">
        <v>399</v>
      </c>
      <c r="D395" s="11" t="s">
        <v>6</v>
      </c>
      <c r="E395" s="1" t="s">
        <v>75</v>
      </c>
      <c r="F395" s="20">
        <f>F394</f>
        <v>2011</v>
      </c>
      <c r="G395" s="85">
        <v>1</v>
      </c>
      <c r="H395" s="49">
        <v>22.5</v>
      </c>
      <c r="I395" s="60">
        <v>82.74</v>
      </c>
    </row>
    <row r="396" spans="2:9" ht="18" customHeight="1" x14ac:dyDescent="0.25">
      <c r="B396" s="69" t="s">
        <v>115</v>
      </c>
      <c r="C396" s="11" t="s">
        <v>400</v>
      </c>
      <c r="D396" s="8" t="s">
        <v>10</v>
      </c>
      <c r="E396" s="1" t="s">
        <v>75</v>
      </c>
      <c r="F396" s="20">
        <v>2013</v>
      </c>
      <c r="G396" s="85">
        <v>1</v>
      </c>
      <c r="H396" s="49">
        <v>4.67</v>
      </c>
      <c r="I396" s="60">
        <v>20.87</v>
      </c>
    </row>
    <row r="397" spans="2:9" ht="18" customHeight="1" x14ac:dyDescent="0.25">
      <c r="B397" s="71" t="s">
        <v>94</v>
      </c>
      <c r="C397" s="11" t="s">
        <v>401</v>
      </c>
      <c r="D397" s="12" t="s">
        <v>36</v>
      </c>
      <c r="E397" s="1" t="s">
        <v>75</v>
      </c>
      <c r="F397" s="20">
        <v>2009</v>
      </c>
      <c r="G397" s="85">
        <v>1</v>
      </c>
      <c r="H397" s="49">
        <v>5.0999999999999996</v>
      </c>
      <c r="I397" s="57">
        <v>20</v>
      </c>
    </row>
    <row r="398" spans="2:9" ht="18" customHeight="1" x14ac:dyDescent="0.25">
      <c r="B398" s="70" t="s">
        <v>107</v>
      </c>
      <c r="C398" s="11" t="s">
        <v>402</v>
      </c>
      <c r="D398" s="11" t="s">
        <v>21</v>
      </c>
      <c r="E398" s="1" t="s">
        <v>75</v>
      </c>
      <c r="F398" s="20">
        <v>2009</v>
      </c>
      <c r="G398" s="85">
        <v>1</v>
      </c>
      <c r="H398" s="49">
        <v>1.06</v>
      </c>
      <c r="I398" s="57">
        <v>5</v>
      </c>
    </row>
    <row r="399" spans="2:9" ht="18" customHeight="1" x14ac:dyDescent="0.25">
      <c r="B399" s="69" t="s">
        <v>117</v>
      </c>
      <c r="C399" s="11" t="s">
        <v>403</v>
      </c>
      <c r="D399" s="8" t="s">
        <v>28</v>
      </c>
      <c r="E399" s="1" t="s">
        <v>75</v>
      </c>
      <c r="F399" s="20">
        <v>2013</v>
      </c>
      <c r="G399" s="85">
        <v>1</v>
      </c>
      <c r="H399" s="49">
        <v>14.9</v>
      </c>
      <c r="I399" s="57">
        <v>35</v>
      </c>
    </row>
    <row r="400" spans="2:9" ht="18" customHeight="1" x14ac:dyDescent="0.25">
      <c r="B400" s="69" t="s">
        <v>117</v>
      </c>
      <c r="C400" s="11" t="s">
        <v>479</v>
      </c>
      <c r="D400" s="8" t="s">
        <v>28</v>
      </c>
      <c r="E400" s="1" t="s">
        <v>75</v>
      </c>
      <c r="F400" s="20">
        <v>2011</v>
      </c>
      <c r="G400" s="85">
        <v>1</v>
      </c>
      <c r="H400" s="23">
        <v>21.9</v>
      </c>
      <c r="I400" s="59">
        <v>70</v>
      </c>
    </row>
    <row r="401" spans="2:9" s="39" customFormat="1" ht="18" customHeight="1" x14ac:dyDescent="0.25">
      <c r="B401" s="70" t="s">
        <v>95</v>
      </c>
      <c r="C401" s="11" t="s">
        <v>480</v>
      </c>
      <c r="D401" s="11" t="s">
        <v>4</v>
      </c>
      <c r="E401" s="1" t="s">
        <v>72</v>
      </c>
      <c r="F401" s="20">
        <v>2010</v>
      </c>
      <c r="G401" s="85">
        <v>1</v>
      </c>
      <c r="H401" s="49">
        <v>310.66000000000003</v>
      </c>
      <c r="I401" s="60">
        <v>1141</v>
      </c>
    </row>
    <row r="402" spans="2:9" ht="18" customHeight="1" x14ac:dyDescent="0.25">
      <c r="B402" s="70" t="s">
        <v>123</v>
      </c>
      <c r="C402" s="11" t="s">
        <v>481</v>
      </c>
      <c r="D402" s="11" t="s">
        <v>17</v>
      </c>
      <c r="E402" s="1" t="s">
        <v>72</v>
      </c>
      <c r="F402" s="21">
        <v>41061</v>
      </c>
      <c r="G402" s="85">
        <v>1</v>
      </c>
      <c r="H402" s="23">
        <v>22.71</v>
      </c>
      <c r="I402" s="59">
        <v>72</v>
      </c>
    </row>
    <row r="403" spans="2:9" ht="18" customHeight="1" x14ac:dyDescent="0.25">
      <c r="B403" s="71" t="s">
        <v>104</v>
      </c>
      <c r="C403" s="11" t="s">
        <v>404</v>
      </c>
      <c r="D403" s="12" t="s">
        <v>61</v>
      </c>
      <c r="E403" s="1" t="s">
        <v>75</v>
      </c>
      <c r="F403" s="24">
        <v>2009</v>
      </c>
      <c r="G403" s="85">
        <v>1</v>
      </c>
      <c r="H403" s="50">
        <v>14.000999999999999</v>
      </c>
      <c r="I403" s="60">
        <v>56.16</v>
      </c>
    </row>
    <row r="404" spans="2:9" ht="18" customHeight="1" x14ac:dyDescent="0.25">
      <c r="B404" s="70" t="s">
        <v>110</v>
      </c>
      <c r="C404" s="11" t="s">
        <v>482</v>
      </c>
      <c r="D404" s="11" t="s">
        <v>63</v>
      </c>
      <c r="E404" s="1" t="s">
        <v>75</v>
      </c>
      <c r="F404" s="32">
        <v>41263</v>
      </c>
      <c r="G404" s="85">
        <v>1</v>
      </c>
      <c r="H404" s="50">
        <v>14.25</v>
      </c>
      <c r="I404" s="60">
        <v>35.1</v>
      </c>
    </row>
    <row r="405" spans="2:9" s="39" customFormat="1" ht="18" customHeight="1" x14ac:dyDescent="0.25">
      <c r="B405" s="67" t="s">
        <v>97</v>
      </c>
      <c r="C405" s="11" t="s">
        <v>405</v>
      </c>
      <c r="D405" s="1" t="s">
        <v>34</v>
      </c>
      <c r="E405" s="1" t="s">
        <v>75</v>
      </c>
      <c r="F405" s="24">
        <v>2013</v>
      </c>
      <c r="G405" s="85">
        <v>1</v>
      </c>
      <c r="H405" s="50">
        <v>9.98</v>
      </c>
      <c r="I405" s="60">
        <v>35.67</v>
      </c>
    </row>
    <row r="406" spans="2:9" ht="18" customHeight="1" x14ac:dyDescent="0.25">
      <c r="B406" s="67" t="s">
        <v>119</v>
      </c>
      <c r="C406" s="11" t="s">
        <v>483</v>
      </c>
      <c r="D406" s="1" t="s">
        <v>15</v>
      </c>
      <c r="E406" s="1" t="s">
        <v>75</v>
      </c>
      <c r="F406" s="32">
        <v>41180</v>
      </c>
      <c r="G406" s="85">
        <v>1</v>
      </c>
      <c r="H406" s="50">
        <v>10.677</v>
      </c>
      <c r="I406" s="60">
        <v>33.299999999999997</v>
      </c>
    </row>
    <row r="407" spans="2:9" ht="18" customHeight="1" x14ac:dyDescent="0.25">
      <c r="B407" s="69" t="s">
        <v>113</v>
      </c>
      <c r="C407" s="11" t="s">
        <v>484</v>
      </c>
      <c r="D407" s="8" t="s">
        <v>64</v>
      </c>
      <c r="E407" s="1" t="s">
        <v>75</v>
      </c>
      <c r="F407" s="20">
        <v>2010</v>
      </c>
      <c r="G407" s="85">
        <v>1</v>
      </c>
      <c r="H407" s="49">
        <v>1.2</v>
      </c>
      <c r="I407" s="60">
        <v>5.64</v>
      </c>
    </row>
    <row r="408" spans="2:9" ht="18" customHeight="1" x14ac:dyDescent="0.25">
      <c r="B408" s="72" t="s">
        <v>140</v>
      </c>
      <c r="C408" s="11" t="s">
        <v>406</v>
      </c>
      <c r="D408" s="14" t="s">
        <v>56</v>
      </c>
      <c r="E408" s="1" t="s">
        <v>75</v>
      </c>
      <c r="F408" s="20">
        <f>F407</f>
        <v>2010</v>
      </c>
      <c r="G408" s="85">
        <v>1</v>
      </c>
      <c r="H408" s="50">
        <v>40.24</v>
      </c>
      <c r="I408" s="60">
        <v>180</v>
      </c>
    </row>
    <row r="409" spans="2:9" ht="18" customHeight="1" x14ac:dyDescent="0.25">
      <c r="B409" s="69" t="s">
        <v>113</v>
      </c>
      <c r="C409" s="11" t="s">
        <v>485</v>
      </c>
      <c r="D409" s="8" t="s">
        <v>64</v>
      </c>
      <c r="E409" s="1" t="s">
        <v>75</v>
      </c>
      <c r="F409" s="20">
        <v>2008</v>
      </c>
      <c r="G409" s="85">
        <v>1</v>
      </c>
      <c r="H409" s="49">
        <v>23.6</v>
      </c>
      <c r="I409" s="57">
        <v>88.207999999999998</v>
      </c>
    </row>
    <row r="410" spans="2:9" ht="18" customHeight="1" x14ac:dyDescent="0.25">
      <c r="B410" s="67" t="s">
        <v>118</v>
      </c>
      <c r="C410" s="11" t="s">
        <v>407</v>
      </c>
      <c r="D410" s="1" t="s">
        <v>27</v>
      </c>
      <c r="E410" s="1" t="s">
        <v>75</v>
      </c>
      <c r="F410" s="20">
        <v>2005</v>
      </c>
      <c r="G410" s="85">
        <v>1</v>
      </c>
      <c r="H410" s="49">
        <v>14</v>
      </c>
      <c r="I410" s="57">
        <v>44.18</v>
      </c>
    </row>
    <row r="411" spans="2:9" ht="18" customHeight="1" x14ac:dyDescent="0.25">
      <c r="B411" s="75" t="s">
        <v>139</v>
      </c>
      <c r="C411" s="11" t="s">
        <v>408</v>
      </c>
      <c r="D411" s="22" t="s">
        <v>31</v>
      </c>
      <c r="E411" s="1" t="s">
        <v>75</v>
      </c>
      <c r="F411" s="21">
        <v>41425</v>
      </c>
      <c r="G411" s="85">
        <v>1</v>
      </c>
      <c r="H411" s="49">
        <v>10.566000000000001</v>
      </c>
      <c r="I411" s="57">
        <v>32</v>
      </c>
    </row>
    <row r="412" spans="2:9" ht="18" customHeight="1" x14ac:dyDescent="0.25">
      <c r="B412" s="71" t="s">
        <v>103</v>
      </c>
      <c r="C412" s="11" t="s">
        <v>486</v>
      </c>
      <c r="D412" s="12" t="s">
        <v>42</v>
      </c>
      <c r="E412" s="1" t="s">
        <v>72</v>
      </c>
      <c r="F412" s="20">
        <v>2006</v>
      </c>
      <c r="G412" s="85">
        <v>1</v>
      </c>
      <c r="H412" s="49">
        <v>4.17</v>
      </c>
      <c r="I412" s="57">
        <v>15</v>
      </c>
    </row>
    <row r="413" spans="2:9" ht="18" customHeight="1" x14ac:dyDescent="0.25">
      <c r="B413" s="71" t="s">
        <v>98</v>
      </c>
      <c r="C413" s="11" t="s">
        <v>487</v>
      </c>
      <c r="D413" s="12" t="s">
        <v>37</v>
      </c>
      <c r="E413" s="1" t="s">
        <v>75</v>
      </c>
      <c r="F413" s="20">
        <v>41026</v>
      </c>
      <c r="G413" s="85">
        <v>1</v>
      </c>
      <c r="H413" s="118">
        <v>5.2</v>
      </c>
      <c r="I413" s="119">
        <v>18.280999999999999</v>
      </c>
    </row>
    <row r="414" spans="2:9" customFormat="1" ht="15.75" x14ac:dyDescent="0.25">
      <c r="B414" s="71" t="s">
        <v>86</v>
      </c>
      <c r="C414" s="11" t="s">
        <v>564</v>
      </c>
      <c r="D414" s="12" t="s">
        <v>20</v>
      </c>
      <c r="E414" s="1" t="s">
        <v>603</v>
      </c>
      <c r="F414" s="21">
        <v>41832</v>
      </c>
      <c r="G414" s="85">
        <v>1</v>
      </c>
      <c r="H414" s="118">
        <v>7.48</v>
      </c>
      <c r="I414" s="119">
        <v>23.16</v>
      </c>
    </row>
    <row r="415" spans="2:9" customFormat="1" ht="15.75" x14ac:dyDescent="0.25">
      <c r="B415" s="71" t="s">
        <v>116</v>
      </c>
      <c r="C415" s="11" t="s">
        <v>565</v>
      </c>
      <c r="D415" s="12" t="s">
        <v>32</v>
      </c>
      <c r="E415" s="1" t="s">
        <v>75</v>
      </c>
      <c r="F415" s="21">
        <v>41794</v>
      </c>
      <c r="G415" s="85">
        <v>1</v>
      </c>
      <c r="H415" s="118">
        <v>0.495</v>
      </c>
      <c r="I415" s="119">
        <v>1.5</v>
      </c>
    </row>
    <row r="416" spans="2:9" customFormat="1" ht="15.75" x14ac:dyDescent="0.25">
      <c r="B416" s="71" t="s">
        <v>139</v>
      </c>
      <c r="C416" s="11" t="s">
        <v>566</v>
      </c>
      <c r="D416" s="12" t="s">
        <v>31</v>
      </c>
      <c r="E416" s="1" t="s">
        <v>603</v>
      </c>
      <c r="F416" s="21">
        <v>41870</v>
      </c>
      <c r="G416" s="85">
        <v>1</v>
      </c>
      <c r="H416" s="118">
        <v>7.33</v>
      </c>
      <c r="I416" s="119">
        <v>25</v>
      </c>
    </row>
    <row r="417" spans="2:9" customFormat="1" ht="15.75" x14ac:dyDescent="0.25">
      <c r="B417" s="71" t="s">
        <v>121</v>
      </c>
      <c r="C417" s="11" t="s">
        <v>567</v>
      </c>
      <c r="D417" s="12" t="s">
        <v>47</v>
      </c>
      <c r="E417" s="1" t="s">
        <v>603</v>
      </c>
      <c r="F417" s="21">
        <v>41719</v>
      </c>
      <c r="G417" s="85">
        <v>1</v>
      </c>
      <c r="H417" s="118">
        <v>5.77</v>
      </c>
      <c r="I417" s="119">
        <v>21.28</v>
      </c>
    </row>
    <row r="418" spans="2:9" customFormat="1" ht="15.75" x14ac:dyDescent="0.25">
      <c r="B418" s="71" t="s">
        <v>113</v>
      </c>
      <c r="C418" s="11" t="s">
        <v>604</v>
      </c>
      <c r="D418" s="12" t="s">
        <v>64</v>
      </c>
      <c r="E418" s="1" t="s">
        <v>603</v>
      </c>
      <c r="F418" s="21">
        <v>41974</v>
      </c>
      <c r="G418" s="85">
        <v>1</v>
      </c>
      <c r="H418" s="118">
        <v>0.63100000000000001</v>
      </c>
      <c r="I418" s="119">
        <v>2.5</v>
      </c>
    </row>
    <row r="419" spans="2:9" customFormat="1" ht="15.75" x14ac:dyDescent="0.25">
      <c r="B419" s="71" t="s">
        <v>113</v>
      </c>
      <c r="C419" s="11" t="s">
        <v>568</v>
      </c>
      <c r="D419" s="12" t="s">
        <v>64</v>
      </c>
      <c r="E419" s="1" t="s">
        <v>603</v>
      </c>
      <c r="F419" s="21">
        <v>41687</v>
      </c>
      <c r="G419" s="85">
        <v>1</v>
      </c>
      <c r="H419" s="118">
        <v>3.8210000000000002</v>
      </c>
      <c r="I419" s="119">
        <v>10.15</v>
      </c>
    </row>
    <row r="420" spans="2:9" customFormat="1" ht="15.75" x14ac:dyDescent="0.25">
      <c r="B420" s="71" t="s">
        <v>117</v>
      </c>
      <c r="C420" s="11" t="s">
        <v>569</v>
      </c>
      <c r="D420" s="12" t="s">
        <v>28</v>
      </c>
      <c r="E420" s="1" t="s">
        <v>72</v>
      </c>
      <c r="F420" s="21">
        <v>41789</v>
      </c>
      <c r="G420" s="85">
        <v>1</v>
      </c>
      <c r="H420" s="118">
        <v>244.83</v>
      </c>
      <c r="I420" s="119">
        <v>842.1</v>
      </c>
    </row>
    <row r="421" spans="2:9" customFormat="1" ht="15.75" x14ac:dyDescent="0.25">
      <c r="B421" s="71" t="s">
        <v>144</v>
      </c>
      <c r="C421" s="11" t="s">
        <v>570</v>
      </c>
      <c r="D421" s="12" t="s">
        <v>59</v>
      </c>
      <c r="E421" s="1" t="s">
        <v>603</v>
      </c>
      <c r="F421" s="20">
        <v>2014</v>
      </c>
      <c r="G421" s="85">
        <v>1</v>
      </c>
      <c r="H421" s="118">
        <v>21.27</v>
      </c>
      <c r="I421" s="119">
        <v>58.48</v>
      </c>
    </row>
    <row r="422" spans="2:9" customFormat="1" ht="15.75" x14ac:dyDescent="0.25">
      <c r="B422" s="71" t="s">
        <v>86</v>
      </c>
      <c r="C422" s="11" t="s">
        <v>571</v>
      </c>
      <c r="D422" s="12" t="s">
        <v>20</v>
      </c>
      <c r="E422" s="1" t="s">
        <v>72</v>
      </c>
      <c r="F422" s="21">
        <v>41717</v>
      </c>
      <c r="G422" s="85">
        <v>1</v>
      </c>
      <c r="H422" s="118">
        <v>10</v>
      </c>
      <c r="I422" s="119">
        <v>20</v>
      </c>
    </row>
    <row r="423" spans="2:9" customFormat="1" ht="15.75" x14ac:dyDescent="0.25">
      <c r="B423" s="71" t="s">
        <v>130</v>
      </c>
      <c r="C423" s="11" t="s">
        <v>572</v>
      </c>
      <c r="D423" s="12" t="s">
        <v>24</v>
      </c>
      <c r="E423" s="1" t="s">
        <v>603</v>
      </c>
      <c r="F423" s="21">
        <v>41977</v>
      </c>
      <c r="G423" s="85">
        <v>1</v>
      </c>
      <c r="H423" s="118">
        <v>11.933999999999999</v>
      </c>
      <c r="I423" s="119">
        <v>36.094999999999999</v>
      </c>
    </row>
    <row r="424" spans="2:9" customFormat="1" ht="15.75" x14ac:dyDescent="0.25">
      <c r="B424" s="71" t="s">
        <v>103</v>
      </c>
      <c r="C424" s="11" t="s">
        <v>573</v>
      </c>
      <c r="D424" s="12" t="s">
        <v>42</v>
      </c>
      <c r="E424" s="1" t="s">
        <v>603</v>
      </c>
      <c r="F424" s="21">
        <v>41761</v>
      </c>
      <c r="G424" s="85">
        <v>1</v>
      </c>
      <c r="H424" s="118">
        <v>17.579999999999998</v>
      </c>
      <c r="I424" s="119">
        <v>89.56</v>
      </c>
    </row>
    <row r="425" spans="2:9" customFormat="1" ht="15.75" x14ac:dyDescent="0.25">
      <c r="B425" s="71" t="s">
        <v>96</v>
      </c>
      <c r="C425" s="11" t="s">
        <v>574</v>
      </c>
      <c r="D425" s="12" t="s">
        <v>49</v>
      </c>
      <c r="E425" s="1" t="s">
        <v>603</v>
      </c>
      <c r="F425" s="21">
        <v>41740</v>
      </c>
      <c r="G425" s="85">
        <v>1</v>
      </c>
      <c r="H425" s="118">
        <v>10.433</v>
      </c>
      <c r="I425" s="119">
        <v>38</v>
      </c>
    </row>
    <row r="426" spans="2:9" customFormat="1" ht="15.75" x14ac:dyDescent="0.25">
      <c r="B426" s="71" t="s">
        <v>93</v>
      </c>
      <c r="C426" s="11" t="s">
        <v>269</v>
      </c>
      <c r="D426" s="12" t="s">
        <v>8</v>
      </c>
      <c r="E426" s="1" t="s">
        <v>603</v>
      </c>
      <c r="F426" s="21">
        <v>41711</v>
      </c>
      <c r="G426" s="85">
        <v>1</v>
      </c>
      <c r="H426" s="118">
        <v>6.84</v>
      </c>
      <c r="I426" s="119">
        <v>20</v>
      </c>
    </row>
    <row r="427" spans="2:9" customFormat="1" ht="15.75" x14ac:dyDescent="0.25">
      <c r="B427" s="71" t="s">
        <v>139</v>
      </c>
      <c r="C427" s="11" t="s">
        <v>575</v>
      </c>
      <c r="D427" s="12" t="s">
        <v>31</v>
      </c>
      <c r="E427" s="1" t="s">
        <v>603</v>
      </c>
      <c r="F427" s="20">
        <v>2014</v>
      </c>
      <c r="G427" s="85">
        <v>1</v>
      </c>
      <c r="H427" s="118">
        <v>49.2</v>
      </c>
      <c r="I427" s="119">
        <v>152.13</v>
      </c>
    </row>
    <row r="428" spans="2:9" customFormat="1" ht="15.75" x14ac:dyDescent="0.25">
      <c r="B428" s="71" t="s">
        <v>135</v>
      </c>
      <c r="C428" s="11" t="s">
        <v>576</v>
      </c>
      <c r="D428" s="12" t="s">
        <v>57</v>
      </c>
      <c r="E428" s="1" t="s">
        <v>603</v>
      </c>
      <c r="F428" s="21">
        <v>41880</v>
      </c>
      <c r="G428" s="85">
        <v>1</v>
      </c>
      <c r="H428" s="118">
        <v>30.24</v>
      </c>
      <c r="I428" s="119">
        <v>171.68</v>
      </c>
    </row>
    <row r="429" spans="2:9" customFormat="1" ht="15.75" x14ac:dyDescent="0.25">
      <c r="B429" s="71" t="s">
        <v>136</v>
      </c>
      <c r="C429" s="11" t="s">
        <v>606</v>
      </c>
      <c r="D429" s="12" t="s">
        <v>25</v>
      </c>
      <c r="E429" s="1" t="s">
        <v>603</v>
      </c>
      <c r="F429" s="21">
        <v>41754</v>
      </c>
      <c r="G429" s="85">
        <v>1</v>
      </c>
      <c r="H429" s="118">
        <v>46.2</v>
      </c>
      <c r="I429" s="119">
        <v>141.37</v>
      </c>
    </row>
    <row r="430" spans="2:9" customFormat="1" ht="15.75" x14ac:dyDescent="0.25">
      <c r="B430" s="71" t="s">
        <v>104</v>
      </c>
      <c r="C430" s="11" t="s">
        <v>577</v>
      </c>
      <c r="D430" s="12" t="s">
        <v>61</v>
      </c>
      <c r="E430" s="1" t="s">
        <v>603</v>
      </c>
      <c r="F430" s="21">
        <v>41963</v>
      </c>
      <c r="G430" s="85">
        <v>1</v>
      </c>
      <c r="H430" s="118">
        <v>7.52</v>
      </c>
      <c r="I430" s="119">
        <v>19.669</v>
      </c>
    </row>
    <row r="431" spans="2:9" customFormat="1" ht="15.75" x14ac:dyDescent="0.25">
      <c r="B431" s="71" t="s">
        <v>104</v>
      </c>
      <c r="C431" s="11" t="s">
        <v>578</v>
      </c>
      <c r="D431" s="12" t="s">
        <v>61</v>
      </c>
      <c r="E431" s="1" t="s">
        <v>603</v>
      </c>
      <c r="F431" s="21">
        <v>41704</v>
      </c>
      <c r="G431" s="85">
        <v>1</v>
      </c>
      <c r="H431" s="118">
        <v>8.9700000000000006</v>
      </c>
      <c r="I431" s="119">
        <v>25.913</v>
      </c>
    </row>
    <row r="432" spans="2:9" customFormat="1" ht="15.75" x14ac:dyDescent="0.25">
      <c r="B432" s="71" t="s">
        <v>137</v>
      </c>
      <c r="C432" s="11" t="s">
        <v>579</v>
      </c>
      <c r="D432" s="12" t="s">
        <v>38</v>
      </c>
      <c r="E432" s="1" t="s">
        <v>603</v>
      </c>
      <c r="F432" s="21">
        <v>41985</v>
      </c>
      <c r="G432" s="85">
        <v>1</v>
      </c>
      <c r="H432" s="118">
        <v>35.186</v>
      </c>
      <c r="I432" s="119">
        <v>110</v>
      </c>
    </row>
    <row r="433" spans="2:9" customFormat="1" ht="15.75" x14ac:dyDescent="0.25">
      <c r="B433" s="71" t="s">
        <v>114</v>
      </c>
      <c r="C433" s="11" t="s">
        <v>580</v>
      </c>
      <c r="D433" s="12" t="s">
        <v>54</v>
      </c>
      <c r="E433" s="1" t="s">
        <v>603</v>
      </c>
      <c r="F433" s="21">
        <v>41859</v>
      </c>
      <c r="G433" s="85">
        <v>1</v>
      </c>
      <c r="H433" s="118">
        <v>5.95</v>
      </c>
      <c r="I433" s="119">
        <v>15.6</v>
      </c>
    </row>
    <row r="434" spans="2:9" customFormat="1" ht="15.75" x14ac:dyDescent="0.25">
      <c r="B434" s="71" t="s">
        <v>94</v>
      </c>
      <c r="C434" s="11" t="s">
        <v>581</v>
      </c>
      <c r="D434" s="12" t="s">
        <v>36</v>
      </c>
      <c r="E434" s="1" t="s">
        <v>603</v>
      </c>
      <c r="F434" s="21">
        <v>41747</v>
      </c>
      <c r="G434" s="85">
        <v>1</v>
      </c>
      <c r="H434" s="118">
        <v>18.77</v>
      </c>
      <c r="I434" s="119">
        <v>83.36</v>
      </c>
    </row>
    <row r="435" spans="2:9" customFormat="1" ht="15.75" x14ac:dyDescent="0.25">
      <c r="B435" s="71" t="s">
        <v>99</v>
      </c>
      <c r="C435" s="11" t="s">
        <v>600</v>
      </c>
      <c r="D435" s="12" t="s">
        <v>55</v>
      </c>
      <c r="E435" s="1" t="s">
        <v>603</v>
      </c>
      <c r="F435" s="21">
        <v>41932</v>
      </c>
      <c r="G435" s="85">
        <v>1</v>
      </c>
      <c r="H435" s="118">
        <v>5</v>
      </c>
      <c r="I435" s="119">
        <v>12.57</v>
      </c>
    </row>
    <row r="436" spans="2:9" customFormat="1" ht="15.75" x14ac:dyDescent="0.25">
      <c r="B436" s="71" t="s">
        <v>140</v>
      </c>
      <c r="C436" s="11" t="s">
        <v>601</v>
      </c>
      <c r="D436" s="12" t="s">
        <v>56</v>
      </c>
      <c r="E436" s="1" t="s">
        <v>603</v>
      </c>
      <c r="F436" s="21">
        <v>41927</v>
      </c>
      <c r="G436" s="85">
        <v>1</v>
      </c>
      <c r="H436" s="118">
        <v>2.36</v>
      </c>
      <c r="I436" s="119">
        <v>9.66</v>
      </c>
    </row>
    <row r="437" spans="2:9" customFormat="1" ht="15.75" x14ac:dyDescent="0.25">
      <c r="B437" s="71" t="s">
        <v>140</v>
      </c>
      <c r="C437" s="11" t="s">
        <v>602</v>
      </c>
      <c r="D437" s="12" t="s">
        <v>56</v>
      </c>
      <c r="E437" s="1" t="s">
        <v>603</v>
      </c>
      <c r="F437" s="21">
        <v>41992</v>
      </c>
      <c r="G437" s="85">
        <v>1</v>
      </c>
      <c r="H437" s="118">
        <v>8.82</v>
      </c>
      <c r="I437" s="119">
        <v>32.543999999999997</v>
      </c>
    </row>
    <row r="438" spans="2:9" customFormat="1" ht="15.75" x14ac:dyDescent="0.25">
      <c r="B438" s="71" t="s">
        <v>117</v>
      </c>
      <c r="C438" s="11" t="s">
        <v>582</v>
      </c>
      <c r="D438" s="12" t="s">
        <v>28</v>
      </c>
      <c r="E438" s="1" t="s">
        <v>603</v>
      </c>
      <c r="F438" s="21">
        <v>41751</v>
      </c>
      <c r="G438" s="85">
        <v>1</v>
      </c>
      <c r="H438" s="118">
        <v>7.19</v>
      </c>
      <c r="I438" s="119">
        <v>25.22</v>
      </c>
    </row>
    <row r="439" spans="2:9" customFormat="1" ht="15.75" x14ac:dyDescent="0.25">
      <c r="B439" s="71" t="s">
        <v>120</v>
      </c>
      <c r="C439" s="11" t="s">
        <v>311</v>
      </c>
      <c r="D439" s="12" t="s">
        <v>40</v>
      </c>
      <c r="E439" s="1" t="s">
        <v>603</v>
      </c>
      <c r="F439" s="21">
        <v>41726</v>
      </c>
      <c r="G439" s="85">
        <v>1</v>
      </c>
      <c r="H439" s="118">
        <v>17.100000000000001</v>
      </c>
      <c r="I439" s="119">
        <v>50.78</v>
      </c>
    </row>
    <row r="440" spans="2:9" customFormat="1" ht="15.75" x14ac:dyDescent="0.25">
      <c r="B440" s="71" t="s">
        <v>126</v>
      </c>
      <c r="C440" s="11" t="s">
        <v>583</v>
      </c>
      <c r="D440" s="12" t="s">
        <v>51</v>
      </c>
      <c r="E440" s="1" t="s">
        <v>603</v>
      </c>
      <c r="F440" s="21">
        <v>41740</v>
      </c>
      <c r="G440" s="85">
        <v>1</v>
      </c>
      <c r="H440" s="118">
        <v>3.75</v>
      </c>
      <c r="I440" s="119">
        <v>11.43</v>
      </c>
    </row>
    <row r="441" spans="2:9" customFormat="1" ht="15.75" x14ac:dyDescent="0.25">
      <c r="B441" s="71" t="s">
        <v>139</v>
      </c>
      <c r="C441" s="11" t="s">
        <v>584</v>
      </c>
      <c r="D441" s="12" t="s">
        <v>31</v>
      </c>
      <c r="E441" s="1" t="s">
        <v>603</v>
      </c>
      <c r="F441" s="21">
        <v>41830</v>
      </c>
      <c r="G441" s="85">
        <v>1</v>
      </c>
      <c r="H441" s="118">
        <v>36.26</v>
      </c>
      <c r="I441" s="119">
        <v>121</v>
      </c>
    </row>
    <row r="442" spans="2:9" customFormat="1" ht="15.75" x14ac:dyDescent="0.25">
      <c r="B442" s="71" t="s">
        <v>99</v>
      </c>
      <c r="C442" s="11" t="s">
        <v>585</v>
      </c>
      <c r="D442" s="12" t="s">
        <v>55</v>
      </c>
      <c r="E442" s="1" t="s">
        <v>603</v>
      </c>
      <c r="F442" s="21">
        <v>41810</v>
      </c>
      <c r="G442" s="85">
        <v>1</v>
      </c>
      <c r="H442" s="118">
        <v>9.06</v>
      </c>
      <c r="I442" s="119">
        <v>26.13</v>
      </c>
    </row>
    <row r="443" spans="2:9" customFormat="1" ht="15.75" x14ac:dyDescent="0.25">
      <c r="B443" s="71" t="s">
        <v>114</v>
      </c>
      <c r="C443" s="11" t="s">
        <v>586</v>
      </c>
      <c r="D443" s="12" t="s">
        <v>54</v>
      </c>
      <c r="E443" s="1" t="s">
        <v>603</v>
      </c>
      <c r="F443" s="21">
        <v>41974</v>
      </c>
      <c r="G443" s="85">
        <v>1</v>
      </c>
      <c r="H443" s="118">
        <v>11.089</v>
      </c>
      <c r="I443" s="119">
        <v>31</v>
      </c>
    </row>
    <row r="444" spans="2:9" customFormat="1" ht="15.75" x14ac:dyDescent="0.25">
      <c r="B444" s="71" t="s">
        <v>137</v>
      </c>
      <c r="C444" s="11" t="s">
        <v>587</v>
      </c>
      <c r="D444" s="12" t="s">
        <v>38</v>
      </c>
      <c r="E444" s="1" t="s">
        <v>603</v>
      </c>
      <c r="F444" s="21">
        <v>41957</v>
      </c>
      <c r="G444" s="85">
        <v>1</v>
      </c>
      <c r="H444" s="118">
        <v>21.315000000000001</v>
      </c>
      <c r="I444" s="119">
        <v>83.54</v>
      </c>
    </row>
    <row r="445" spans="2:9" customFormat="1" ht="15.75" x14ac:dyDescent="0.25">
      <c r="B445" s="71" t="s">
        <v>114</v>
      </c>
      <c r="C445" s="11" t="s">
        <v>588</v>
      </c>
      <c r="D445" s="12" t="s">
        <v>54</v>
      </c>
      <c r="E445" s="1" t="s">
        <v>603</v>
      </c>
      <c r="F445" s="21">
        <v>41913</v>
      </c>
      <c r="G445" s="85">
        <v>1</v>
      </c>
      <c r="H445" s="118">
        <v>4.0599999999999996</v>
      </c>
      <c r="I445" s="119">
        <v>12.79</v>
      </c>
    </row>
    <row r="446" spans="2:9" customFormat="1" ht="15.75" x14ac:dyDescent="0.25">
      <c r="B446" s="71" t="s">
        <v>140</v>
      </c>
      <c r="C446" s="11" t="s">
        <v>589</v>
      </c>
      <c r="D446" s="12" t="s">
        <v>56</v>
      </c>
      <c r="E446" s="1" t="s">
        <v>603</v>
      </c>
      <c r="F446" s="21">
        <v>41836</v>
      </c>
      <c r="G446" s="85">
        <v>1</v>
      </c>
      <c r="H446" s="118">
        <v>13.5</v>
      </c>
      <c r="I446" s="119">
        <v>46.89</v>
      </c>
    </row>
    <row r="447" spans="2:9" customFormat="1" ht="15.75" x14ac:dyDescent="0.25">
      <c r="B447" s="71" t="s">
        <v>120</v>
      </c>
      <c r="C447" s="11" t="s">
        <v>590</v>
      </c>
      <c r="D447" s="12" t="s">
        <v>40</v>
      </c>
      <c r="E447" s="1" t="s">
        <v>603</v>
      </c>
      <c r="F447" s="21">
        <v>41901</v>
      </c>
      <c r="G447" s="85">
        <v>1</v>
      </c>
      <c r="H447" s="118">
        <v>28.96</v>
      </c>
      <c r="I447" s="119">
        <v>82.180999999999997</v>
      </c>
    </row>
    <row r="448" spans="2:9" customFormat="1" ht="15.75" x14ac:dyDescent="0.25">
      <c r="B448" s="71" t="s">
        <v>118</v>
      </c>
      <c r="C448" s="11" t="s">
        <v>591</v>
      </c>
      <c r="D448" s="12" t="s">
        <v>27</v>
      </c>
      <c r="E448" s="1" t="s">
        <v>603</v>
      </c>
      <c r="F448" s="21">
        <v>41754</v>
      </c>
      <c r="G448" s="85">
        <v>1</v>
      </c>
      <c r="H448" s="118">
        <v>9.7620000000000005</v>
      </c>
      <c r="I448" s="119">
        <v>23.28</v>
      </c>
    </row>
    <row r="449" spans="2:9" customFormat="1" ht="15.75" x14ac:dyDescent="0.25">
      <c r="B449" s="71" t="s">
        <v>139</v>
      </c>
      <c r="C449" s="11" t="s">
        <v>592</v>
      </c>
      <c r="D449" s="12" t="s">
        <v>31</v>
      </c>
      <c r="E449" s="1" t="s">
        <v>603</v>
      </c>
      <c r="F449" s="21">
        <v>41802</v>
      </c>
      <c r="G449" s="85">
        <v>1</v>
      </c>
      <c r="H449" s="118">
        <v>3.43</v>
      </c>
      <c r="I449" s="119">
        <v>10.16</v>
      </c>
    </row>
    <row r="450" spans="2:9" customFormat="1" ht="15.75" x14ac:dyDescent="0.25">
      <c r="B450" s="71" t="s">
        <v>117</v>
      </c>
      <c r="C450" s="11" t="s">
        <v>593</v>
      </c>
      <c r="D450" s="12" t="s">
        <v>28</v>
      </c>
      <c r="E450" s="1" t="s">
        <v>603</v>
      </c>
      <c r="F450" s="21">
        <v>41772</v>
      </c>
      <c r="G450" s="85">
        <v>1</v>
      </c>
      <c r="H450" s="118">
        <v>7.39</v>
      </c>
      <c r="I450" s="119">
        <v>14.03</v>
      </c>
    </row>
    <row r="451" spans="2:9" customFormat="1" ht="15.75" x14ac:dyDescent="0.25">
      <c r="B451" s="71" t="s">
        <v>99</v>
      </c>
      <c r="C451" s="11" t="s">
        <v>594</v>
      </c>
      <c r="D451" s="12" t="s">
        <v>55</v>
      </c>
      <c r="E451" s="1" t="s">
        <v>603</v>
      </c>
      <c r="F451" s="21">
        <v>41950</v>
      </c>
      <c r="G451" s="85">
        <v>1</v>
      </c>
      <c r="H451" s="118">
        <v>3.3879999999999999</v>
      </c>
      <c r="I451" s="119">
        <v>13.4</v>
      </c>
    </row>
    <row r="452" spans="2:9" customFormat="1" ht="15.75" x14ac:dyDescent="0.25">
      <c r="B452" s="71" t="s">
        <v>113</v>
      </c>
      <c r="C452" s="11" t="s">
        <v>605</v>
      </c>
      <c r="D452" s="12" t="s">
        <v>64</v>
      </c>
      <c r="E452" s="1" t="s">
        <v>603</v>
      </c>
      <c r="F452" s="21">
        <v>41837</v>
      </c>
      <c r="G452" s="85">
        <v>1</v>
      </c>
      <c r="H452" s="118">
        <v>10.319000000000001</v>
      </c>
      <c r="I452" s="119">
        <v>39.033999999999999</v>
      </c>
    </row>
    <row r="453" spans="2:9" customFormat="1" ht="15.75" x14ac:dyDescent="0.25">
      <c r="B453" s="71" t="s">
        <v>104</v>
      </c>
      <c r="C453" s="11" t="s">
        <v>595</v>
      </c>
      <c r="D453" s="12" t="s">
        <v>61</v>
      </c>
      <c r="E453" s="1" t="s">
        <v>603</v>
      </c>
      <c r="F453" s="21">
        <v>41957</v>
      </c>
      <c r="G453" s="85">
        <v>1</v>
      </c>
      <c r="H453" s="118">
        <v>11.7</v>
      </c>
      <c r="I453" s="119">
        <v>42.789000000000001</v>
      </c>
    </row>
    <row r="454" spans="2:9" customFormat="1" ht="15.75" x14ac:dyDescent="0.25">
      <c r="B454" s="71" t="s">
        <v>96</v>
      </c>
      <c r="C454" s="11" t="s">
        <v>596</v>
      </c>
      <c r="D454" s="12" t="s">
        <v>49</v>
      </c>
      <c r="E454" s="1" t="s">
        <v>603</v>
      </c>
      <c r="F454" s="21">
        <v>42003</v>
      </c>
      <c r="G454" s="85">
        <v>1</v>
      </c>
      <c r="H454" s="118">
        <v>6.62</v>
      </c>
      <c r="I454" s="119">
        <v>23</v>
      </c>
    </row>
    <row r="455" spans="2:9" customFormat="1" ht="15.75" x14ac:dyDescent="0.25">
      <c r="B455" s="71" t="s">
        <v>140</v>
      </c>
      <c r="C455" s="11" t="s">
        <v>597</v>
      </c>
      <c r="D455" s="12" t="s">
        <v>56</v>
      </c>
      <c r="E455" s="1" t="s">
        <v>603</v>
      </c>
      <c r="F455" s="21">
        <v>42004</v>
      </c>
      <c r="G455" s="85">
        <v>1</v>
      </c>
      <c r="H455" s="118">
        <v>3.72</v>
      </c>
      <c r="I455" s="119">
        <v>14.47</v>
      </c>
    </row>
    <row r="456" spans="2:9" customFormat="1" ht="15.75" x14ac:dyDescent="0.25">
      <c r="B456" s="71" t="s">
        <v>106</v>
      </c>
      <c r="C456" s="11" t="s">
        <v>598</v>
      </c>
      <c r="D456" s="12" t="s">
        <v>41</v>
      </c>
      <c r="E456" s="1" t="s">
        <v>603</v>
      </c>
      <c r="F456" s="21">
        <v>41775</v>
      </c>
      <c r="G456" s="85">
        <v>1</v>
      </c>
      <c r="H456" s="118">
        <v>5.4219999999999997</v>
      </c>
      <c r="I456" s="119">
        <v>18.61</v>
      </c>
    </row>
    <row r="457" spans="2:9" customFormat="1" ht="16.5" thickBot="1" x14ac:dyDescent="0.3">
      <c r="B457" s="76" t="s">
        <v>139</v>
      </c>
      <c r="C457" s="48" t="s">
        <v>599</v>
      </c>
      <c r="D457" s="33" t="s">
        <v>31</v>
      </c>
      <c r="E457" s="34" t="s">
        <v>603</v>
      </c>
      <c r="F457" s="35">
        <v>41929</v>
      </c>
      <c r="G457" s="85">
        <v>1</v>
      </c>
      <c r="H457" s="36">
        <v>3.9780000000000002</v>
      </c>
      <c r="I457" s="66">
        <v>10.063000000000001</v>
      </c>
    </row>
    <row r="458" spans="2:9" ht="20.100000000000001" customHeight="1" x14ac:dyDescent="0.25">
      <c r="B458" s="104" t="s">
        <v>560</v>
      </c>
      <c r="G458" s="85"/>
      <c r="H458" s="40"/>
      <c r="I458" s="41"/>
    </row>
    <row r="459" spans="2:9" ht="20.100000000000001" customHeight="1" x14ac:dyDescent="0.25">
      <c r="B459" s="104" t="s">
        <v>561</v>
      </c>
      <c r="G459" s="85"/>
    </row>
    <row r="460" spans="2:9" ht="20.100000000000001" customHeight="1" x14ac:dyDescent="0.25">
      <c r="H460" s="37"/>
    </row>
    <row r="462" spans="2:9" ht="20.100000000000001" customHeight="1" x14ac:dyDescent="0.25">
      <c r="F462" s="42"/>
      <c r="G462" s="42"/>
      <c r="H462" s="37"/>
    </row>
    <row r="463" spans="2:9" ht="20.100000000000001" customHeight="1" x14ac:dyDescent="0.25">
      <c r="F463" s="42"/>
      <c r="G463" s="42"/>
      <c r="H463" s="37"/>
    </row>
  </sheetData>
  <autoFilter ref="B3:I459"/>
  <mergeCells count="9">
    <mergeCell ref="I62:I63"/>
    <mergeCell ref="I78:I79"/>
    <mergeCell ref="B2:I2"/>
    <mergeCell ref="H390:H391"/>
    <mergeCell ref="I390:I391"/>
    <mergeCell ref="H132:H133"/>
    <mergeCell ref="I132:I133"/>
    <mergeCell ref="H251:H252"/>
    <mergeCell ref="I251:I252"/>
  </mergeCells>
  <conditionalFormatting sqref="H412:I412">
    <cfRule type="cellIs" dxfId="13" priority="9" stopIfTrue="1" operator="equal">
      <formula>0</formula>
    </cfRule>
    <cfRule type="cellIs" dxfId="12" priority="10" stopIfTrue="1" operator="equal">
      <formula>""</formula>
    </cfRule>
  </conditionalFormatting>
  <conditionalFormatting sqref="H414:I456">
    <cfRule type="cellIs" dxfId="11" priority="7" stopIfTrue="1" operator="equal">
      <formula>0</formula>
    </cfRule>
    <cfRule type="cellIs" dxfId="10" priority="8" stopIfTrue="1" operator="equal">
      <formula>""</formula>
    </cfRule>
  </conditionalFormatting>
  <conditionalFormatting sqref="H457:I457">
    <cfRule type="cellIs" dxfId="9" priority="3" stopIfTrue="1" operator="equal">
      <formula>0</formula>
    </cfRule>
    <cfRule type="cellIs" dxfId="8" priority="4" stopIfTrue="1" operator="equal">
      <formula>""</formula>
    </cfRule>
  </conditionalFormatting>
  <conditionalFormatting sqref="H413:I413">
    <cfRule type="cellIs" dxfId="7" priority="1" stopIfTrue="1" operator="equal">
      <formula>0</formula>
    </cfRule>
    <cfRule type="cellIs" dxfId="6" priority="2" stopIfTrue="1" operator="equal">
      <formula>""</formula>
    </cfRule>
  </conditionalFormatting>
  <pageMargins left="0.70866141732283472" right="0.70866141732283472" top="0.74803149606299213" bottom="0.74803149606299213" header="0.31496062992125984" footer="0.31496062992125984"/>
  <pageSetup paperSize="9" scale="55" orientation="portrait" r:id="rId1"/>
  <rowBreaks count="6" manualBreakCount="6">
    <brk id="63" max="8" man="1"/>
    <brk id="126" max="8" man="1"/>
    <brk id="187" max="8" man="1"/>
    <brk id="249" max="8" man="1"/>
    <brk id="308" max="8" man="1"/>
    <brk id="371" max="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4"/>
  <sheetViews>
    <sheetView topLeftCell="G44" workbookViewId="0">
      <selection activeCell="I1" sqref="I1:N67"/>
    </sheetView>
  </sheetViews>
  <sheetFormatPr defaultRowHeight="15" x14ac:dyDescent="0.25"/>
  <cols>
    <col min="1" max="1" width="16" customWidth="1"/>
    <col min="2" max="2" width="39.140625" customWidth="1"/>
    <col min="3" max="3" width="25.5703125" customWidth="1"/>
    <col min="5" max="5" width="12.140625" customWidth="1"/>
    <col min="7" max="8" width="12.7109375" customWidth="1"/>
    <col min="10" max="10" width="18.28515625" customWidth="1"/>
    <col min="14" max="14" width="23.5703125" customWidth="1"/>
  </cols>
  <sheetData>
    <row r="1" spans="1:14" ht="79.5" thickBot="1" x14ac:dyDescent="0.3">
      <c r="A1" s="106" t="s">
        <v>559</v>
      </c>
      <c r="B1" s="88" t="s">
        <v>147</v>
      </c>
      <c r="C1" s="89" t="s">
        <v>68</v>
      </c>
      <c r="D1" s="90" t="s">
        <v>69</v>
      </c>
      <c r="E1" s="91" t="s">
        <v>70</v>
      </c>
      <c r="F1" s="92" t="s">
        <v>148</v>
      </c>
      <c r="G1" s="93" t="s">
        <v>563</v>
      </c>
      <c r="H1" s="120"/>
      <c r="I1" s="115"/>
      <c r="J1" s="115" t="s">
        <v>148</v>
      </c>
      <c r="K1" s="115"/>
      <c r="M1" s="115"/>
      <c r="N1" s="115" t="s">
        <v>562</v>
      </c>
    </row>
    <row r="2" spans="1:14" ht="15.75" x14ac:dyDescent="0.25">
      <c r="A2" s="105" t="s">
        <v>135</v>
      </c>
      <c r="B2" s="82" t="s">
        <v>149</v>
      </c>
      <c r="C2" s="83" t="s">
        <v>57</v>
      </c>
      <c r="D2" s="84" t="s">
        <v>75</v>
      </c>
      <c r="E2" s="85">
        <v>1953</v>
      </c>
      <c r="F2" s="86">
        <v>0.18</v>
      </c>
      <c r="G2" s="87">
        <v>0.5</v>
      </c>
      <c r="H2" s="121"/>
      <c r="I2" s="113" t="s">
        <v>4</v>
      </c>
      <c r="J2" s="114">
        <v>1140.796</v>
      </c>
      <c r="M2" s="113" t="s">
        <v>4</v>
      </c>
      <c r="N2" s="114">
        <v>3929.2890000000002</v>
      </c>
    </row>
    <row r="3" spans="1:14" ht="15.75" x14ac:dyDescent="0.25">
      <c r="A3" s="105" t="s">
        <v>135</v>
      </c>
      <c r="B3" s="81" t="s">
        <v>150</v>
      </c>
      <c r="C3" s="79" t="s">
        <v>57</v>
      </c>
      <c r="D3" s="1" t="s">
        <v>75</v>
      </c>
      <c r="E3" s="2">
        <v>1953</v>
      </c>
      <c r="F3" s="3">
        <v>0.26400000000000001</v>
      </c>
      <c r="G3" s="51">
        <v>1</v>
      </c>
      <c r="H3" s="121"/>
      <c r="I3" s="113" t="s">
        <v>37</v>
      </c>
      <c r="J3" s="114">
        <v>743.16039999999998</v>
      </c>
      <c r="M3" s="113" t="s">
        <v>145</v>
      </c>
      <c r="N3" s="114">
        <v>2516</v>
      </c>
    </row>
    <row r="4" spans="1:14" ht="15.75" x14ac:dyDescent="0.25">
      <c r="A4" s="77" t="s">
        <v>88</v>
      </c>
      <c r="B4" s="81" t="s">
        <v>151</v>
      </c>
      <c r="C4" s="79" t="s">
        <v>16</v>
      </c>
      <c r="D4" s="1" t="s">
        <v>75</v>
      </c>
      <c r="E4" s="2">
        <v>1938</v>
      </c>
      <c r="F4" s="3">
        <v>0.36</v>
      </c>
      <c r="G4" s="51">
        <v>1</v>
      </c>
      <c r="H4" s="121"/>
      <c r="I4" s="113" t="s">
        <v>8</v>
      </c>
      <c r="J4" s="114">
        <v>695.75300000000004</v>
      </c>
      <c r="M4" s="113" t="s">
        <v>8</v>
      </c>
      <c r="N4" s="114">
        <v>2150.8709999999996</v>
      </c>
    </row>
    <row r="5" spans="1:14" ht="15.75" x14ac:dyDescent="0.25">
      <c r="A5" s="77" t="s">
        <v>91</v>
      </c>
      <c r="B5" s="81" t="s">
        <v>152</v>
      </c>
      <c r="C5" s="79" t="s">
        <v>45</v>
      </c>
      <c r="D5" s="1" t="s">
        <v>75</v>
      </c>
      <c r="E5" s="2">
        <v>1986</v>
      </c>
      <c r="F5" s="3">
        <v>1.04</v>
      </c>
      <c r="G5" s="51">
        <v>2</v>
      </c>
      <c r="H5" s="121"/>
      <c r="I5" s="113" t="s">
        <v>145</v>
      </c>
      <c r="J5" s="114">
        <v>672</v>
      </c>
      <c r="M5" s="113" t="s">
        <v>31</v>
      </c>
      <c r="N5" s="114">
        <v>2074.973</v>
      </c>
    </row>
    <row r="6" spans="1:14" ht="15.75" x14ac:dyDescent="0.25">
      <c r="A6" s="77" t="s">
        <v>91</v>
      </c>
      <c r="B6" s="81" t="s">
        <v>153</v>
      </c>
      <c r="C6" s="79" t="s">
        <v>45</v>
      </c>
      <c r="D6" s="1" t="s">
        <v>75</v>
      </c>
      <c r="E6" s="2">
        <v>1972</v>
      </c>
      <c r="F6" s="3">
        <v>0.6</v>
      </c>
      <c r="G6" s="51">
        <v>1</v>
      </c>
      <c r="H6" s="121"/>
      <c r="I6" s="113" t="s">
        <v>31</v>
      </c>
      <c r="J6" s="114">
        <v>631.95900000000006</v>
      </c>
      <c r="M6" s="113" t="s">
        <v>37</v>
      </c>
      <c r="N6" s="114">
        <v>2026.5699999999995</v>
      </c>
    </row>
    <row r="7" spans="1:14" ht="15.75" x14ac:dyDescent="0.25">
      <c r="A7" s="77" t="s">
        <v>91</v>
      </c>
      <c r="B7" s="81" t="s">
        <v>154</v>
      </c>
      <c r="C7" s="79" t="s">
        <v>45</v>
      </c>
      <c r="D7" s="1" t="s">
        <v>75</v>
      </c>
      <c r="E7" s="2">
        <v>1959</v>
      </c>
      <c r="F7" s="3">
        <v>10.8</v>
      </c>
      <c r="G7" s="51">
        <v>70</v>
      </c>
      <c r="H7" s="121"/>
      <c r="I7" s="113" t="s">
        <v>28</v>
      </c>
      <c r="J7" s="114">
        <v>580.79600000000005</v>
      </c>
      <c r="M7" s="113" t="s">
        <v>28</v>
      </c>
      <c r="N7" s="114">
        <v>1896.65</v>
      </c>
    </row>
    <row r="8" spans="1:14" ht="15.75" x14ac:dyDescent="0.25">
      <c r="A8" s="77" t="s">
        <v>109</v>
      </c>
      <c r="B8" s="81" t="s">
        <v>155</v>
      </c>
      <c r="C8" s="79" t="s">
        <v>58</v>
      </c>
      <c r="D8" s="1" t="s">
        <v>75</v>
      </c>
      <c r="E8" s="2">
        <v>1954</v>
      </c>
      <c r="F8" s="3">
        <v>0.4</v>
      </c>
      <c r="G8" s="51">
        <v>1.5</v>
      </c>
      <c r="H8" s="121"/>
      <c r="I8" s="113" t="s">
        <v>60</v>
      </c>
      <c r="J8" s="114">
        <v>536.13000000000011</v>
      </c>
      <c r="M8" s="113" t="s">
        <v>32</v>
      </c>
      <c r="N8" s="114">
        <v>1611.57</v>
      </c>
    </row>
    <row r="9" spans="1:14" ht="15.75" x14ac:dyDescent="0.25">
      <c r="A9" s="77" t="s">
        <v>112</v>
      </c>
      <c r="B9" s="81" t="s">
        <v>156</v>
      </c>
      <c r="C9" s="79" t="s">
        <v>6</v>
      </c>
      <c r="D9" s="1" t="s">
        <v>78</v>
      </c>
      <c r="E9" s="2">
        <v>1955</v>
      </c>
      <c r="F9" s="4">
        <v>0.8</v>
      </c>
      <c r="G9" s="52">
        <v>3</v>
      </c>
      <c r="H9" s="122"/>
      <c r="I9" s="113" t="s">
        <v>32</v>
      </c>
      <c r="J9" s="114">
        <v>468.59699999999998</v>
      </c>
      <c r="M9" s="113" t="s">
        <v>64</v>
      </c>
      <c r="N9" s="114">
        <v>1560.8130000000003</v>
      </c>
    </row>
    <row r="10" spans="1:14" ht="15.75" x14ac:dyDescent="0.25">
      <c r="A10" s="77" t="s">
        <v>125</v>
      </c>
      <c r="B10" s="81" t="s">
        <v>157</v>
      </c>
      <c r="C10" s="79" t="s">
        <v>66</v>
      </c>
      <c r="D10" s="1" t="s">
        <v>75</v>
      </c>
      <c r="E10" s="2">
        <v>1968</v>
      </c>
      <c r="F10" s="3">
        <v>4.5999999999999996</v>
      </c>
      <c r="G10" s="51">
        <v>14</v>
      </c>
      <c r="H10" s="121"/>
      <c r="I10" s="113" t="s">
        <v>64</v>
      </c>
      <c r="J10" s="114">
        <v>434.19599999999991</v>
      </c>
      <c r="M10" s="113" t="s">
        <v>60</v>
      </c>
      <c r="N10" s="114">
        <v>1560.03</v>
      </c>
    </row>
    <row r="11" spans="1:14" ht="15.75" x14ac:dyDescent="0.25">
      <c r="A11" s="77" t="s">
        <v>125</v>
      </c>
      <c r="B11" s="81" t="s">
        <v>158</v>
      </c>
      <c r="C11" s="79" t="s">
        <v>66</v>
      </c>
      <c r="D11" s="1" t="s">
        <v>72</v>
      </c>
      <c r="E11" s="2">
        <v>1993</v>
      </c>
      <c r="F11" s="3">
        <v>8.39</v>
      </c>
      <c r="G11" s="51">
        <v>44</v>
      </c>
      <c r="H11" s="121"/>
      <c r="I11" s="113" t="s">
        <v>59</v>
      </c>
      <c r="J11" s="114">
        <v>342.9</v>
      </c>
      <c r="M11" s="113" t="s">
        <v>56</v>
      </c>
      <c r="N11" s="114">
        <v>1330.8300000000004</v>
      </c>
    </row>
    <row r="12" spans="1:14" ht="15.75" x14ac:dyDescent="0.25">
      <c r="A12" s="77" t="s">
        <v>125</v>
      </c>
      <c r="B12" s="81" t="s">
        <v>159</v>
      </c>
      <c r="C12" s="79" t="s">
        <v>66</v>
      </c>
      <c r="D12" s="1" t="s">
        <v>72</v>
      </c>
      <c r="E12" s="2">
        <v>1989</v>
      </c>
      <c r="F12" s="3">
        <v>4.5</v>
      </c>
      <c r="G12" s="51">
        <v>13</v>
      </c>
      <c r="H12" s="121"/>
      <c r="I12" s="113" t="s">
        <v>56</v>
      </c>
      <c r="J12" s="114">
        <v>337.84400000000005</v>
      </c>
      <c r="M12" s="113" t="s">
        <v>42</v>
      </c>
      <c r="N12" s="114">
        <v>1119.73</v>
      </c>
    </row>
    <row r="13" spans="1:14" ht="15.75" x14ac:dyDescent="0.25">
      <c r="A13" s="77" t="s">
        <v>125</v>
      </c>
      <c r="B13" s="81" t="s">
        <v>160</v>
      </c>
      <c r="C13" s="79" t="s">
        <v>66</v>
      </c>
      <c r="D13" s="1" t="s">
        <v>75</v>
      </c>
      <c r="E13" s="2">
        <v>1968</v>
      </c>
      <c r="F13" s="4">
        <v>0.8</v>
      </c>
      <c r="G13" s="52">
        <v>1.5</v>
      </c>
      <c r="H13" s="122"/>
      <c r="I13" s="113" t="s">
        <v>42</v>
      </c>
      <c r="J13" s="114">
        <v>245.11719999999997</v>
      </c>
      <c r="M13" s="113" t="s">
        <v>59</v>
      </c>
      <c r="N13" s="114">
        <v>1109.0900000000001</v>
      </c>
    </row>
    <row r="14" spans="1:14" ht="15.75" x14ac:dyDescent="0.25">
      <c r="A14" s="78" t="s">
        <v>98</v>
      </c>
      <c r="B14" s="81" t="s">
        <v>161</v>
      </c>
      <c r="C14" s="80" t="s">
        <v>37</v>
      </c>
      <c r="D14" s="1" t="s">
        <v>75</v>
      </c>
      <c r="E14" s="6">
        <v>1993</v>
      </c>
      <c r="F14" s="7">
        <v>9.2639999999999993</v>
      </c>
      <c r="G14" s="107">
        <v>35</v>
      </c>
      <c r="H14" s="123"/>
      <c r="I14" s="113" t="s">
        <v>54</v>
      </c>
      <c r="J14" s="114">
        <v>243.93899999999999</v>
      </c>
      <c r="M14" s="113" t="s">
        <v>61</v>
      </c>
      <c r="N14" s="114">
        <v>922.55499999999995</v>
      </c>
    </row>
    <row r="15" spans="1:14" ht="15.75" x14ac:dyDescent="0.25">
      <c r="A15" s="77" t="s">
        <v>141</v>
      </c>
      <c r="B15" s="81" t="s">
        <v>162</v>
      </c>
      <c r="C15" s="79" t="s">
        <v>35</v>
      </c>
      <c r="D15" s="1" t="s">
        <v>78</v>
      </c>
      <c r="E15" s="2">
        <v>1966</v>
      </c>
      <c r="F15" s="3">
        <v>2.76</v>
      </c>
      <c r="G15" s="51">
        <v>12</v>
      </c>
      <c r="H15" s="121"/>
      <c r="I15" s="113" t="s">
        <v>65</v>
      </c>
      <c r="J15" s="114">
        <v>233.98</v>
      </c>
      <c r="M15" s="113" t="s">
        <v>63</v>
      </c>
      <c r="N15" s="114">
        <v>833.9</v>
      </c>
    </row>
    <row r="16" spans="1:14" ht="15.75" x14ac:dyDescent="0.25">
      <c r="A16" s="77" t="s">
        <v>120</v>
      </c>
      <c r="B16" s="81" t="s">
        <v>163</v>
      </c>
      <c r="C16" s="79" t="s">
        <v>40</v>
      </c>
      <c r="D16" s="1" t="s">
        <v>75</v>
      </c>
      <c r="E16" s="2">
        <v>1966</v>
      </c>
      <c r="F16" s="3">
        <v>6.2399999999999997E-2</v>
      </c>
      <c r="G16" s="51">
        <v>0.3</v>
      </c>
      <c r="H16" s="121"/>
      <c r="I16" s="113" t="s">
        <v>10</v>
      </c>
      <c r="J16" s="114">
        <v>230.58599999999996</v>
      </c>
      <c r="M16" s="113" t="s">
        <v>49</v>
      </c>
      <c r="N16" s="114">
        <v>814.2</v>
      </c>
    </row>
    <row r="17" spans="1:14" ht="15.75" x14ac:dyDescent="0.25">
      <c r="A17" s="94" t="s">
        <v>115</v>
      </c>
      <c r="B17" s="81" t="s">
        <v>164</v>
      </c>
      <c r="C17" s="97" t="s">
        <v>10</v>
      </c>
      <c r="D17" s="1" t="s">
        <v>75</v>
      </c>
      <c r="E17" s="9">
        <v>1984</v>
      </c>
      <c r="F17" s="10">
        <v>0.3</v>
      </c>
      <c r="G17" s="54">
        <v>1</v>
      </c>
      <c r="H17" s="124"/>
      <c r="I17" s="113" t="s">
        <v>49</v>
      </c>
      <c r="J17" s="114">
        <v>228.11600000000001</v>
      </c>
      <c r="M17" s="113" t="s">
        <v>5</v>
      </c>
      <c r="N17" s="114">
        <v>783.98</v>
      </c>
    </row>
    <row r="18" spans="1:14" ht="15.75" x14ac:dyDescent="0.25">
      <c r="A18" s="77" t="s">
        <v>91</v>
      </c>
      <c r="B18" s="81" t="s">
        <v>165</v>
      </c>
      <c r="C18" s="79" t="s">
        <v>45</v>
      </c>
      <c r="D18" s="1" t="s">
        <v>75</v>
      </c>
      <c r="E18" s="9">
        <v>1952</v>
      </c>
      <c r="F18" s="10">
        <v>7.4999999999999997E-2</v>
      </c>
      <c r="G18" s="54">
        <v>0.4</v>
      </c>
      <c r="H18" s="124"/>
      <c r="I18" s="113" t="s">
        <v>61</v>
      </c>
      <c r="J18" s="114">
        <v>214.73200000000003</v>
      </c>
      <c r="M18" s="113" t="s">
        <v>65</v>
      </c>
      <c r="N18" s="114">
        <v>781.00199999999995</v>
      </c>
    </row>
    <row r="19" spans="1:14" ht="15.75" x14ac:dyDescent="0.25">
      <c r="A19" s="95" t="s">
        <v>92</v>
      </c>
      <c r="B19" s="81" t="s">
        <v>166</v>
      </c>
      <c r="C19" s="98" t="s">
        <v>39</v>
      </c>
      <c r="D19" s="1" t="s">
        <v>75</v>
      </c>
      <c r="E19" s="9">
        <v>1934</v>
      </c>
      <c r="F19" s="10">
        <v>1.1200000000000001</v>
      </c>
      <c r="G19" s="54">
        <v>1.25</v>
      </c>
      <c r="H19" s="124"/>
      <c r="I19" s="113" t="s">
        <v>50</v>
      </c>
      <c r="J19" s="114">
        <v>186.983</v>
      </c>
      <c r="M19" s="113" t="s">
        <v>50</v>
      </c>
      <c r="N19" s="114">
        <v>774.49</v>
      </c>
    </row>
    <row r="20" spans="1:14" ht="15.75" x14ac:dyDescent="0.25">
      <c r="A20" s="94" t="s">
        <v>113</v>
      </c>
      <c r="B20" s="81" t="s">
        <v>494</v>
      </c>
      <c r="C20" s="97" t="s">
        <v>64</v>
      </c>
      <c r="D20" s="1" t="s">
        <v>75</v>
      </c>
      <c r="E20" s="9">
        <v>1929</v>
      </c>
      <c r="F20" s="10">
        <v>1.04</v>
      </c>
      <c r="G20" s="54">
        <v>2.4500000000000002</v>
      </c>
      <c r="H20" s="124"/>
      <c r="I20" s="113" t="s">
        <v>5</v>
      </c>
      <c r="J20" s="114">
        <v>186.70000000000002</v>
      </c>
      <c r="M20" s="113" t="s">
        <v>54</v>
      </c>
      <c r="N20" s="114">
        <v>769.55499999999995</v>
      </c>
    </row>
    <row r="21" spans="1:14" ht="15.75" x14ac:dyDescent="0.25">
      <c r="A21" s="77" t="s">
        <v>86</v>
      </c>
      <c r="B21" s="81" t="s">
        <v>167</v>
      </c>
      <c r="C21" s="79" t="s">
        <v>20</v>
      </c>
      <c r="D21" s="1" t="s">
        <v>75</v>
      </c>
      <c r="E21" s="2">
        <v>1952</v>
      </c>
      <c r="F21" s="3">
        <v>2.3039999999999998</v>
      </c>
      <c r="G21" s="51">
        <v>8</v>
      </c>
      <c r="H21" s="121"/>
      <c r="I21" s="113" t="s">
        <v>20</v>
      </c>
      <c r="J21" s="114">
        <v>179.72399999999999</v>
      </c>
      <c r="M21" s="113" t="s">
        <v>10</v>
      </c>
      <c r="N21" s="114">
        <v>687.82800000000009</v>
      </c>
    </row>
    <row r="22" spans="1:14" ht="15.75" x14ac:dyDescent="0.25">
      <c r="A22" s="77" t="s">
        <v>99</v>
      </c>
      <c r="B22" s="81" t="s">
        <v>168</v>
      </c>
      <c r="C22" s="79" t="s">
        <v>55</v>
      </c>
      <c r="D22" s="1" t="s">
        <v>75</v>
      </c>
      <c r="E22" s="2">
        <v>1987</v>
      </c>
      <c r="F22" s="3">
        <v>0.5</v>
      </c>
      <c r="G22" s="51">
        <v>1</v>
      </c>
      <c r="H22" s="121"/>
      <c r="I22" s="113" t="s">
        <v>39</v>
      </c>
      <c r="J22" s="114">
        <v>175.643</v>
      </c>
      <c r="M22" s="113" t="s">
        <v>20</v>
      </c>
      <c r="N22" s="114">
        <v>643.52</v>
      </c>
    </row>
    <row r="23" spans="1:14" ht="15.75" x14ac:dyDescent="0.25">
      <c r="A23" s="77" t="s">
        <v>99</v>
      </c>
      <c r="B23" s="81" t="s">
        <v>169</v>
      </c>
      <c r="C23" s="79" t="s">
        <v>55</v>
      </c>
      <c r="D23" s="1" t="s">
        <v>75</v>
      </c>
      <c r="E23" s="2">
        <v>1955</v>
      </c>
      <c r="F23" s="3">
        <v>0.4</v>
      </c>
      <c r="G23" s="51">
        <v>1.5</v>
      </c>
      <c r="H23" s="121"/>
      <c r="I23" s="113" t="s">
        <v>40</v>
      </c>
      <c r="J23" s="114">
        <v>159.5814</v>
      </c>
      <c r="M23" s="113" t="s">
        <v>39</v>
      </c>
      <c r="N23" s="114">
        <v>595.53</v>
      </c>
    </row>
    <row r="24" spans="1:14" ht="15.75" x14ac:dyDescent="0.25">
      <c r="A24" s="77" t="s">
        <v>97</v>
      </c>
      <c r="B24" s="81" t="s">
        <v>170</v>
      </c>
      <c r="C24" s="79" t="s">
        <v>34</v>
      </c>
      <c r="D24" s="1" t="s">
        <v>75</v>
      </c>
      <c r="E24" s="2">
        <v>1954</v>
      </c>
      <c r="F24" s="3">
        <v>4.0919999999999996</v>
      </c>
      <c r="G24" s="51">
        <v>15</v>
      </c>
      <c r="H24" s="121"/>
      <c r="I24" s="113" t="s">
        <v>63</v>
      </c>
      <c r="J24" s="114">
        <v>155.87</v>
      </c>
      <c r="M24" s="113" t="s">
        <v>40</v>
      </c>
      <c r="N24" s="114">
        <v>560.98099999999999</v>
      </c>
    </row>
    <row r="25" spans="1:14" ht="15.75" x14ac:dyDescent="0.25">
      <c r="A25" s="77" t="s">
        <v>118</v>
      </c>
      <c r="B25" s="81" t="s">
        <v>171</v>
      </c>
      <c r="C25" s="79" t="s">
        <v>27</v>
      </c>
      <c r="D25" s="1" t="s">
        <v>75</v>
      </c>
      <c r="E25" s="2">
        <v>1953</v>
      </c>
      <c r="F25" s="3">
        <v>3.04</v>
      </c>
      <c r="G25" s="51">
        <v>18</v>
      </c>
      <c r="H25" s="121"/>
      <c r="I25" s="113" t="s">
        <v>55</v>
      </c>
      <c r="J25" s="114">
        <v>151.59800000000001</v>
      </c>
      <c r="M25" s="113" t="s">
        <v>55</v>
      </c>
      <c r="N25" s="114">
        <v>506.03999999999996</v>
      </c>
    </row>
    <row r="26" spans="1:14" ht="15.75" x14ac:dyDescent="0.25">
      <c r="A26" s="77" t="s">
        <v>121</v>
      </c>
      <c r="B26" s="81" t="s">
        <v>172</v>
      </c>
      <c r="C26" s="79" t="s">
        <v>47</v>
      </c>
      <c r="D26" s="1" t="s">
        <v>78</v>
      </c>
      <c r="E26" s="2">
        <v>1964</v>
      </c>
      <c r="F26" s="4">
        <v>0.83199999999999996</v>
      </c>
      <c r="G26" s="52">
        <v>2.2000000000000002</v>
      </c>
      <c r="H26" s="122"/>
      <c r="I26" s="113" t="s">
        <v>27</v>
      </c>
      <c r="J26" s="114">
        <v>143.86799999999999</v>
      </c>
      <c r="M26" s="113" t="s">
        <v>27</v>
      </c>
      <c r="N26" s="114">
        <v>489.89</v>
      </c>
    </row>
    <row r="27" spans="1:14" ht="15.75" x14ac:dyDescent="0.25">
      <c r="A27" s="77" t="s">
        <v>121</v>
      </c>
      <c r="B27" s="81" t="s">
        <v>173</v>
      </c>
      <c r="C27" s="79" t="s">
        <v>47</v>
      </c>
      <c r="D27" s="1" t="s">
        <v>75</v>
      </c>
      <c r="E27" s="2">
        <v>1972</v>
      </c>
      <c r="F27" s="3">
        <v>0.32</v>
      </c>
      <c r="G27" s="51">
        <v>1.6</v>
      </c>
      <c r="H27" s="121"/>
      <c r="I27" s="113" t="s">
        <v>6</v>
      </c>
      <c r="J27" s="114">
        <v>134.06800000000001</v>
      </c>
      <c r="M27" s="113" t="s">
        <v>6</v>
      </c>
      <c r="N27" s="114">
        <v>486.56699999999995</v>
      </c>
    </row>
    <row r="28" spans="1:14" ht="15.75" x14ac:dyDescent="0.25">
      <c r="A28" s="77" t="s">
        <v>121</v>
      </c>
      <c r="B28" s="81" t="s">
        <v>174</v>
      </c>
      <c r="C28" s="79" t="s">
        <v>47</v>
      </c>
      <c r="D28" s="1" t="s">
        <v>75</v>
      </c>
      <c r="E28" s="2">
        <v>1961</v>
      </c>
      <c r="F28" s="4">
        <v>4.5</v>
      </c>
      <c r="G28" s="52">
        <v>2</v>
      </c>
      <c r="H28" s="122"/>
      <c r="I28" s="113" t="s">
        <v>19</v>
      </c>
      <c r="J28" s="114">
        <v>107.745</v>
      </c>
      <c r="M28" s="113" t="s">
        <v>36</v>
      </c>
      <c r="N28" s="114">
        <v>393.09000000000003</v>
      </c>
    </row>
    <row r="29" spans="1:14" ht="15.75" x14ac:dyDescent="0.25">
      <c r="A29" s="77" t="s">
        <v>124</v>
      </c>
      <c r="B29" s="81" t="s">
        <v>175</v>
      </c>
      <c r="C29" s="79" t="s">
        <v>65</v>
      </c>
      <c r="D29" s="1" t="s">
        <v>75</v>
      </c>
      <c r="E29" s="2">
        <v>1961</v>
      </c>
      <c r="F29" s="3">
        <v>0.12</v>
      </c>
      <c r="G29" s="51">
        <v>0.75</v>
      </c>
      <c r="H29" s="121"/>
      <c r="I29" s="113" t="s">
        <v>36</v>
      </c>
      <c r="J29" s="114">
        <v>102.11999999999999</v>
      </c>
      <c r="M29" s="113" t="s">
        <v>52</v>
      </c>
      <c r="N29" s="114">
        <v>376.64</v>
      </c>
    </row>
    <row r="30" spans="1:14" ht="15.75" x14ac:dyDescent="0.25">
      <c r="A30" s="77" t="s">
        <v>131</v>
      </c>
      <c r="B30" s="81" t="s">
        <v>176</v>
      </c>
      <c r="C30" s="79" t="s">
        <v>48</v>
      </c>
      <c r="D30" s="1" t="s">
        <v>78</v>
      </c>
      <c r="E30" s="2">
        <v>1968</v>
      </c>
      <c r="F30" s="3">
        <v>14.4</v>
      </c>
      <c r="G30" s="51">
        <v>42</v>
      </c>
      <c r="H30" s="121"/>
      <c r="I30" s="113" t="s">
        <v>26</v>
      </c>
      <c r="J30" s="114">
        <v>92.335000000000008</v>
      </c>
      <c r="M30" s="113" t="s">
        <v>19</v>
      </c>
      <c r="N30" s="114">
        <v>316.17</v>
      </c>
    </row>
    <row r="31" spans="1:14" ht="15.75" x14ac:dyDescent="0.25">
      <c r="A31" s="77" t="s">
        <v>133</v>
      </c>
      <c r="B31" s="81" t="s">
        <v>177</v>
      </c>
      <c r="C31" s="79" t="s">
        <v>62</v>
      </c>
      <c r="D31" s="1" t="s">
        <v>78</v>
      </c>
      <c r="E31" s="2">
        <v>1976</v>
      </c>
      <c r="F31" s="4">
        <v>0.64</v>
      </c>
      <c r="G31" s="52">
        <v>1.2</v>
      </c>
      <c r="H31" s="122"/>
      <c r="I31" s="113" t="s">
        <v>52</v>
      </c>
      <c r="J31" s="114">
        <v>86.26</v>
      </c>
      <c r="M31" s="113" t="s">
        <v>25</v>
      </c>
      <c r="N31" s="114">
        <v>291.37</v>
      </c>
    </row>
    <row r="32" spans="1:14" ht="15.75" x14ac:dyDescent="0.25">
      <c r="A32" s="96" t="s">
        <v>103</v>
      </c>
      <c r="B32" s="81" t="s">
        <v>178</v>
      </c>
      <c r="C32" s="99" t="s">
        <v>42</v>
      </c>
      <c r="D32" s="1" t="s">
        <v>75</v>
      </c>
      <c r="E32" s="6">
        <v>1961</v>
      </c>
      <c r="F32" s="7">
        <v>6.78</v>
      </c>
      <c r="G32" s="107">
        <v>50</v>
      </c>
      <c r="H32" s="123"/>
      <c r="I32" s="113" t="s">
        <v>25</v>
      </c>
      <c r="J32" s="114">
        <v>84.734000000000009</v>
      </c>
      <c r="M32" s="113" t="s">
        <v>57</v>
      </c>
      <c r="N32" s="114">
        <v>284.34000000000003</v>
      </c>
    </row>
    <row r="33" spans="1:14" ht="15.75" x14ac:dyDescent="0.25">
      <c r="A33" s="96" t="s">
        <v>103</v>
      </c>
      <c r="B33" s="81" t="s">
        <v>179</v>
      </c>
      <c r="C33" s="99" t="s">
        <v>42</v>
      </c>
      <c r="D33" s="1" t="s">
        <v>75</v>
      </c>
      <c r="E33" s="2">
        <v>1924</v>
      </c>
      <c r="F33" s="3">
        <v>9.9199999999999997E-2</v>
      </c>
      <c r="G33" s="51">
        <v>0.7</v>
      </c>
      <c r="H33" s="121"/>
      <c r="I33" s="113" t="s">
        <v>23</v>
      </c>
      <c r="J33" s="114">
        <v>77.106999999999999</v>
      </c>
      <c r="M33" s="113" t="s">
        <v>23</v>
      </c>
      <c r="N33" s="114">
        <v>256.66399999999999</v>
      </c>
    </row>
    <row r="34" spans="1:14" ht="15.75" x14ac:dyDescent="0.25">
      <c r="A34" s="96" t="s">
        <v>103</v>
      </c>
      <c r="B34" s="81" t="s">
        <v>180</v>
      </c>
      <c r="C34" s="99" t="s">
        <v>42</v>
      </c>
      <c r="D34" s="1" t="s">
        <v>75</v>
      </c>
      <c r="E34" s="2">
        <v>1928</v>
      </c>
      <c r="F34" s="3">
        <v>1.36</v>
      </c>
      <c r="G34" s="51">
        <v>4</v>
      </c>
      <c r="H34" s="121"/>
      <c r="I34" s="113" t="s">
        <v>38</v>
      </c>
      <c r="J34" s="114">
        <v>71.335999999999999</v>
      </c>
      <c r="M34" s="113" t="s">
        <v>66</v>
      </c>
      <c r="N34" s="114">
        <v>252.7</v>
      </c>
    </row>
    <row r="35" spans="1:14" ht="15.75" x14ac:dyDescent="0.25">
      <c r="A35" s="77" t="s">
        <v>93</v>
      </c>
      <c r="B35" s="81" t="s">
        <v>181</v>
      </c>
      <c r="C35" s="79" t="s">
        <v>8</v>
      </c>
      <c r="D35" s="1" t="s">
        <v>75</v>
      </c>
      <c r="E35" s="2">
        <v>1962</v>
      </c>
      <c r="F35" s="3">
        <v>0.55200000000000005</v>
      </c>
      <c r="G35" s="51">
        <v>1</v>
      </c>
      <c r="H35" s="121"/>
      <c r="I35" s="113" t="s">
        <v>66</v>
      </c>
      <c r="J35" s="114">
        <v>63.054000000000002</v>
      </c>
      <c r="M35" s="113" t="s">
        <v>26</v>
      </c>
      <c r="N35" s="114">
        <v>252.68</v>
      </c>
    </row>
    <row r="36" spans="1:14" ht="15.75" x14ac:dyDescent="0.25">
      <c r="A36" s="77" t="s">
        <v>143</v>
      </c>
      <c r="B36" s="81" t="s">
        <v>182</v>
      </c>
      <c r="C36" s="79" t="s">
        <v>18</v>
      </c>
      <c r="D36" s="1" t="s">
        <v>75</v>
      </c>
      <c r="E36" s="2">
        <v>1950</v>
      </c>
      <c r="F36" s="3">
        <v>1.07</v>
      </c>
      <c r="G36" s="51">
        <v>1.0649999999999999</v>
      </c>
      <c r="H36" s="121"/>
      <c r="I36" s="113" t="s">
        <v>47</v>
      </c>
      <c r="J36" s="114">
        <v>53.576000000000008</v>
      </c>
      <c r="M36" s="113" t="s">
        <v>38</v>
      </c>
      <c r="N36" s="114">
        <v>250.43</v>
      </c>
    </row>
    <row r="37" spans="1:14" ht="15.75" x14ac:dyDescent="0.25">
      <c r="A37" s="77" t="s">
        <v>143</v>
      </c>
      <c r="B37" s="81" t="s">
        <v>183</v>
      </c>
      <c r="C37" s="79" t="s">
        <v>18</v>
      </c>
      <c r="D37" s="1" t="s">
        <v>75</v>
      </c>
      <c r="E37" s="2">
        <v>1967</v>
      </c>
      <c r="F37" s="3">
        <v>0.39400000000000002</v>
      </c>
      <c r="G37" s="51">
        <v>1</v>
      </c>
      <c r="H37" s="121"/>
      <c r="I37" s="113" t="s">
        <v>57</v>
      </c>
      <c r="J37" s="114">
        <v>49.584000000000003</v>
      </c>
      <c r="M37" s="113" t="s">
        <v>47</v>
      </c>
      <c r="N37" s="114">
        <v>247.095</v>
      </c>
    </row>
    <row r="38" spans="1:14" ht="15.75" x14ac:dyDescent="0.25">
      <c r="A38" s="77" t="s">
        <v>126</v>
      </c>
      <c r="B38" s="81" t="s">
        <v>184</v>
      </c>
      <c r="C38" s="79" t="s">
        <v>51</v>
      </c>
      <c r="D38" s="1" t="s">
        <v>75</v>
      </c>
      <c r="E38" s="2">
        <v>1966</v>
      </c>
      <c r="F38" s="3">
        <v>1.216</v>
      </c>
      <c r="G38" s="51">
        <v>2.5</v>
      </c>
      <c r="H38" s="121"/>
      <c r="I38" s="113" t="s">
        <v>33</v>
      </c>
      <c r="J38" s="114">
        <v>47.712000000000003</v>
      </c>
      <c r="M38" s="113" t="s">
        <v>22</v>
      </c>
      <c r="N38" s="114">
        <v>211.2</v>
      </c>
    </row>
    <row r="39" spans="1:14" ht="15.75" x14ac:dyDescent="0.25">
      <c r="A39" s="77" t="s">
        <v>126</v>
      </c>
      <c r="B39" s="81" t="s">
        <v>185</v>
      </c>
      <c r="C39" s="79" t="s">
        <v>51</v>
      </c>
      <c r="D39" s="1" t="s">
        <v>75</v>
      </c>
      <c r="E39" s="2">
        <v>1968</v>
      </c>
      <c r="F39" s="3">
        <v>0.29199999999999998</v>
      </c>
      <c r="G39" s="51">
        <v>1</v>
      </c>
      <c r="H39" s="121"/>
      <c r="I39" s="113" t="s">
        <v>14</v>
      </c>
      <c r="J39" s="114">
        <v>47.45</v>
      </c>
      <c r="M39" s="113" t="s">
        <v>14</v>
      </c>
      <c r="N39" s="114">
        <v>210</v>
      </c>
    </row>
    <row r="40" spans="1:14" ht="15.75" x14ac:dyDescent="0.25">
      <c r="A40" s="77" t="s">
        <v>127</v>
      </c>
      <c r="B40" s="81" t="s">
        <v>186</v>
      </c>
      <c r="C40" s="79" t="s">
        <v>33</v>
      </c>
      <c r="D40" s="1" t="s">
        <v>75</v>
      </c>
      <c r="E40" s="2">
        <v>1970</v>
      </c>
      <c r="F40" s="3">
        <v>1.28</v>
      </c>
      <c r="G40" s="51">
        <v>3.5</v>
      </c>
      <c r="H40" s="121"/>
      <c r="I40" s="113" t="s">
        <v>24</v>
      </c>
      <c r="J40" s="114">
        <v>47.152999999999999</v>
      </c>
      <c r="M40" s="113" t="s">
        <v>7</v>
      </c>
      <c r="N40" s="114">
        <v>171</v>
      </c>
    </row>
    <row r="41" spans="1:14" ht="15.75" x14ac:dyDescent="0.25">
      <c r="A41" s="96" t="s">
        <v>94</v>
      </c>
      <c r="B41" s="81" t="s">
        <v>187</v>
      </c>
      <c r="C41" s="99" t="s">
        <v>36</v>
      </c>
      <c r="D41" s="13" t="s">
        <v>73</v>
      </c>
      <c r="E41" s="6">
        <v>1960</v>
      </c>
      <c r="F41" s="7">
        <v>8.25</v>
      </c>
      <c r="G41" s="107">
        <v>3</v>
      </c>
      <c r="H41" s="123"/>
      <c r="I41" s="113" t="s">
        <v>11</v>
      </c>
      <c r="J41" s="114">
        <v>44.02</v>
      </c>
      <c r="M41" s="113" t="s">
        <v>58</v>
      </c>
      <c r="N41" s="114">
        <v>169.96800000000002</v>
      </c>
    </row>
    <row r="42" spans="1:14" ht="15.75" x14ac:dyDescent="0.25">
      <c r="A42" s="96" t="s">
        <v>94</v>
      </c>
      <c r="B42" s="81" t="s">
        <v>188</v>
      </c>
      <c r="C42" s="99" t="s">
        <v>36</v>
      </c>
      <c r="D42" s="13" t="s">
        <v>73</v>
      </c>
      <c r="E42" s="2">
        <v>1971</v>
      </c>
      <c r="F42" s="3">
        <v>51.2</v>
      </c>
      <c r="G42" s="51">
        <v>222</v>
      </c>
      <c r="H42" s="121"/>
      <c r="I42" s="113" t="s">
        <v>17</v>
      </c>
      <c r="J42" s="114">
        <v>41.435000000000002</v>
      </c>
      <c r="M42" s="113" t="s">
        <v>11</v>
      </c>
      <c r="N42" s="114">
        <v>163.34999999999997</v>
      </c>
    </row>
    <row r="43" spans="1:14" ht="15.75" x14ac:dyDescent="0.25">
      <c r="A43" s="77" t="s">
        <v>129</v>
      </c>
      <c r="B43" s="81" t="s">
        <v>189</v>
      </c>
      <c r="C43" s="79" t="s">
        <v>5</v>
      </c>
      <c r="D43" s="1" t="s">
        <v>75</v>
      </c>
      <c r="E43" s="2">
        <v>1956</v>
      </c>
      <c r="F43" s="3">
        <v>0.27200000000000002</v>
      </c>
      <c r="G43" s="51">
        <v>0.6</v>
      </c>
      <c r="H43" s="121"/>
      <c r="I43" s="113" t="s">
        <v>22</v>
      </c>
      <c r="J43" s="114">
        <v>36.048999999999999</v>
      </c>
      <c r="M43" s="113" t="s">
        <v>33</v>
      </c>
      <c r="N43" s="114">
        <v>160.41800000000001</v>
      </c>
    </row>
    <row r="44" spans="1:14" ht="15.75" x14ac:dyDescent="0.25">
      <c r="A44" s="77" t="s">
        <v>119</v>
      </c>
      <c r="B44" s="81" t="s">
        <v>190</v>
      </c>
      <c r="C44" s="79" t="s">
        <v>15</v>
      </c>
      <c r="D44" s="1" t="s">
        <v>75</v>
      </c>
      <c r="E44" s="2">
        <v>1950</v>
      </c>
      <c r="F44" s="3">
        <v>0.39600000000000002</v>
      </c>
      <c r="G44" s="51">
        <v>1.25</v>
      </c>
      <c r="H44" s="121"/>
      <c r="I44" s="113" t="s">
        <v>58</v>
      </c>
      <c r="J44" s="114">
        <v>34.71</v>
      </c>
      <c r="M44" s="113" t="s">
        <v>24</v>
      </c>
      <c r="N44" s="114">
        <v>150.095</v>
      </c>
    </row>
    <row r="45" spans="1:14" ht="15.75" x14ac:dyDescent="0.25">
      <c r="A45" s="77" t="s">
        <v>138</v>
      </c>
      <c r="B45" s="81" t="s">
        <v>191</v>
      </c>
      <c r="C45" s="79" t="s">
        <v>13</v>
      </c>
      <c r="D45" s="1" t="s">
        <v>75</v>
      </c>
      <c r="E45" s="2">
        <v>1950</v>
      </c>
      <c r="F45" s="3">
        <v>0.46400000000000002</v>
      </c>
      <c r="G45" s="51">
        <v>2.5</v>
      </c>
      <c r="H45" s="121"/>
      <c r="I45" s="113" t="s">
        <v>67</v>
      </c>
      <c r="J45" s="114">
        <v>33</v>
      </c>
      <c r="M45" s="113" t="s">
        <v>67</v>
      </c>
      <c r="N45" s="114">
        <v>141</v>
      </c>
    </row>
    <row r="46" spans="1:14" ht="15.75" x14ac:dyDescent="0.25">
      <c r="A46" s="96" t="s">
        <v>136</v>
      </c>
      <c r="B46" s="81" t="s">
        <v>192</v>
      </c>
      <c r="C46" s="99" t="s">
        <v>25</v>
      </c>
      <c r="D46" s="1" t="s">
        <v>72</v>
      </c>
      <c r="E46" s="6">
        <v>1991</v>
      </c>
      <c r="F46" s="7">
        <v>9.35</v>
      </c>
      <c r="G46" s="107">
        <v>42</v>
      </c>
      <c r="H46" s="123"/>
      <c r="I46" s="113" t="s">
        <v>7</v>
      </c>
      <c r="J46" s="114">
        <v>27.309000000000001</v>
      </c>
      <c r="M46" s="113" t="s">
        <v>17</v>
      </c>
      <c r="N46" s="114">
        <v>127</v>
      </c>
    </row>
    <row r="47" spans="1:14" ht="15.75" x14ac:dyDescent="0.25">
      <c r="A47" s="96" t="s">
        <v>96</v>
      </c>
      <c r="B47" s="81" t="s">
        <v>193</v>
      </c>
      <c r="C47" s="99" t="s">
        <v>49</v>
      </c>
      <c r="D47" s="1" t="s">
        <v>72</v>
      </c>
      <c r="E47" s="6">
        <v>1996</v>
      </c>
      <c r="F47" s="7">
        <v>10.199999999999999</v>
      </c>
      <c r="G47" s="107">
        <v>47</v>
      </c>
      <c r="H47" s="123"/>
      <c r="I47" s="113" t="s">
        <v>15</v>
      </c>
      <c r="J47" s="114">
        <v>25.703000000000003</v>
      </c>
      <c r="M47" s="113" t="s">
        <v>16</v>
      </c>
      <c r="N47" s="114">
        <v>122.11</v>
      </c>
    </row>
    <row r="48" spans="1:14" ht="15.75" x14ac:dyDescent="0.25">
      <c r="A48" s="100" t="s">
        <v>93</v>
      </c>
      <c r="B48" s="81" t="s">
        <v>194</v>
      </c>
      <c r="C48" s="101" t="s">
        <v>8</v>
      </c>
      <c r="D48" s="1" t="s">
        <v>72</v>
      </c>
      <c r="E48" s="15">
        <v>1984</v>
      </c>
      <c r="F48" s="16">
        <v>540</v>
      </c>
      <c r="G48" s="55">
        <v>1620</v>
      </c>
      <c r="H48" s="125"/>
      <c r="I48" s="113" t="s">
        <v>41</v>
      </c>
      <c r="J48" s="114">
        <v>25.002000000000002</v>
      </c>
      <c r="M48" s="113" t="s">
        <v>15</v>
      </c>
      <c r="N48" s="114">
        <v>94.55</v>
      </c>
    </row>
    <row r="49" spans="1:14" ht="15.75" x14ac:dyDescent="0.25">
      <c r="A49" s="94" t="s">
        <v>87</v>
      </c>
      <c r="B49" s="81" t="s">
        <v>195</v>
      </c>
      <c r="C49" s="97" t="s">
        <v>29</v>
      </c>
      <c r="D49" s="1" t="s">
        <v>75</v>
      </c>
      <c r="E49" s="9">
        <v>2000</v>
      </c>
      <c r="F49" s="10">
        <v>16.8</v>
      </c>
      <c r="G49" s="54">
        <v>87.2</v>
      </c>
      <c r="H49" s="124"/>
      <c r="I49" s="113" t="s">
        <v>16</v>
      </c>
      <c r="J49" s="114">
        <v>21.876999999999999</v>
      </c>
      <c r="M49" s="113" t="s">
        <v>43</v>
      </c>
      <c r="N49" s="114">
        <v>90</v>
      </c>
    </row>
    <row r="50" spans="1:14" ht="15.75" x14ac:dyDescent="0.25">
      <c r="A50" s="77" t="s">
        <v>109</v>
      </c>
      <c r="B50" s="81" t="s">
        <v>196</v>
      </c>
      <c r="C50" s="79" t="s">
        <v>58</v>
      </c>
      <c r="D50" s="1" t="s">
        <v>72</v>
      </c>
      <c r="E50" s="9">
        <v>1989</v>
      </c>
      <c r="F50" s="10">
        <v>5.5</v>
      </c>
      <c r="G50" s="54">
        <v>8</v>
      </c>
      <c r="H50" s="124"/>
      <c r="I50" s="113" t="s">
        <v>9</v>
      </c>
      <c r="J50" s="114">
        <v>17.286999999999999</v>
      </c>
      <c r="M50" s="113" t="s">
        <v>29</v>
      </c>
      <c r="N50" s="114">
        <v>87.2</v>
      </c>
    </row>
    <row r="51" spans="1:14" ht="15.75" x14ac:dyDescent="0.25">
      <c r="A51" s="94" t="s">
        <v>117</v>
      </c>
      <c r="B51" s="81" t="s">
        <v>197</v>
      </c>
      <c r="C51" s="97" t="s">
        <v>28</v>
      </c>
      <c r="D51" s="1" t="s">
        <v>72</v>
      </c>
      <c r="E51" s="9">
        <v>1999</v>
      </c>
      <c r="F51" s="10">
        <v>20.9</v>
      </c>
      <c r="G51" s="54">
        <v>36</v>
      </c>
      <c r="H51" s="124"/>
      <c r="I51" s="113" t="s">
        <v>29</v>
      </c>
      <c r="J51" s="114">
        <v>16.8</v>
      </c>
      <c r="M51" s="113" t="s">
        <v>45</v>
      </c>
      <c r="N51" s="114">
        <v>73.400000000000006</v>
      </c>
    </row>
    <row r="52" spans="1:14" ht="15.75" x14ac:dyDescent="0.25">
      <c r="A52" s="77" t="s">
        <v>118</v>
      </c>
      <c r="B52" s="81" t="s">
        <v>198</v>
      </c>
      <c r="C52" s="79" t="s">
        <v>27</v>
      </c>
      <c r="D52" s="1" t="s">
        <v>72</v>
      </c>
      <c r="E52" s="9">
        <v>1990</v>
      </c>
      <c r="F52" s="10">
        <v>15</v>
      </c>
      <c r="G52" s="54">
        <v>51</v>
      </c>
      <c r="H52" s="124"/>
      <c r="I52" s="113" t="s">
        <v>43</v>
      </c>
      <c r="J52" s="114">
        <v>16.7</v>
      </c>
      <c r="M52" s="113" t="s">
        <v>41</v>
      </c>
      <c r="N52" s="114">
        <v>70.599999999999994</v>
      </c>
    </row>
    <row r="53" spans="1:14" ht="15.75" x14ac:dyDescent="0.25">
      <c r="A53" s="77" t="s">
        <v>124</v>
      </c>
      <c r="B53" s="81" t="s">
        <v>199</v>
      </c>
      <c r="C53" s="79" t="s">
        <v>65</v>
      </c>
      <c r="D53" s="1" t="s">
        <v>75</v>
      </c>
      <c r="E53" s="9">
        <v>2003</v>
      </c>
      <c r="F53" s="10">
        <v>19.2</v>
      </c>
      <c r="G53" s="54">
        <v>78</v>
      </c>
      <c r="H53" s="124"/>
      <c r="I53" s="113" t="s">
        <v>48</v>
      </c>
      <c r="J53" s="114">
        <v>14.4</v>
      </c>
      <c r="M53" s="113" t="s">
        <v>12</v>
      </c>
      <c r="N53" s="114">
        <v>67.66</v>
      </c>
    </row>
    <row r="54" spans="1:14" ht="15.75" x14ac:dyDescent="0.25">
      <c r="A54" s="100" t="s">
        <v>140</v>
      </c>
      <c r="B54" s="81" t="s">
        <v>200</v>
      </c>
      <c r="C54" s="101" t="s">
        <v>56</v>
      </c>
      <c r="D54" s="1" t="s">
        <v>75</v>
      </c>
      <c r="E54" s="15">
        <v>1961</v>
      </c>
      <c r="F54" s="16">
        <v>18.600000000000001</v>
      </c>
      <c r="G54" s="55">
        <v>110</v>
      </c>
      <c r="H54" s="125"/>
      <c r="I54" s="113" t="s">
        <v>12</v>
      </c>
      <c r="J54" s="114">
        <v>14.2</v>
      </c>
      <c r="M54" s="113" t="s">
        <v>9</v>
      </c>
      <c r="N54" s="114">
        <v>62.32</v>
      </c>
    </row>
    <row r="55" spans="1:14" ht="15.75" x14ac:dyDescent="0.25">
      <c r="A55" s="77" t="s">
        <v>120</v>
      </c>
      <c r="B55" s="81" t="s">
        <v>201</v>
      </c>
      <c r="C55" s="79" t="s">
        <v>40</v>
      </c>
      <c r="D55" s="13" t="s">
        <v>73</v>
      </c>
      <c r="E55" s="9">
        <v>1975</v>
      </c>
      <c r="F55" s="10">
        <v>15.36</v>
      </c>
      <c r="G55" s="54">
        <v>48</v>
      </c>
      <c r="H55" s="124"/>
      <c r="I55" s="113" t="s">
        <v>34</v>
      </c>
      <c r="J55" s="114">
        <v>14.071999999999999</v>
      </c>
      <c r="M55" s="113" t="s">
        <v>34</v>
      </c>
      <c r="N55" s="114">
        <v>50.67</v>
      </c>
    </row>
    <row r="56" spans="1:14" ht="15.75" x14ac:dyDescent="0.25">
      <c r="A56" s="77" t="s">
        <v>86</v>
      </c>
      <c r="B56" s="81" t="s">
        <v>202</v>
      </c>
      <c r="C56" s="79" t="s">
        <v>20</v>
      </c>
      <c r="D56" s="1" t="s">
        <v>75</v>
      </c>
      <c r="E56" s="2">
        <v>1952</v>
      </c>
      <c r="F56" s="3">
        <v>1.181</v>
      </c>
      <c r="G56" s="51">
        <v>4</v>
      </c>
      <c r="H56" s="121"/>
      <c r="I56" s="113" t="s">
        <v>45</v>
      </c>
      <c r="J56" s="114">
        <v>12.515000000000001</v>
      </c>
      <c r="M56" s="113" t="s">
        <v>48</v>
      </c>
      <c r="N56" s="114">
        <v>42</v>
      </c>
    </row>
    <row r="57" spans="1:14" ht="15.75" x14ac:dyDescent="0.25">
      <c r="A57" s="77" t="s">
        <v>86</v>
      </c>
      <c r="B57" s="81" t="s">
        <v>203</v>
      </c>
      <c r="C57" s="79" t="s">
        <v>20</v>
      </c>
      <c r="D57" s="1" t="s">
        <v>75</v>
      </c>
      <c r="E57" s="2">
        <v>1952</v>
      </c>
      <c r="F57" s="3">
        <v>0.71499999999999997</v>
      </c>
      <c r="G57" s="51">
        <v>3</v>
      </c>
      <c r="H57" s="121"/>
      <c r="I57" s="113" t="s">
        <v>13</v>
      </c>
      <c r="J57" s="114">
        <v>7.3140000000000001</v>
      </c>
      <c r="M57" s="113" t="s">
        <v>13</v>
      </c>
      <c r="N57" s="114">
        <v>24</v>
      </c>
    </row>
    <row r="58" spans="1:14" ht="15.75" x14ac:dyDescent="0.25">
      <c r="A58" s="96" t="s">
        <v>85</v>
      </c>
      <c r="B58" s="81" t="s">
        <v>204</v>
      </c>
      <c r="C58" s="99" t="s">
        <v>46</v>
      </c>
      <c r="D58" s="1" t="s">
        <v>75</v>
      </c>
      <c r="E58" s="6">
        <v>1960</v>
      </c>
      <c r="F58" s="7">
        <v>2.56</v>
      </c>
      <c r="G58" s="107">
        <v>8</v>
      </c>
      <c r="H58" s="123"/>
      <c r="I58" s="113" t="s">
        <v>51</v>
      </c>
      <c r="J58" s="114">
        <v>5.258</v>
      </c>
      <c r="M58" s="113" t="s">
        <v>84</v>
      </c>
      <c r="N58" s="114">
        <v>22.3</v>
      </c>
    </row>
    <row r="59" spans="1:14" ht="15.75" x14ac:dyDescent="0.25">
      <c r="A59" s="77" t="s">
        <v>101</v>
      </c>
      <c r="B59" s="81" t="s">
        <v>205</v>
      </c>
      <c r="C59" s="79" t="s">
        <v>53</v>
      </c>
      <c r="D59" s="1" t="s">
        <v>75</v>
      </c>
      <c r="E59" s="2">
        <v>1965</v>
      </c>
      <c r="F59" s="3">
        <v>6.88E-2</v>
      </c>
      <c r="G59" s="51">
        <v>0.6</v>
      </c>
      <c r="H59" s="121"/>
      <c r="I59" s="113" t="s">
        <v>46</v>
      </c>
      <c r="J59" s="114">
        <v>4.4800000000000004</v>
      </c>
      <c r="M59" s="113" t="s">
        <v>46</v>
      </c>
      <c r="N59" s="114">
        <v>18</v>
      </c>
    </row>
    <row r="60" spans="1:14" ht="15.75" x14ac:dyDescent="0.25">
      <c r="A60" s="77" t="s">
        <v>118</v>
      </c>
      <c r="B60" s="81" t="s">
        <v>206</v>
      </c>
      <c r="C60" s="79" t="s">
        <v>27</v>
      </c>
      <c r="D60" s="1" t="s">
        <v>75</v>
      </c>
      <c r="E60" s="6">
        <v>2001</v>
      </c>
      <c r="F60" s="7">
        <v>2.64</v>
      </c>
      <c r="G60" s="197">
        <v>43</v>
      </c>
      <c r="H60" s="123"/>
      <c r="I60" s="113" t="s">
        <v>84</v>
      </c>
      <c r="J60" s="114">
        <v>3</v>
      </c>
      <c r="M60" s="113" t="s">
        <v>51</v>
      </c>
      <c r="N60" s="114">
        <v>14.93</v>
      </c>
    </row>
    <row r="61" spans="1:14" ht="15.75" x14ac:dyDescent="0.25">
      <c r="A61" s="77" t="s">
        <v>118</v>
      </c>
      <c r="B61" s="81" t="s">
        <v>207</v>
      </c>
      <c r="C61" s="79" t="s">
        <v>27</v>
      </c>
      <c r="D61" s="1" t="s">
        <v>75</v>
      </c>
      <c r="E61" s="6">
        <v>2001</v>
      </c>
      <c r="F61" s="7">
        <v>8.94</v>
      </c>
      <c r="G61" s="197"/>
      <c r="H61" s="123"/>
      <c r="I61" s="113" t="s">
        <v>35</v>
      </c>
      <c r="J61" s="114">
        <v>2.76</v>
      </c>
      <c r="M61" s="113" t="s">
        <v>35</v>
      </c>
      <c r="N61" s="114">
        <v>12</v>
      </c>
    </row>
    <row r="62" spans="1:14" ht="15.75" x14ac:dyDescent="0.25">
      <c r="A62" s="77" t="s">
        <v>121</v>
      </c>
      <c r="B62" s="81" t="s">
        <v>208</v>
      </c>
      <c r="C62" s="79" t="s">
        <v>47</v>
      </c>
      <c r="D62" s="1" t="s">
        <v>75</v>
      </c>
      <c r="E62" s="6">
        <v>1998</v>
      </c>
      <c r="F62" s="7">
        <v>12.5</v>
      </c>
      <c r="G62" s="107">
        <v>59</v>
      </c>
      <c r="H62" s="123"/>
      <c r="I62" s="113" t="s">
        <v>30</v>
      </c>
      <c r="J62" s="114">
        <v>2.25</v>
      </c>
      <c r="M62" s="113" t="s">
        <v>30</v>
      </c>
      <c r="N62" s="114">
        <v>11.52</v>
      </c>
    </row>
    <row r="63" spans="1:14" ht="15.75" x14ac:dyDescent="0.25">
      <c r="A63" s="96" t="s">
        <v>103</v>
      </c>
      <c r="B63" s="81" t="s">
        <v>495</v>
      </c>
      <c r="C63" s="99" t="s">
        <v>42</v>
      </c>
      <c r="D63" s="1" t="s">
        <v>75</v>
      </c>
      <c r="E63" s="6">
        <v>1998</v>
      </c>
      <c r="F63" s="7">
        <v>84</v>
      </c>
      <c r="G63" s="107">
        <v>429</v>
      </c>
      <c r="H63" s="123"/>
      <c r="I63" s="113" t="s">
        <v>18</v>
      </c>
      <c r="J63" s="114">
        <v>1.464</v>
      </c>
      <c r="M63" s="113" t="s">
        <v>21</v>
      </c>
      <c r="N63" s="114">
        <v>5</v>
      </c>
    </row>
    <row r="64" spans="1:14" ht="15.75" x14ac:dyDescent="0.25">
      <c r="A64" s="96" t="s">
        <v>103</v>
      </c>
      <c r="B64" s="81" t="s">
        <v>209</v>
      </c>
      <c r="C64" s="99" t="s">
        <v>42</v>
      </c>
      <c r="D64" s="1" t="s">
        <v>72</v>
      </c>
      <c r="E64" s="6">
        <v>2005</v>
      </c>
      <c r="F64" s="7">
        <v>100</v>
      </c>
      <c r="G64" s="107">
        <v>423.5</v>
      </c>
      <c r="H64" s="123"/>
      <c r="I64" s="113" t="s">
        <v>21</v>
      </c>
      <c r="J64" s="114">
        <v>1.06</v>
      </c>
      <c r="M64" s="113" t="s">
        <v>18</v>
      </c>
      <c r="N64" s="114">
        <v>2.0649999999999999</v>
      </c>
    </row>
    <row r="65" spans="1:14" ht="15.75" x14ac:dyDescent="0.25">
      <c r="A65" s="96" t="s">
        <v>146</v>
      </c>
      <c r="B65" s="81" t="s">
        <v>210</v>
      </c>
      <c r="C65" s="99" t="s">
        <v>145</v>
      </c>
      <c r="D65" s="1" t="s">
        <v>72</v>
      </c>
      <c r="E65" s="6">
        <v>2000</v>
      </c>
      <c r="F65" s="7">
        <v>672</v>
      </c>
      <c r="G65" s="107">
        <v>2516</v>
      </c>
      <c r="H65" s="123"/>
      <c r="I65" s="113" t="s">
        <v>62</v>
      </c>
      <c r="J65" s="114">
        <v>0.64</v>
      </c>
      <c r="M65" s="113" t="s">
        <v>44</v>
      </c>
      <c r="N65" s="114">
        <v>1.44</v>
      </c>
    </row>
    <row r="66" spans="1:14" ht="15.75" x14ac:dyDescent="0.25">
      <c r="A66" s="96" t="s">
        <v>94</v>
      </c>
      <c r="B66" s="81" t="s">
        <v>211</v>
      </c>
      <c r="C66" s="99" t="s">
        <v>36</v>
      </c>
      <c r="D66" s="1" t="s">
        <v>75</v>
      </c>
      <c r="E66" s="6">
        <v>1989</v>
      </c>
      <c r="F66" s="7">
        <v>13</v>
      </c>
      <c r="G66" s="107">
        <v>36</v>
      </c>
      <c r="H66" s="123"/>
      <c r="I66" s="113" t="s">
        <v>44</v>
      </c>
      <c r="J66" s="114">
        <v>0.38</v>
      </c>
      <c r="M66" s="113" t="s">
        <v>62</v>
      </c>
      <c r="N66" s="114">
        <v>1.2</v>
      </c>
    </row>
    <row r="67" spans="1:14" ht="15.75" x14ac:dyDescent="0.25">
      <c r="A67" s="73" t="s">
        <v>83</v>
      </c>
      <c r="B67" s="81" t="s">
        <v>212</v>
      </c>
      <c r="C67" s="103" t="s">
        <v>84</v>
      </c>
      <c r="D67" s="1" t="s">
        <v>75</v>
      </c>
      <c r="E67" s="17">
        <v>2000</v>
      </c>
      <c r="F67" s="7">
        <v>3</v>
      </c>
      <c r="G67" s="107">
        <v>22.3</v>
      </c>
      <c r="H67" s="123"/>
      <c r="I67" s="116" t="s">
        <v>53</v>
      </c>
      <c r="J67" s="117">
        <v>6.88E-2</v>
      </c>
      <c r="M67" s="116" t="s">
        <v>53</v>
      </c>
      <c r="N67" s="117">
        <v>0.6</v>
      </c>
    </row>
    <row r="68" spans="1:14" ht="15.75" x14ac:dyDescent="0.25">
      <c r="A68" s="96" t="s">
        <v>94</v>
      </c>
      <c r="B68" s="81" t="s">
        <v>213</v>
      </c>
      <c r="C68" s="99" t="s">
        <v>36</v>
      </c>
      <c r="D68" s="1" t="s">
        <v>75</v>
      </c>
      <c r="E68" s="6">
        <v>1998</v>
      </c>
      <c r="F68" s="7">
        <v>2.2000000000000002</v>
      </c>
      <c r="G68" s="107">
        <v>12.22</v>
      </c>
      <c r="H68" s="123"/>
    </row>
    <row r="69" spans="1:14" ht="15.75" x14ac:dyDescent="0.25">
      <c r="A69" s="96" t="s">
        <v>104</v>
      </c>
      <c r="B69" s="81" t="s">
        <v>214</v>
      </c>
      <c r="C69" s="99" t="s">
        <v>61</v>
      </c>
      <c r="D69" s="1" t="s">
        <v>75</v>
      </c>
      <c r="E69" s="6">
        <v>1999</v>
      </c>
      <c r="F69" s="18">
        <v>2.1259999999999999</v>
      </c>
      <c r="G69" s="56">
        <v>11.435</v>
      </c>
      <c r="H69" s="126"/>
    </row>
    <row r="70" spans="1:14" ht="15.75" x14ac:dyDescent="0.25">
      <c r="A70" s="96" t="s">
        <v>104</v>
      </c>
      <c r="B70" s="81" t="s">
        <v>215</v>
      </c>
      <c r="C70" s="99" t="s">
        <v>61</v>
      </c>
      <c r="D70" s="1" t="s">
        <v>75</v>
      </c>
      <c r="E70" s="6">
        <v>2000</v>
      </c>
      <c r="F70" s="7">
        <v>2.4980000000000002</v>
      </c>
      <c r="G70" s="107">
        <v>11.307</v>
      </c>
      <c r="H70" s="123"/>
    </row>
    <row r="71" spans="1:14" ht="15.75" x14ac:dyDescent="0.25">
      <c r="A71" s="78" t="s">
        <v>98</v>
      </c>
      <c r="B71" s="81" t="s">
        <v>216</v>
      </c>
      <c r="C71" s="80" t="s">
        <v>37</v>
      </c>
      <c r="D71" s="1" t="s">
        <v>72</v>
      </c>
      <c r="E71" s="6">
        <v>2000</v>
      </c>
      <c r="F71" s="7">
        <v>7</v>
      </c>
      <c r="G71" s="107">
        <v>28</v>
      </c>
      <c r="H71" s="123"/>
    </row>
    <row r="72" spans="1:14" ht="15.75" x14ac:dyDescent="0.25">
      <c r="A72" s="96" t="s">
        <v>81</v>
      </c>
      <c r="B72" s="81" t="s">
        <v>217</v>
      </c>
      <c r="C72" s="99" t="s">
        <v>23</v>
      </c>
      <c r="D72" s="1" t="s">
        <v>75</v>
      </c>
      <c r="E72" s="6">
        <v>2001</v>
      </c>
      <c r="F72" s="7">
        <v>2.2000000000000002</v>
      </c>
      <c r="G72" s="107">
        <v>11.75</v>
      </c>
      <c r="H72" s="123"/>
    </row>
    <row r="73" spans="1:14" ht="15.75" x14ac:dyDescent="0.25">
      <c r="A73" s="96" t="s">
        <v>82</v>
      </c>
      <c r="B73" s="81" t="s">
        <v>218</v>
      </c>
      <c r="C73" s="99" t="s">
        <v>50</v>
      </c>
      <c r="D73" s="1" t="s">
        <v>75</v>
      </c>
      <c r="E73" s="6">
        <v>1999</v>
      </c>
      <c r="F73" s="7">
        <v>16.5</v>
      </c>
      <c r="G73" s="107">
        <v>90</v>
      </c>
      <c r="H73" s="123"/>
    </row>
    <row r="74" spans="1:14" ht="15.75" x14ac:dyDescent="0.25">
      <c r="A74" s="77" t="s">
        <v>120</v>
      </c>
      <c r="B74" s="81" t="s">
        <v>219</v>
      </c>
      <c r="C74" s="79" t="s">
        <v>40</v>
      </c>
      <c r="D74" s="1" t="s">
        <v>75</v>
      </c>
      <c r="E74" s="6">
        <v>2002</v>
      </c>
      <c r="F74" s="7">
        <v>11.1</v>
      </c>
      <c r="G74" s="107">
        <v>50</v>
      </c>
      <c r="H74" s="123"/>
    </row>
    <row r="75" spans="1:14" ht="15.75" x14ac:dyDescent="0.25">
      <c r="A75" s="71" t="s">
        <v>79</v>
      </c>
      <c r="B75" s="102" t="s">
        <v>409</v>
      </c>
      <c r="C75" s="12" t="s">
        <v>12</v>
      </c>
      <c r="D75" s="1" t="s">
        <v>72</v>
      </c>
      <c r="E75" s="6">
        <v>1998</v>
      </c>
      <c r="F75" s="7">
        <v>10.6</v>
      </c>
      <c r="G75" s="107">
        <v>47</v>
      </c>
      <c r="H75" s="123"/>
    </row>
    <row r="76" spans="1:14" ht="15.75" x14ac:dyDescent="0.25">
      <c r="A76" s="74" t="s">
        <v>122</v>
      </c>
      <c r="B76" s="43" t="s">
        <v>491</v>
      </c>
      <c r="C76" s="19" t="s">
        <v>26</v>
      </c>
      <c r="D76" s="1" t="s">
        <v>75</v>
      </c>
      <c r="E76" s="6">
        <v>1957</v>
      </c>
      <c r="F76" s="3">
        <v>20.12</v>
      </c>
      <c r="G76" s="198">
        <v>60</v>
      </c>
      <c r="H76" s="127"/>
    </row>
    <row r="77" spans="1:14" ht="15.75" x14ac:dyDescent="0.25">
      <c r="A77" s="74" t="s">
        <v>122</v>
      </c>
      <c r="B77" s="43" t="s">
        <v>496</v>
      </c>
      <c r="C77" s="19" t="s">
        <v>26</v>
      </c>
      <c r="D77" s="1" t="s">
        <v>75</v>
      </c>
      <c r="E77" s="6">
        <v>1967</v>
      </c>
      <c r="F77" s="3">
        <v>10</v>
      </c>
      <c r="G77" s="198"/>
      <c r="H77" s="127"/>
    </row>
    <row r="78" spans="1:14" ht="15.75" x14ac:dyDescent="0.25">
      <c r="A78" s="69" t="s">
        <v>113</v>
      </c>
      <c r="B78" s="11" t="s">
        <v>221</v>
      </c>
      <c r="C78" s="8" t="s">
        <v>64</v>
      </c>
      <c r="D78" s="1" t="s">
        <v>75</v>
      </c>
      <c r="E78" s="20">
        <v>2013</v>
      </c>
      <c r="F78" s="111">
        <v>2.4</v>
      </c>
      <c r="G78" s="112">
        <v>10</v>
      </c>
      <c r="H78" s="128"/>
    </row>
    <row r="79" spans="1:14" ht="15.75" x14ac:dyDescent="0.25">
      <c r="A79" s="72" t="s">
        <v>140</v>
      </c>
      <c r="B79" s="11" t="s">
        <v>222</v>
      </c>
      <c r="C79" s="14" t="s">
        <v>56</v>
      </c>
      <c r="D79" s="1" t="s">
        <v>75</v>
      </c>
      <c r="E79" s="21">
        <v>41460</v>
      </c>
      <c r="F79" s="111">
        <v>29.303999999999998</v>
      </c>
      <c r="G79" s="112">
        <v>109</v>
      </c>
      <c r="H79" s="128"/>
    </row>
    <row r="80" spans="1:14" ht="15.75" x14ac:dyDescent="0.25">
      <c r="A80" s="67" t="s">
        <v>135</v>
      </c>
      <c r="B80" s="11" t="s">
        <v>223</v>
      </c>
      <c r="C80" s="1" t="s">
        <v>57</v>
      </c>
      <c r="D80" s="1" t="s">
        <v>75</v>
      </c>
      <c r="E80" s="20">
        <v>2013</v>
      </c>
      <c r="F80" s="111">
        <v>9.6</v>
      </c>
      <c r="G80" s="112">
        <v>56.16</v>
      </c>
      <c r="H80" s="128"/>
    </row>
    <row r="81" spans="1:8" ht="15.75" x14ac:dyDescent="0.25">
      <c r="A81" s="75" t="s">
        <v>114</v>
      </c>
      <c r="B81" s="22" t="s">
        <v>224</v>
      </c>
      <c r="C81" s="22" t="s">
        <v>54</v>
      </c>
      <c r="D81" s="1" t="s">
        <v>75</v>
      </c>
      <c r="E81" s="21">
        <v>41570</v>
      </c>
      <c r="F81" s="111">
        <v>4.38</v>
      </c>
      <c r="G81" s="58">
        <v>18</v>
      </c>
      <c r="H81" s="129"/>
    </row>
    <row r="82" spans="1:8" ht="15.75" x14ac:dyDescent="0.25">
      <c r="A82" s="71" t="s">
        <v>81</v>
      </c>
      <c r="B82" s="11" t="s">
        <v>225</v>
      </c>
      <c r="C82" s="12" t="s">
        <v>23</v>
      </c>
      <c r="D82" s="1" t="s">
        <v>75</v>
      </c>
      <c r="E82" s="21">
        <v>41556</v>
      </c>
      <c r="F82" s="111">
        <v>12.502000000000001</v>
      </c>
      <c r="G82" s="112">
        <v>45.5</v>
      </c>
      <c r="H82" s="128"/>
    </row>
    <row r="83" spans="1:8" ht="15.75" x14ac:dyDescent="0.25">
      <c r="A83" s="70" t="s">
        <v>80</v>
      </c>
      <c r="B83" s="11" t="s">
        <v>226</v>
      </c>
      <c r="C83" s="11" t="s">
        <v>11</v>
      </c>
      <c r="D83" s="1" t="s">
        <v>75</v>
      </c>
      <c r="E83" s="20">
        <v>2009</v>
      </c>
      <c r="F83" s="111">
        <v>28.78</v>
      </c>
      <c r="G83" s="112">
        <v>94.88</v>
      </c>
      <c r="H83" s="128"/>
    </row>
    <row r="84" spans="1:8" ht="15.75" x14ac:dyDescent="0.25">
      <c r="A84" s="75" t="s">
        <v>106</v>
      </c>
      <c r="B84" s="22" t="s">
        <v>227</v>
      </c>
      <c r="C84" s="22" t="s">
        <v>41</v>
      </c>
      <c r="D84" s="1" t="s">
        <v>75</v>
      </c>
      <c r="E84" s="21">
        <v>41319</v>
      </c>
      <c r="F84" s="23">
        <v>4.4000000000000004</v>
      </c>
      <c r="G84" s="59">
        <v>14.41</v>
      </c>
      <c r="H84" s="130"/>
    </row>
    <row r="85" spans="1:8" ht="15.75" x14ac:dyDescent="0.25">
      <c r="A85" s="71" t="s">
        <v>81</v>
      </c>
      <c r="B85" s="22" t="s">
        <v>228</v>
      </c>
      <c r="C85" s="12" t="s">
        <v>23</v>
      </c>
      <c r="D85" s="1" t="s">
        <v>75</v>
      </c>
      <c r="E85" s="21">
        <v>41556</v>
      </c>
      <c r="F85" s="23">
        <v>13.49</v>
      </c>
      <c r="G85" s="59">
        <v>39.89</v>
      </c>
      <c r="H85" s="130"/>
    </row>
    <row r="86" spans="1:8" ht="15.75" x14ac:dyDescent="0.25">
      <c r="A86" s="75" t="s">
        <v>139</v>
      </c>
      <c r="B86" s="22" t="s">
        <v>229</v>
      </c>
      <c r="C86" s="22" t="s">
        <v>31</v>
      </c>
      <c r="D86" s="1" t="s">
        <v>75</v>
      </c>
      <c r="E86" s="21">
        <v>41035</v>
      </c>
      <c r="F86" s="109">
        <v>13.37</v>
      </c>
      <c r="G86" s="110">
        <v>58</v>
      </c>
      <c r="H86" s="131"/>
    </row>
    <row r="87" spans="1:8" ht="15.75" x14ac:dyDescent="0.25">
      <c r="A87" s="70" t="s">
        <v>116</v>
      </c>
      <c r="B87" s="11" t="s">
        <v>497</v>
      </c>
      <c r="C87" s="11" t="s">
        <v>32</v>
      </c>
      <c r="D87" s="1" t="s">
        <v>72</v>
      </c>
      <c r="E87" s="20">
        <v>2008</v>
      </c>
      <c r="F87" s="109">
        <v>101.94</v>
      </c>
      <c r="G87" s="110">
        <v>315</v>
      </c>
      <c r="H87" s="131"/>
    </row>
    <row r="88" spans="1:8" ht="15.75" x14ac:dyDescent="0.25">
      <c r="A88" s="70" t="s">
        <v>116</v>
      </c>
      <c r="B88" s="22" t="s">
        <v>492</v>
      </c>
      <c r="C88" s="11" t="s">
        <v>32</v>
      </c>
      <c r="D88" s="1" t="s">
        <v>72</v>
      </c>
      <c r="E88" s="21">
        <v>41061</v>
      </c>
      <c r="F88" s="109">
        <v>229.68</v>
      </c>
      <c r="G88" s="110">
        <v>900</v>
      </c>
      <c r="H88" s="131"/>
    </row>
    <row r="89" spans="1:8" ht="15.75" x14ac:dyDescent="0.25">
      <c r="A89" s="69" t="s">
        <v>113</v>
      </c>
      <c r="B89" s="11" t="s">
        <v>230</v>
      </c>
      <c r="C89" s="8" t="s">
        <v>64</v>
      </c>
      <c r="D89" s="1" t="s">
        <v>75</v>
      </c>
      <c r="E89" s="20">
        <v>2008</v>
      </c>
      <c r="F89" s="111">
        <v>81</v>
      </c>
      <c r="G89" s="110">
        <v>257</v>
      </c>
      <c r="H89" s="131"/>
    </row>
    <row r="90" spans="1:8" ht="15.75" x14ac:dyDescent="0.25">
      <c r="A90" s="69" t="s">
        <v>117</v>
      </c>
      <c r="B90" s="22" t="s">
        <v>493</v>
      </c>
      <c r="C90" s="8" t="s">
        <v>28</v>
      </c>
      <c r="D90" s="1" t="s">
        <v>75</v>
      </c>
      <c r="E90" s="20">
        <v>2006</v>
      </c>
      <c r="F90" s="111">
        <v>27.27</v>
      </c>
      <c r="G90" s="110">
        <v>86.39</v>
      </c>
      <c r="H90" s="131"/>
    </row>
    <row r="91" spans="1:8" ht="15.75" x14ac:dyDescent="0.25">
      <c r="A91" s="72" t="s">
        <v>93</v>
      </c>
      <c r="B91" s="22" t="s">
        <v>410</v>
      </c>
      <c r="C91" s="14" t="s">
        <v>8</v>
      </c>
      <c r="D91" s="1" t="s">
        <v>75</v>
      </c>
      <c r="E91" s="20">
        <v>2006</v>
      </c>
      <c r="F91" s="111">
        <v>14</v>
      </c>
      <c r="G91" s="112">
        <v>55.61</v>
      </c>
      <c r="H91" s="128"/>
    </row>
    <row r="92" spans="1:8" ht="15.75" x14ac:dyDescent="0.25">
      <c r="A92" s="69" t="s">
        <v>117</v>
      </c>
      <c r="B92" s="22" t="s">
        <v>498</v>
      </c>
      <c r="C92" s="8" t="s">
        <v>28</v>
      </c>
      <c r="D92" s="1" t="s">
        <v>75</v>
      </c>
      <c r="E92" s="20">
        <v>2012</v>
      </c>
      <c r="F92" s="23">
        <v>16.32</v>
      </c>
      <c r="G92" s="59">
        <v>42.14</v>
      </c>
      <c r="H92" s="130"/>
    </row>
    <row r="93" spans="1:8" ht="15.75" x14ac:dyDescent="0.25">
      <c r="A93" s="72" t="s">
        <v>93</v>
      </c>
      <c r="B93" s="11" t="s">
        <v>231</v>
      </c>
      <c r="C93" s="14" t="s">
        <v>8</v>
      </c>
      <c r="D93" s="1" t="s">
        <v>75</v>
      </c>
      <c r="E93" s="20">
        <v>2010</v>
      </c>
      <c r="F93" s="111">
        <v>2.06</v>
      </c>
      <c r="G93" s="112">
        <v>14.06</v>
      </c>
      <c r="H93" s="128"/>
    </row>
    <row r="94" spans="1:8" ht="15.75" x14ac:dyDescent="0.25">
      <c r="A94" s="70" t="s">
        <v>144</v>
      </c>
      <c r="B94" s="11" t="s">
        <v>411</v>
      </c>
      <c r="C94" s="11" t="s">
        <v>59</v>
      </c>
      <c r="D94" s="1" t="s">
        <v>72</v>
      </c>
      <c r="E94" s="21">
        <v>40645</v>
      </c>
      <c r="F94" s="23">
        <v>275.52</v>
      </c>
      <c r="G94" s="110">
        <v>900</v>
      </c>
      <c r="H94" s="131"/>
    </row>
    <row r="95" spans="1:8" ht="15.75" x14ac:dyDescent="0.25">
      <c r="A95" s="71" t="s">
        <v>104</v>
      </c>
      <c r="B95" s="44" t="s">
        <v>499</v>
      </c>
      <c r="C95" s="12" t="s">
        <v>61</v>
      </c>
      <c r="D95" s="1" t="s">
        <v>75</v>
      </c>
      <c r="E95" s="20">
        <v>2007</v>
      </c>
      <c r="F95" s="111">
        <v>4.0819999999999999</v>
      </c>
      <c r="G95" s="112">
        <v>24.306999999999999</v>
      </c>
      <c r="H95" s="128"/>
    </row>
    <row r="96" spans="1:8" ht="15.75" x14ac:dyDescent="0.25">
      <c r="A96" s="71" t="s">
        <v>104</v>
      </c>
      <c r="B96" s="44" t="s">
        <v>500</v>
      </c>
      <c r="C96" s="12" t="s">
        <v>61</v>
      </c>
      <c r="D96" s="1" t="s">
        <v>75</v>
      </c>
      <c r="E96" s="24">
        <v>2007</v>
      </c>
      <c r="F96" s="109">
        <v>3.69</v>
      </c>
      <c r="G96" s="110">
        <v>23.103999999999999</v>
      </c>
      <c r="H96" s="131"/>
    </row>
    <row r="97" spans="1:8" ht="15.75" x14ac:dyDescent="0.25">
      <c r="A97" s="71" t="s">
        <v>104</v>
      </c>
      <c r="B97" s="44" t="s">
        <v>501</v>
      </c>
      <c r="C97" s="12" t="s">
        <v>61</v>
      </c>
      <c r="D97" s="1" t="s">
        <v>75</v>
      </c>
      <c r="E97" s="24">
        <v>2009</v>
      </c>
      <c r="F97" s="109">
        <v>1.05</v>
      </c>
      <c r="G97" s="112">
        <v>4</v>
      </c>
      <c r="H97" s="128"/>
    </row>
    <row r="98" spans="1:8" ht="15.75" x14ac:dyDescent="0.25">
      <c r="A98" s="71" t="s">
        <v>104</v>
      </c>
      <c r="B98" s="44" t="s">
        <v>502</v>
      </c>
      <c r="C98" s="12" t="s">
        <v>61</v>
      </c>
      <c r="D98" s="1" t="s">
        <v>75</v>
      </c>
      <c r="E98" s="24">
        <v>2007</v>
      </c>
      <c r="F98" s="109">
        <f>2*2.008</f>
        <v>4.016</v>
      </c>
      <c r="G98" s="110">
        <v>25.16</v>
      </c>
      <c r="H98" s="131"/>
    </row>
    <row r="99" spans="1:8" ht="15.75" x14ac:dyDescent="0.25">
      <c r="A99" s="71" t="s">
        <v>104</v>
      </c>
      <c r="B99" s="44" t="s">
        <v>503</v>
      </c>
      <c r="C99" s="12" t="s">
        <v>61</v>
      </c>
      <c r="D99" s="1" t="s">
        <v>75</v>
      </c>
      <c r="E99" s="24">
        <v>2009</v>
      </c>
      <c r="F99" s="109">
        <v>5.7140000000000004</v>
      </c>
      <c r="G99" s="110">
        <v>25</v>
      </c>
      <c r="H99" s="131"/>
    </row>
    <row r="100" spans="1:8" ht="15.75" x14ac:dyDescent="0.25">
      <c r="A100" s="72" t="s">
        <v>93</v>
      </c>
      <c r="B100" s="11" t="s">
        <v>232</v>
      </c>
      <c r="C100" s="14" t="s">
        <v>8</v>
      </c>
      <c r="D100" s="1" t="s">
        <v>75</v>
      </c>
      <c r="E100" s="21">
        <v>41026</v>
      </c>
      <c r="F100" s="23">
        <v>3.76</v>
      </c>
      <c r="G100" s="110">
        <v>15.07</v>
      </c>
      <c r="H100" s="131"/>
    </row>
    <row r="101" spans="1:8" ht="15.75" x14ac:dyDescent="0.25">
      <c r="A101" s="68" t="s">
        <v>98</v>
      </c>
      <c r="B101" s="11" t="s">
        <v>233</v>
      </c>
      <c r="C101" s="5" t="s">
        <v>37</v>
      </c>
      <c r="D101" s="1" t="s">
        <v>75</v>
      </c>
      <c r="E101" s="20">
        <v>2007</v>
      </c>
      <c r="F101" s="111">
        <v>40.5</v>
      </c>
      <c r="G101" s="110">
        <v>105</v>
      </c>
      <c r="H101" s="131"/>
    </row>
    <row r="102" spans="1:8" ht="15.75" x14ac:dyDescent="0.25">
      <c r="A102" s="75" t="s">
        <v>139</v>
      </c>
      <c r="B102" s="11" t="s">
        <v>412</v>
      </c>
      <c r="C102" s="22" t="s">
        <v>31</v>
      </c>
      <c r="D102" s="1" t="s">
        <v>75</v>
      </c>
      <c r="E102" s="21">
        <v>41089</v>
      </c>
      <c r="F102" s="111">
        <v>14.91</v>
      </c>
      <c r="G102" s="110">
        <v>50</v>
      </c>
      <c r="H102" s="131"/>
    </row>
    <row r="103" spans="1:8" ht="15.75" x14ac:dyDescent="0.25">
      <c r="A103" s="69" t="s">
        <v>113</v>
      </c>
      <c r="B103" s="11" t="s">
        <v>504</v>
      </c>
      <c r="C103" s="8" t="s">
        <v>64</v>
      </c>
      <c r="D103" s="1" t="s">
        <v>75</v>
      </c>
      <c r="E103" s="21">
        <v>41408</v>
      </c>
      <c r="F103" s="111">
        <v>8.9109999999999996</v>
      </c>
      <c r="G103" s="110">
        <v>25.8</v>
      </c>
      <c r="H103" s="131"/>
    </row>
    <row r="104" spans="1:8" ht="15.75" x14ac:dyDescent="0.25">
      <c r="A104" s="69" t="s">
        <v>115</v>
      </c>
      <c r="B104" s="11" t="s">
        <v>234</v>
      </c>
      <c r="C104" s="8" t="s">
        <v>10</v>
      </c>
      <c r="D104" s="1" t="s">
        <v>75</v>
      </c>
      <c r="E104" s="20">
        <v>2010</v>
      </c>
      <c r="F104" s="111">
        <v>12.41</v>
      </c>
      <c r="G104" s="110">
        <v>40</v>
      </c>
      <c r="H104" s="131"/>
    </row>
    <row r="105" spans="1:8" ht="15.75" x14ac:dyDescent="0.25">
      <c r="A105" s="69" t="s">
        <v>113</v>
      </c>
      <c r="B105" s="11" t="s">
        <v>413</v>
      </c>
      <c r="C105" s="8" t="s">
        <v>64</v>
      </c>
      <c r="D105" s="1" t="s">
        <v>75</v>
      </c>
      <c r="E105" s="21">
        <v>41005</v>
      </c>
      <c r="F105" s="23">
        <v>16.350000000000001</v>
      </c>
      <c r="G105" s="110">
        <v>58.18</v>
      </c>
      <c r="H105" s="131"/>
    </row>
    <row r="106" spans="1:8" ht="15.75" x14ac:dyDescent="0.25">
      <c r="A106" s="69" t="s">
        <v>115</v>
      </c>
      <c r="B106" s="22" t="s">
        <v>414</v>
      </c>
      <c r="C106" s="8" t="s">
        <v>10</v>
      </c>
      <c r="D106" s="1" t="s">
        <v>75</v>
      </c>
      <c r="E106" s="25">
        <v>41137</v>
      </c>
      <c r="F106" s="23">
        <v>32.409999999999997</v>
      </c>
      <c r="G106" s="110">
        <v>76.36</v>
      </c>
      <c r="H106" s="131"/>
    </row>
    <row r="107" spans="1:8" ht="15.75" x14ac:dyDescent="0.25">
      <c r="A107" s="75" t="s">
        <v>139</v>
      </c>
      <c r="B107" s="22" t="s">
        <v>235</v>
      </c>
      <c r="C107" s="22" t="s">
        <v>31</v>
      </c>
      <c r="D107" s="1" t="s">
        <v>72</v>
      </c>
      <c r="E107" s="21">
        <v>41541</v>
      </c>
      <c r="F107" s="111">
        <v>93</v>
      </c>
      <c r="G107" s="112">
        <v>340</v>
      </c>
      <c r="H107" s="128"/>
    </row>
    <row r="108" spans="1:8" ht="15.75" x14ac:dyDescent="0.25">
      <c r="A108" s="71" t="s">
        <v>82</v>
      </c>
      <c r="B108" s="44" t="s">
        <v>505</v>
      </c>
      <c r="C108" s="12" t="s">
        <v>50</v>
      </c>
      <c r="D108" s="1" t="s">
        <v>75</v>
      </c>
      <c r="E108" s="20">
        <v>2000</v>
      </c>
      <c r="F108" s="111">
        <v>7.5</v>
      </c>
      <c r="G108" s="112">
        <v>30</v>
      </c>
      <c r="H108" s="128"/>
    </row>
    <row r="109" spans="1:8" ht="15.75" x14ac:dyDescent="0.25">
      <c r="A109" s="71" t="s">
        <v>82</v>
      </c>
      <c r="B109" s="44" t="s">
        <v>506</v>
      </c>
      <c r="C109" s="12" t="s">
        <v>50</v>
      </c>
      <c r="D109" s="1" t="s">
        <v>75</v>
      </c>
      <c r="E109" s="20">
        <v>2001</v>
      </c>
      <c r="F109" s="111">
        <v>7.5</v>
      </c>
      <c r="G109" s="112">
        <v>30</v>
      </c>
      <c r="H109" s="128"/>
    </row>
    <row r="110" spans="1:8" ht="15.75" x14ac:dyDescent="0.25">
      <c r="A110" s="71" t="s">
        <v>82</v>
      </c>
      <c r="B110" s="44" t="s">
        <v>507</v>
      </c>
      <c r="C110" s="12" t="s">
        <v>50</v>
      </c>
      <c r="D110" s="1" t="s">
        <v>75</v>
      </c>
      <c r="E110" s="20">
        <v>2002</v>
      </c>
      <c r="F110" s="111">
        <v>7.5</v>
      </c>
      <c r="G110" s="112">
        <v>30</v>
      </c>
      <c r="H110" s="128"/>
    </row>
    <row r="111" spans="1:8" ht="15.75" x14ac:dyDescent="0.25">
      <c r="A111" s="71" t="s">
        <v>82</v>
      </c>
      <c r="B111" s="44" t="s">
        <v>508</v>
      </c>
      <c r="C111" s="12" t="s">
        <v>50</v>
      </c>
      <c r="D111" s="1" t="s">
        <v>75</v>
      </c>
      <c r="E111" s="20">
        <v>2002</v>
      </c>
      <c r="F111" s="111">
        <v>7.5</v>
      </c>
      <c r="G111" s="112">
        <v>30</v>
      </c>
      <c r="H111" s="128"/>
    </row>
    <row r="112" spans="1:8" ht="15.75" x14ac:dyDescent="0.25">
      <c r="A112" s="71" t="s">
        <v>82</v>
      </c>
      <c r="B112" s="44" t="s">
        <v>509</v>
      </c>
      <c r="C112" s="12" t="s">
        <v>50</v>
      </c>
      <c r="D112" s="1" t="s">
        <v>75</v>
      </c>
      <c r="E112" s="20">
        <v>2003</v>
      </c>
      <c r="F112" s="111">
        <v>7.5</v>
      </c>
      <c r="G112" s="112">
        <v>30</v>
      </c>
      <c r="H112" s="128"/>
    </row>
    <row r="113" spans="1:8" ht="15.75" x14ac:dyDescent="0.25">
      <c r="A113" s="70" t="s">
        <v>102</v>
      </c>
      <c r="B113" s="44" t="s">
        <v>415</v>
      </c>
      <c r="C113" s="11" t="s">
        <v>52</v>
      </c>
      <c r="D113" s="1" t="s">
        <v>75</v>
      </c>
      <c r="E113" s="21">
        <v>41423</v>
      </c>
      <c r="F113" s="111">
        <v>19.53</v>
      </c>
      <c r="G113" s="112">
        <v>80.260000000000005</v>
      </c>
      <c r="H113" s="128"/>
    </row>
    <row r="114" spans="1:8" ht="15.75" x14ac:dyDescent="0.25">
      <c r="A114" s="68" t="s">
        <v>98</v>
      </c>
      <c r="B114" s="22" t="s">
        <v>416</v>
      </c>
      <c r="C114" s="5" t="s">
        <v>37</v>
      </c>
      <c r="D114" s="1" t="s">
        <v>75</v>
      </c>
      <c r="E114" s="21">
        <v>41003</v>
      </c>
      <c r="F114" s="23">
        <v>16.742999999999999</v>
      </c>
      <c r="G114" s="110">
        <v>46.395000000000003</v>
      </c>
      <c r="H114" s="131"/>
    </row>
    <row r="115" spans="1:8" ht="15.75" x14ac:dyDescent="0.25">
      <c r="A115" s="75" t="s">
        <v>108</v>
      </c>
      <c r="B115" s="22" t="s">
        <v>236</v>
      </c>
      <c r="C115" s="22" t="s">
        <v>60</v>
      </c>
      <c r="D115" s="1" t="s">
        <v>75</v>
      </c>
      <c r="E115" s="20">
        <v>2012</v>
      </c>
      <c r="F115" s="23">
        <v>8.58</v>
      </c>
      <c r="G115" s="59">
        <v>30.03</v>
      </c>
      <c r="H115" s="130"/>
    </row>
    <row r="116" spans="1:8" ht="15.75" x14ac:dyDescent="0.25">
      <c r="A116" s="72" t="s">
        <v>140</v>
      </c>
      <c r="B116" s="22" t="s">
        <v>511</v>
      </c>
      <c r="C116" s="14" t="s">
        <v>56</v>
      </c>
      <c r="D116" s="1" t="s">
        <v>75</v>
      </c>
      <c r="E116" s="21">
        <v>41258</v>
      </c>
      <c r="F116" s="23">
        <v>4.42</v>
      </c>
      <c r="G116" s="59">
        <v>13.65</v>
      </c>
      <c r="H116" s="130"/>
    </row>
    <row r="117" spans="1:8" ht="15.75" x14ac:dyDescent="0.25">
      <c r="A117" s="71" t="s">
        <v>96</v>
      </c>
      <c r="B117" s="11" t="s">
        <v>510</v>
      </c>
      <c r="C117" s="12" t="s">
        <v>49</v>
      </c>
      <c r="D117" s="1" t="s">
        <v>75</v>
      </c>
      <c r="E117" s="20">
        <v>2010</v>
      </c>
      <c r="F117" s="23">
        <v>24.407</v>
      </c>
      <c r="G117" s="110">
        <v>90.5</v>
      </c>
      <c r="H117" s="131"/>
    </row>
    <row r="118" spans="1:8" ht="15.75" x14ac:dyDescent="0.25">
      <c r="A118" s="71" t="s">
        <v>82</v>
      </c>
      <c r="B118" s="11" t="s">
        <v>512</v>
      </c>
      <c r="C118" s="12" t="s">
        <v>50</v>
      </c>
      <c r="D118" s="1" t="s">
        <v>75</v>
      </c>
      <c r="E118" s="20">
        <v>1998</v>
      </c>
      <c r="F118" s="111">
        <v>0.3</v>
      </c>
      <c r="G118" s="112">
        <v>1.7</v>
      </c>
      <c r="H118" s="128"/>
    </row>
    <row r="119" spans="1:8" ht="15.75" x14ac:dyDescent="0.25">
      <c r="A119" s="67" t="s">
        <v>127</v>
      </c>
      <c r="B119" s="11" t="s">
        <v>417</v>
      </c>
      <c r="C119" s="1" t="s">
        <v>33</v>
      </c>
      <c r="D119" s="1" t="s">
        <v>75</v>
      </c>
      <c r="E119" s="20">
        <v>2009</v>
      </c>
      <c r="F119" s="111">
        <v>29.571999999999999</v>
      </c>
      <c r="G119" s="112">
        <v>95</v>
      </c>
      <c r="H119" s="128"/>
    </row>
    <row r="120" spans="1:8" ht="15.75" x14ac:dyDescent="0.25">
      <c r="A120" s="67" t="s">
        <v>118</v>
      </c>
      <c r="B120" s="22" t="s">
        <v>515</v>
      </c>
      <c r="C120" s="1" t="s">
        <v>27</v>
      </c>
      <c r="D120" s="1" t="s">
        <v>75</v>
      </c>
      <c r="E120" s="26">
        <v>2012</v>
      </c>
      <c r="F120" s="23">
        <v>48.6</v>
      </c>
      <c r="G120" s="59">
        <v>181.25</v>
      </c>
      <c r="H120" s="130"/>
    </row>
    <row r="121" spans="1:8" ht="15.75" x14ac:dyDescent="0.25">
      <c r="A121" s="69" t="s">
        <v>113</v>
      </c>
      <c r="B121" s="11" t="s">
        <v>418</v>
      </c>
      <c r="C121" s="8" t="s">
        <v>64</v>
      </c>
      <c r="D121" s="1" t="s">
        <v>75</v>
      </c>
      <c r="E121" s="25">
        <v>40760</v>
      </c>
      <c r="F121" s="23">
        <v>9.19</v>
      </c>
      <c r="G121" s="59">
        <v>35</v>
      </c>
      <c r="H121" s="130"/>
    </row>
    <row r="122" spans="1:8" ht="15.75" x14ac:dyDescent="0.25">
      <c r="A122" s="70" t="s">
        <v>92</v>
      </c>
      <c r="B122" s="11" t="s">
        <v>419</v>
      </c>
      <c r="C122" s="11" t="s">
        <v>39</v>
      </c>
      <c r="D122" s="1" t="s">
        <v>72</v>
      </c>
      <c r="E122" s="25">
        <v>41125</v>
      </c>
      <c r="F122" s="23">
        <v>38</v>
      </c>
      <c r="G122" s="59">
        <v>120.5</v>
      </c>
      <c r="H122" s="130"/>
    </row>
    <row r="123" spans="1:8" ht="15.75" x14ac:dyDescent="0.25">
      <c r="A123" s="69" t="s">
        <v>113</v>
      </c>
      <c r="B123" s="11" t="s">
        <v>516</v>
      </c>
      <c r="C123" s="8" t="s">
        <v>64</v>
      </c>
      <c r="D123" s="1" t="s">
        <v>75</v>
      </c>
      <c r="E123" s="25">
        <v>41045</v>
      </c>
      <c r="F123" s="23">
        <v>17.52</v>
      </c>
      <c r="G123" s="59">
        <v>56</v>
      </c>
      <c r="H123" s="130"/>
    </row>
    <row r="124" spans="1:8" ht="15.75" x14ac:dyDescent="0.25">
      <c r="A124" s="67" t="s">
        <v>138</v>
      </c>
      <c r="B124" s="11" t="s">
        <v>237</v>
      </c>
      <c r="C124" s="1" t="s">
        <v>13</v>
      </c>
      <c r="D124" s="1" t="s">
        <v>75</v>
      </c>
      <c r="E124" s="20">
        <v>2010</v>
      </c>
      <c r="F124" s="111">
        <v>6.85</v>
      </c>
      <c r="G124" s="112">
        <v>21.5</v>
      </c>
      <c r="H124" s="128"/>
    </row>
    <row r="125" spans="1:8" ht="15.75" x14ac:dyDescent="0.25">
      <c r="A125" s="70" t="s">
        <v>80</v>
      </c>
      <c r="B125" s="11" t="s">
        <v>238</v>
      </c>
      <c r="C125" s="11" t="s">
        <v>11</v>
      </c>
      <c r="D125" s="1" t="s">
        <v>75</v>
      </c>
      <c r="E125" s="20">
        <v>2006</v>
      </c>
      <c r="F125" s="111">
        <v>0.55000000000000004</v>
      </c>
      <c r="G125" s="112">
        <v>4.2699999999999996</v>
      </c>
      <c r="H125" s="128"/>
    </row>
    <row r="126" spans="1:8" ht="15.75" x14ac:dyDescent="0.25">
      <c r="A126" s="67" t="s">
        <v>119</v>
      </c>
      <c r="B126" s="11" t="s">
        <v>239</v>
      </c>
      <c r="C126" s="1" t="s">
        <v>15</v>
      </c>
      <c r="D126" s="1" t="s">
        <v>75</v>
      </c>
      <c r="E126" s="20">
        <v>2010</v>
      </c>
      <c r="F126" s="111">
        <v>14.63</v>
      </c>
      <c r="G126" s="112">
        <v>60</v>
      </c>
      <c r="H126" s="128"/>
    </row>
    <row r="127" spans="1:8" ht="15.75" x14ac:dyDescent="0.25">
      <c r="A127" s="70" t="s">
        <v>102</v>
      </c>
      <c r="B127" s="11" t="s">
        <v>420</v>
      </c>
      <c r="C127" s="11" t="s">
        <v>52</v>
      </c>
      <c r="D127" s="1" t="s">
        <v>72</v>
      </c>
      <c r="E127" s="21">
        <v>40563</v>
      </c>
      <c r="F127" s="111">
        <v>47</v>
      </c>
      <c r="G127" s="110">
        <v>166</v>
      </c>
      <c r="H127" s="131"/>
    </row>
    <row r="128" spans="1:8" ht="15.75" x14ac:dyDescent="0.25">
      <c r="A128" s="70" t="s">
        <v>128</v>
      </c>
      <c r="B128" s="11" t="s">
        <v>240</v>
      </c>
      <c r="C128" s="11" t="s">
        <v>30</v>
      </c>
      <c r="D128" s="1" t="s">
        <v>75</v>
      </c>
      <c r="E128" s="21">
        <v>41088</v>
      </c>
      <c r="F128" s="111">
        <v>0.66</v>
      </c>
      <c r="G128" s="112">
        <v>3.2</v>
      </c>
      <c r="H128" s="128"/>
    </row>
    <row r="129" spans="1:8" ht="15.75" x14ac:dyDescent="0.25">
      <c r="A129" s="67" t="s">
        <v>112</v>
      </c>
      <c r="B129" s="22" t="s">
        <v>241</v>
      </c>
      <c r="C129" s="1" t="s">
        <v>6</v>
      </c>
      <c r="D129" s="1" t="s">
        <v>75</v>
      </c>
      <c r="E129" s="20">
        <v>2012</v>
      </c>
      <c r="F129" s="23">
        <v>3.6</v>
      </c>
      <c r="G129" s="59">
        <v>19.286999999999999</v>
      </c>
      <c r="H129" s="130"/>
    </row>
    <row r="130" spans="1:8" ht="15.75" x14ac:dyDescent="0.25">
      <c r="A130" s="71" t="s">
        <v>81</v>
      </c>
      <c r="B130" s="11" t="s">
        <v>242</v>
      </c>
      <c r="C130" s="12" t="s">
        <v>23</v>
      </c>
      <c r="D130" s="1" t="s">
        <v>75</v>
      </c>
      <c r="E130" s="20">
        <v>1997</v>
      </c>
      <c r="F130" s="203">
        <v>3.15</v>
      </c>
      <c r="G130" s="204">
        <v>16</v>
      </c>
      <c r="H130" s="131"/>
    </row>
    <row r="131" spans="1:8" ht="15.75" x14ac:dyDescent="0.25">
      <c r="A131" s="71" t="s">
        <v>81</v>
      </c>
      <c r="B131" s="11" t="s">
        <v>517</v>
      </c>
      <c r="C131" s="12" t="s">
        <v>23</v>
      </c>
      <c r="D131" s="1" t="s">
        <v>75</v>
      </c>
      <c r="E131" s="20">
        <v>1997</v>
      </c>
      <c r="F131" s="203"/>
      <c r="G131" s="204"/>
      <c r="H131" s="131"/>
    </row>
    <row r="132" spans="1:8" ht="15.75" x14ac:dyDescent="0.25">
      <c r="A132" s="75" t="s">
        <v>106</v>
      </c>
      <c r="B132" s="11" t="s">
        <v>243</v>
      </c>
      <c r="C132" s="22" t="s">
        <v>41</v>
      </c>
      <c r="D132" s="1" t="s">
        <v>75</v>
      </c>
      <c r="E132" s="21">
        <v>41535</v>
      </c>
      <c r="F132" s="109">
        <v>9.3800000000000008</v>
      </c>
      <c r="G132" s="110">
        <v>23.58</v>
      </c>
      <c r="H132" s="131"/>
    </row>
    <row r="133" spans="1:8" ht="15.75" x14ac:dyDescent="0.25">
      <c r="A133" s="71" t="s">
        <v>96</v>
      </c>
      <c r="B133" s="11" t="s">
        <v>244</v>
      </c>
      <c r="C133" s="12" t="s">
        <v>49</v>
      </c>
      <c r="D133" s="1" t="s">
        <v>75</v>
      </c>
      <c r="E133" s="20">
        <v>2004</v>
      </c>
      <c r="F133" s="111">
        <v>48.5</v>
      </c>
      <c r="G133" s="112">
        <v>74.8</v>
      </c>
      <c r="H133" s="128"/>
    </row>
    <row r="134" spans="1:8" ht="15.75" x14ac:dyDescent="0.25">
      <c r="A134" s="75" t="s">
        <v>108</v>
      </c>
      <c r="B134" s="45" t="s">
        <v>421</v>
      </c>
      <c r="C134" s="22" t="s">
        <v>60</v>
      </c>
      <c r="D134" s="1" t="s">
        <v>72</v>
      </c>
      <c r="E134" s="20">
        <v>2012</v>
      </c>
      <c r="F134" s="111">
        <v>513</v>
      </c>
      <c r="G134" s="112">
        <v>1470</v>
      </c>
      <c r="H134" s="128"/>
    </row>
    <row r="135" spans="1:8" ht="15.75" x14ac:dyDescent="0.25">
      <c r="A135" s="75" t="s">
        <v>114</v>
      </c>
      <c r="B135" s="45" t="s">
        <v>422</v>
      </c>
      <c r="C135" s="22" t="s">
        <v>54</v>
      </c>
      <c r="D135" s="1" t="s">
        <v>75</v>
      </c>
      <c r="E135" s="20">
        <v>2013</v>
      </c>
      <c r="F135" s="111">
        <v>18.149999999999999</v>
      </c>
      <c r="G135" s="112">
        <v>63.524999999999991</v>
      </c>
      <c r="H135" s="128"/>
    </row>
    <row r="136" spans="1:8" ht="15.75" x14ac:dyDescent="0.25">
      <c r="A136" s="72" t="s">
        <v>93</v>
      </c>
      <c r="B136" s="45" t="s">
        <v>245</v>
      </c>
      <c r="C136" s="14" t="s">
        <v>8</v>
      </c>
      <c r="D136" s="1" t="s">
        <v>75</v>
      </c>
      <c r="E136" s="21">
        <v>41264</v>
      </c>
      <c r="F136" s="111">
        <v>9.6</v>
      </c>
      <c r="G136" s="112">
        <v>44</v>
      </c>
      <c r="H136" s="128"/>
    </row>
    <row r="137" spans="1:8" ht="15.75" x14ac:dyDescent="0.25">
      <c r="A137" s="67" t="s">
        <v>129</v>
      </c>
      <c r="B137" s="11" t="s">
        <v>423</v>
      </c>
      <c r="C137" s="1" t="s">
        <v>5</v>
      </c>
      <c r="D137" s="1" t="s">
        <v>75</v>
      </c>
      <c r="E137" s="20">
        <v>2010</v>
      </c>
      <c r="F137" s="111">
        <v>7.11</v>
      </c>
      <c r="G137" s="110">
        <v>33</v>
      </c>
      <c r="H137" s="131"/>
    </row>
    <row r="138" spans="1:8" ht="15.75" x14ac:dyDescent="0.25">
      <c r="A138" s="75" t="s">
        <v>139</v>
      </c>
      <c r="B138" s="11" t="s">
        <v>246</v>
      </c>
      <c r="C138" s="22" t="s">
        <v>31</v>
      </c>
      <c r="D138" s="1" t="s">
        <v>75</v>
      </c>
      <c r="E138" s="21">
        <v>41316</v>
      </c>
      <c r="F138" s="111">
        <v>66.290000000000006</v>
      </c>
      <c r="G138" s="110">
        <v>224</v>
      </c>
      <c r="H138" s="131"/>
    </row>
    <row r="139" spans="1:8" ht="15.75" x14ac:dyDescent="0.25">
      <c r="A139" s="67" t="s">
        <v>129</v>
      </c>
      <c r="B139" s="11" t="s">
        <v>424</v>
      </c>
      <c r="C139" s="1" t="s">
        <v>5</v>
      </c>
      <c r="D139" s="1" t="s">
        <v>75</v>
      </c>
      <c r="E139" s="20">
        <v>2004</v>
      </c>
      <c r="F139" s="111">
        <v>27.9</v>
      </c>
      <c r="G139" s="110">
        <v>112</v>
      </c>
      <c r="H139" s="131"/>
    </row>
    <row r="140" spans="1:8" ht="15.75" x14ac:dyDescent="0.25">
      <c r="A140" s="67" t="s">
        <v>88</v>
      </c>
      <c r="B140" s="11" t="s">
        <v>518</v>
      </c>
      <c r="C140" s="1" t="s">
        <v>16</v>
      </c>
      <c r="D140" s="1" t="s">
        <v>75</v>
      </c>
      <c r="E140" s="21">
        <v>41424</v>
      </c>
      <c r="F140" s="111">
        <v>12.597</v>
      </c>
      <c r="G140" s="110">
        <v>58.11</v>
      </c>
      <c r="H140" s="131"/>
    </row>
    <row r="141" spans="1:8" ht="15.75" x14ac:dyDescent="0.25">
      <c r="A141" s="70" t="s">
        <v>116</v>
      </c>
      <c r="B141" s="11" t="s">
        <v>247</v>
      </c>
      <c r="C141" s="11" t="s">
        <v>32</v>
      </c>
      <c r="D141" s="1" t="s">
        <v>75</v>
      </c>
      <c r="E141" s="21">
        <v>41060</v>
      </c>
      <c r="F141" s="111">
        <v>68.861999999999995</v>
      </c>
      <c r="G141" s="58">
        <v>192</v>
      </c>
      <c r="H141" s="129"/>
    </row>
    <row r="142" spans="1:8" ht="15.75" x14ac:dyDescent="0.25">
      <c r="A142" s="67" t="s">
        <v>120</v>
      </c>
      <c r="B142" s="22" t="s">
        <v>248</v>
      </c>
      <c r="C142" s="1" t="s">
        <v>40</v>
      </c>
      <c r="D142" s="1" t="s">
        <v>75</v>
      </c>
      <c r="E142" s="21">
        <v>41110</v>
      </c>
      <c r="F142" s="109">
        <v>1.853</v>
      </c>
      <c r="G142" s="110">
        <v>11</v>
      </c>
      <c r="H142" s="131"/>
    </row>
    <row r="143" spans="1:8" ht="15.75" x14ac:dyDescent="0.25">
      <c r="A143" s="69" t="s">
        <v>115</v>
      </c>
      <c r="B143" s="11" t="s">
        <v>249</v>
      </c>
      <c r="C143" s="8" t="s">
        <v>10</v>
      </c>
      <c r="D143" s="1" t="s">
        <v>75</v>
      </c>
      <c r="E143" s="20">
        <v>2008</v>
      </c>
      <c r="F143" s="111">
        <v>11</v>
      </c>
      <c r="G143" s="112">
        <v>47</v>
      </c>
      <c r="H143" s="128"/>
    </row>
    <row r="144" spans="1:8" ht="15.75" x14ac:dyDescent="0.25">
      <c r="A144" s="69" t="s">
        <v>113</v>
      </c>
      <c r="B144" s="11" t="s">
        <v>519</v>
      </c>
      <c r="C144" s="8" t="s">
        <v>64</v>
      </c>
      <c r="D144" s="1" t="s">
        <v>75</v>
      </c>
      <c r="E144" s="20">
        <v>2011</v>
      </c>
      <c r="F144" s="111">
        <v>16.375</v>
      </c>
      <c r="G144" s="110">
        <v>51.18</v>
      </c>
      <c r="H144" s="131"/>
    </row>
    <row r="145" spans="1:8" ht="15.75" x14ac:dyDescent="0.25">
      <c r="A145" s="70" t="s">
        <v>89</v>
      </c>
      <c r="B145" s="22" t="s">
        <v>250</v>
      </c>
      <c r="C145" s="11" t="s">
        <v>19</v>
      </c>
      <c r="D145" s="1" t="s">
        <v>75</v>
      </c>
      <c r="E145" s="21">
        <v>41302</v>
      </c>
      <c r="F145" s="111">
        <v>3.4079999999999999</v>
      </c>
      <c r="G145" s="110">
        <v>10.351000000000001</v>
      </c>
      <c r="H145" s="131"/>
    </row>
    <row r="146" spans="1:8" ht="15.75" x14ac:dyDescent="0.25">
      <c r="A146" s="72" t="s">
        <v>140</v>
      </c>
      <c r="B146" s="11" t="s">
        <v>425</v>
      </c>
      <c r="C146" s="14" t="s">
        <v>56</v>
      </c>
      <c r="D146" s="1" t="s">
        <v>75</v>
      </c>
      <c r="E146" s="20">
        <v>2010</v>
      </c>
      <c r="F146" s="111">
        <v>91.54</v>
      </c>
      <c r="G146" s="110">
        <v>360</v>
      </c>
      <c r="H146" s="131"/>
    </row>
    <row r="147" spans="1:8" ht="15.75" x14ac:dyDescent="0.25">
      <c r="A147" s="67" t="s">
        <v>99</v>
      </c>
      <c r="B147" s="11" t="s">
        <v>426</v>
      </c>
      <c r="C147" s="1" t="s">
        <v>55</v>
      </c>
      <c r="D147" s="1" t="s">
        <v>72</v>
      </c>
      <c r="E147" s="20">
        <v>2010</v>
      </c>
      <c r="F147" s="111">
        <v>60</v>
      </c>
      <c r="G147" s="110">
        <v>250</v>
      </c>
      <c r="H147" s="131"/>
    </row>
    <row r="148" spans="1:8" ht="15.75" x14ac:dyDescent="0.25">
      <c r="A148" s="71" t="s">
        <v>81</v>
      </c>
      <c r="B148" s="11" t="s">
        <v>427</v>
      </c>
      <c r="C148" s="12" t="s">
        <v>23</v>
      </c>
      <c r="D148" s="1" t="s">
        <v>72</v>
      </c>
      <c r="E148" s="20">
        <v>2010</v>
      </c>
      <c r="F148" s="111">
        <v>28.72</v>
      </c>
      <c r="G148" s="110">
        <v>88.1</v>
      </c>
      <c r="H148" s="131"/>
    </row>
    <row r="149" spans="1:8" ht="15.75" x14ac:dyDescent="0.25">
      <c r="A149" s="69" t="s">
        <v>113</v>
      </c>
      <c r="B149" s="11" t="s">
        <v>428</v>
      </c>
      <c r="C149" s="8" t="s">
        <v>64</v>
      </c>
      <c r="D149" s="1" t="s">
        <v>75</v>
      </c>
      <c r="E149" s="21">
        <v>41118</v>
      </c>
      <c r="F149" s="111">
        <v>8.41</v>
      </c>
      <c r="G149" s="110">
        <v>29.260999999999999</v>
      </c>
      <c r="H149" s="131"/>
    </row>
    <row r="150" spans="1:8" ht="15.75" x14ac:dyDescent="0.25">
      <c r="A150" s="69" t="s">
        <v>113</v>
      </c>
      <c r="B150" s="11" t="s">
        <v>429</v>
      </c>
      <c r="C150" s="8" t="s">
        <v>64</v>
      </c>
      <c r="D150" s="1" t="s">
        <v>75</v>
      </c>
      <c r="E150" s="21">
        <v>41199</v>
      </c>
      <c r="F150" s="111">
        <v>6</v>
      </c>
      <c r="G150" s="110">
        <v>24</v>
      </c>
      <c r="H150" s="131"/>
    </row>
    <row r="151" spans="1:8" ht="15.75" x14ac:dyDescent="0.25">
      <c r="A151" s="69" t="s">
        <v>115</v>
      </c>
      <c r="B151" s="11" t="s">
        <v>251</v>
      </c>
      <c r="C151" s="8" t="s">
        <v>10</v>
      </c>
      <c r="D151" s="1" t="s">
        <v>75</v>
      </c>
      <c r="E151" s="20">
        <v>2009</v>
      </c>
      <c r="F151" s="111">
        <v>16.206</v>
      </c>
      <c r="G151" s="112">
        <v>59.927999999999997</v>
      </c>
      <c r="H151" s="128"/>
    </row>
    <row r="152" spans="1:8" ht="15.75" x14ac:dyDescent="0.25">
      <c r="A152" s="67" t="s">
        <v>118</v>
      </c>
      <c r="B152" s="11" t="s">
        <v>430</v>
      </c>
      <c r="C152" s="1" t="s">
        <v>27</v>
      </c>
      <c r="D152" s="1" t="s">
        <v>75</v>
      </c>
      <c r="E152" s="21">
        <v>40593</v>
      </c>
      <c r="F152" s="111">
        <v>6.98</v>
      </c>
      <c r="G152" s="110">
        <v>22</v>
      </c>
      <c r="H152" s="131"/>
    </row>
    <row r="153" spans="1:8" ht="15.75" x14ac:dyDescent="0.25">
      <c r="A153" s="70" t="s">
        <v>95</v>
      </c>
      <c r="B153" s="11" t="s">
        <v>252</v>
      </c>
      <c r="C153" s="11" t="s">
        <v>4</v>
      </c>
      <c r="D153" s="1" t="s">
        <v>75</v>
      </c>
      <c r="E153" s="20">
        <v>2011</v>
      </c>
      <c r="F153" s="111">
        <v>20</v>
      </c>
      <c r="G153" s="110">
        <v>95</v>
      </c>
      <c r="H153" s="131"/>
    </row>
    <row r="154" spans="1:8" ht="15.75" x14ac:dyDescent="0.25">
      <c r="A154" s="71" t="s">
        <v>82</v>
      </c>
      <c r="B154" s="11" t="s">
        <v>253</v>
      </c>
      <c r="C154" s="12" t="s">
        <v>50</v>
      </c>
      <c r="D154" s="1" t="s">
        <v>75</v>
      </c>
      <c r="E154" s="20">
        <v>2008</v>
      </c>
      <c r="F154" s="111">
        <v>8.74</v>
      </c>
      <c r="G154" s="112">
        <v>35</v>
      </c>
      <c r="H154" s="128"/>
    </row>
    <row r="155" spans="1:8" ht="15.75" x14ac:dyDescent="0.25">
      <c r="A155" s="67" t="s">
        <v>118</v>
      </c>
      <c r="B155" s="11" t="s">
        <v>431</v>
      </c>
      <c r="C155" s="1" t="s">
        <v>27</v>
      </c>
      <c r="D155" s="1" t="s">
        <v>75</v>
      </c>
      <c r="E155" s="20">
        <v>2008</v>
      </c>
      <c r="F155" s="111">
        <v>12.63</v>
      </c>
      <c r="G155" s="112">
        <v>17.260000000000002</v>
      </c>
      <c r="H155" s="128"/>
    </row>
    <row r="156" spans="1:8" ht="15.75" x14ac:dyDescent="0.25">
      <c r="A156" s="69" t="s">
        <v>113</v>
      </c>
      <c r="B156" s="22" t="s">
        <v>432</v>
      </c>
      <c r="C156" s="8" t="s">
        <v>64</v>
      </c>
      <c r="D156" s="1" t="s">
        <v>75</v>
      </c>
      <c r="E156" s="25">
        <v>41613</v>
      </c>
      <c r="F156" s="111">
        <v>44.1</v>
      </c>
      <c r="G156" s="112">
        <v>160</v>
      </c>
      <c r="H156" s="128"/>
    </row>
    <row r="157" spans="1:8" ht="15.75" x14ac:dyDescent="0.25">
      <c r="A157" s="71" t="s">
        <v>103</v>
      </c>
      <c r="B157" s="11" t="s">
        <v>433</v>
      </c>
      <c r="C157" s="12" t="s">
        <v>42</v>
      </c>
      <c r="D157" s="1" t="s">
        <v>72</v>
      </c>
      <c r="E157" s="21">
        <v>40634</v>
      </c>
      <c r="F157" s="23">
        <v>27.617999999999999</v>
      </c>
      <c r="G157" s="59">
        <v>94.47</v>
      </c>
      <c r="H157" s="130"/>
    </row>
    <row r="158" spans="1:8" ht="15.75" x14ac:dyDescent="0.25">
      <c r="A158" s="69" t="s">
        <v>113</v>
      </c>
      <c r="B158" s="11" t="s">
        <v>254</v>
      </c>
      <c r="C158" s="8" t="s">
        <v>64</v>
      </c>
      <c r="D158" s="1" t="s">
        <v>75</v>
      </c>
      <c r="E158" s="21">
        <v>40766</v>
      </c>
      <c r="F158" s="111">
        <v>8.4719999999999995</v>
      </c>
      <c r="G158" s="110">
        <v>35.1</v>
      </c>
      <c r="H158" s="131"/>
    </row>
    <row r="159" spans="1:8" ht="15.75" x14ac:dyDescent="0.25">
      <c r="A159" s="69" t="s">
        <v>113</v>
      </c>
      <c r="B159" s="11" t="s">
        <v>255</v>
      </c>
      <c r="C159" s="8" t="s">
        <v>64</v>
      </c>
      <c r="D159" s="1" t="s">
        <v>75</v>
      </c>
      <c r="E159" s="25">
        <v>40815</v>
      </c>
      <c r="F159" s="23">
        <v>9.16</v>
      </c>
      <c r="G159" s="59">
        <v>33</v>
      </c>
      <c r="H159" s="130"/>
    </row>
    <row r="160" spans="1:8" ht="15.75" x14ac:dyDescent="0.25">
      <c r="A160" s="67" t="s">
        <v>109</v>
      </c>
      <c r="B160" s="11" t="s">
        <v>434</v>
      </c>
      <c r="C160" s="1" t="s">
        <v>58</v>
      </c>
      <c r="D160" s="1" t="s">
        <v>75</v>
      </c>
      <c r="E160" s="25">
        <v>41151</v>
      </c>
      <c r="F160" s="27">
        <v>11.31</v>
      </c>
      <c r="G160" s="108">
        <v>62.768000000000001</v>
      </c>
      <c r="H160" s="127"/>
    </row>
    <row r="161" spans="1:8" ht="15.75" x14ac:dyDescent="0.25">
      <c r="A161" s="68" t="s">
        <v>98</v>
      </c>
      <c r="B161" s="11" t="s">
        <v>256</v>
      </c>
      <c r="C161" s="5" t="s">
        <v>37</v>
      </c>
      <c r="D161" s="1" t="s">
        <v>75</v>
      </c>
      <c r="E161" s="20">
        <v>2011</v>
      </c>
      <c r="F161" s="111">
        <v>9.5399999999999991</v>
      </c>
      <c r="G161" s="110">
        <v>32</v>
      </c>
      <c r="H161" s="131"/>
    </row>
    <row r="162" spans="1:8" ht="15.75" x14ac:dyDescent="0.25">
      <c r="A162" s="71" t="s">
        <v>79</v>
      </c>
      <c r="B162" s="11" t="s">
        <v>435</v>
      </c>
      <c r="C162" s="12" t="s">
        <v>12</v>
      </c>
      <c r="D162" s="1" t="s">
        <v>72</v>
      </c>
      <c r="E162" s="20">
        <v>2006</v>
      </c>
      <c r="F162" s="111">
        <v>3.6</v>
      </c>
      <c r="G162" s="112">
        <v>20.66</v>
      </c>
      <c r="H162" s="128"/>
    </row>
    <row r="163" spans="1:8" ht="15.75" x14ac:dyDescent="0.25">
      <c r="A163" s="70" t="s">
        <v>89</v>
      </c>
      <c r="B163" s="11" t="s">
        <v>257</v>
      </c>
      <c r="C163" s="11" t="s">
        <v>19</v>
      </c>
      <c r="D163" s="1" t="s">
        <v>75</v>
      </c>
      <c r="E163" s="21">
        <v>41198</v>
      </c>
      <c r="F163" s="111">
        <v>2.15</v>
      </c>
      <c r="G163" s="112">
        <v>6.2590000000000003</v>
      </c>
      <c r="H163" s="128"/>
    </row>
    <row r="164" spans="1:8" ht="15.75" x14ac:dyDescent="0.25">
      <c r="A164" s="72" t="s">
        <v>93</v>
      </c>
      <c r="B164" s="22" t="s">
        <v>436</v>
      </c>
      <c r="C164" s="14" t="s">
        <v>8</v>
      </c>
      <c r="D164" s="1" t="s">
        <v>75</v>
      </c>
      <c r="E164" s="20">
        <v>2012</v>
      </c>
      <c r="F164" s="111">
        <v>20.12</v>
      </c>
      <c r="G164" s="112">
        <v>32.29</v>
      </c>
      <c r="H164" s="128"/>
    </row>
    <row r="165" spans="1:8" ht="15.75" x14ac:dyDescent="0.25">
      <c r="A165" s="71" t="s">
        <v>104</v>
      </c>
      <c r="B165" s="22" t="s">
        <v>437</v>
      </c>
      <c r="C165" s="12" t="s">
        <v>61</v>
      </c>
      <c r="D165" s="1" t="s">
        <v>72</v>
      </c>
      <c r="E165" s="21">
        <v>41485</v>
      </c>
      <c r="F165" s="111">
        <v>25</v>
      </c>
      <c r="G165" s="112">
        <v>80</v>
      </c>
      <c r="H165" s="128"/>
    </row>
    <row r="166" spans="1:8" ht="15.75" x14ac:dyDescent="0.25">
      <c r="A166" s="75" t="s">
        <v>90</v>
      </c>
      <c r="B166" s="11" t="s">
        <v>258</v>
      </c>
      <c r="C166" s="22" t="s">
        <v>7</v>
      </c>
      <c r="D166" s="1" t="s">
        <v>75</v>
      </c>
      <c r="E166" s="21">
        <v>40555</v>
      </c>
      <c r="F166" s="23">
        <v>8.1999999999999993</v>
      </c>
      <c r="G166" s="59">
        <v>60</v>
      </c>
      <c r="H166" s="130"/>
    </row>
    <row r="167" spans="1:8" ht="15.75" x14ac:dyDescent="0.25">
      <c r="A167" s="71" t="s">
        <v>136</v>
      </c>
      <c r="B167" s="22" t="s">
        <v>259</v>
      </c>
      <c r="C167" s="12" t="s">
        <v>25</v>
      </c>
      <c r="D167" s="1" t="s">
        <v>75</v>
      </c>
      <c r="E167" s="21">
        <v>40991</v>
      </c>
      <c r="F167" s="109">
        <v>9.26</v>
      </c>
      <c r="G167" s="110">
        <v>35</v>
      </c>
      <c r="H167" s="131"/>
    </row>
    <row r="168" spans="1:8" ht="15.75" x14ac:dyDescent="0.25">
      <c r="A168" s="75" t="s">
        <v>139</v>
      </c>
      <c r="B168" s="22" t="s">
        <v>438</v>
      </c>
      <c r="C168" s="22" t="s">
        <v>31</v>
      </c>
      <c r="D168" s="1" t="s">
        <v>75</v>
      </c>
      <c r="E168" s="20">
        <v>2012</v>
      </c>
      <c r="F168" s="109">
        <v>48.5</v>
      </c>
      <c r="G168" s="62">
        <v>140</v>
      </c>
      <c r="H168" s="132"/>
    </row>
    <row r="169" spans="1:8" ht="15.75" x14ac:dyDescent="0.25">
      <c r="A169" s="69" t="s">
        <v>115</v>
      </c>
      <c r="B169" s="22" t="s">
        <v>260</v>
      </c>
      <c r="C169" s="8" t="s">
        <v>10</v>
      </c>
      <c r="D169" s="1" t="s">
        <v>75</v>
      </c>
      <c r="E169" s="20">
        <v>2013</v>
      </c>
      <c r="F169" s="109">
        <v>7.77</v>
      </c>
      <c r="G169" s="62">
        <v>31.17</v>
      </c>
      <c r="H169" s="132"/>
    </row>
    <row r="170" spans="1:8" ht="15.75" x14ac:dyDescent="0.25">
      <c r="A170" s="75" t="s">
        <v>139</v>
      </c>
      <c r="B170" s="22" t="s">
        <v>439</v>
      </c>
      <c r="C170" s="22" t="s">
        <v>31</v>
      </c>
      <c r="D170" s="1" t="s">
        <v>75</v>
      </c>
      <c r="E170" s="21">
        <v>41499</v>
      </c>
      <c r="F170" s="109">
        <v>17.7</v>
      </c>
      <c r="G170" s="62">
        <v>50</v>
      </c>
      <c r="H170" s="132"/>
    </row>
    <row r="171" spans="1:8" ht="15.75" x14ac:dyDescent="0.25">
      <c r="A171" s="71" t="s">
        <v>104</v>
      </c>
      <c r="B171" s="22" t="s">
        <v>261</v>
      </c>
      <c r="C171" s="12" t="s">
        <v>61</v>
      </c>
      <c r="D171" s="1" t="s">
        <v>75</v>
      </c>
      <c r="E171" s="21">
        <v>41313</v>
      </c>
      <c r="F171" s="111">
        <v>19.03</v>
      </c>
      <c r="G171" s="58">
        <v>70</v>
      </c>
      <c r="H171" s="129"/>
    </row>
    <row r="172" spans="1:8" ht="15.75" x14ac:dyDescent="0.25">
      <c r="A172" s="70" t="s">
        <v>95</v>
      </c>
      <c r="B172" s="22" t="s">
        <v>262</v>
      </c>
      <c r="C172" s="11" t="s">
        <v>4</v>
      </c>
      <c r="D172" s="1" t="s">
        <v>75</v>
      </c>
      <c r="E172" s="21">
        <v>41592</v>
      </c>
      <c r="F172" s="111">
        <v>2.6</v>
      </c>
      <c r="G172" s="58">
        <v>12</v>
      </c>
      <c r="H172" s="129"/>
    </row>
    <row r="173" spans="1:8" ht="15.75" x14ac:dyDescent="0.25">
      <c r="A173" s="71" t="s">
        <v>94</v>
      </c>
      <c r="B173" s="11" t="s">
        <v>263</v>
      </c>
      <c r="C173" s="12" t="s">
        <v>36</v>
      </c>
      <c r="D173" s="1" t="s">
        <v>75</v>
      </c>
      <c r="E173" s="21">
        <v>40850</v>
      </c>
      <c r="F173" s="23">
        <v>3.6</v>
      </c>
      <c r="G173" s="59">
        <v>16.510000000000002</v>
      </c>
      <c r="H173" s="130"/>
    </row>
    <row r="174" spans="1:8" ht="15.75" x14ac:dyDescent="0.25">
      <c r="A174" s="70" t="s">
        <v>92</v>
      </c>
      <c r="B174" s="11" t="s">
        <v>264</v>
      </c>
      <c r="C174" s="11" t="s">
        <v>39</v>
      </c>
      <c r="D174" s="1" t="s">
        <v>75</v>
      </c>
      <c r="E174" s="20">
        <v>2011</v>
      </c>
      <c r="F174" s="111">
        <v>16.425000000000001</v>
      </c>
      <c r="G174" s="110">
        <v>92.2</v>
      </c>
      <c r="H174" s="131"/>
    </row>
    <row r="175" spans="1:8" ht="15.75" x14ac:dyDescent="0.25">
      <c r="A175" s="70" t="s">
        <v>92</v>
      </c>
      <c r="B175" s="22" t="s">
        <v>265</v>
      </c>
      <c r="C175" s="11" t="s">
        <v>39</v>
      </c>
      <c r="D175" s="1" t="s">
        <v>75</v>
      </c>
      <c r="E175" s="21">
        <v>41297</v>
      </c>
      <c r="F175" s="23">
        <v>63.878</v>
      </c>
      <c r="G175" s="59">
        <v>185</v>
      </c>
      <c r="H175" s="130"/>
    </row>
    <row r="176" spans="1:8" ht="31.5" x14ac:dyDescent="0.25">
      <c r="A176" s="67" t="s">
        <v>88</v>
      </c>
      <c r="B176" s="11" t="s">
        <v>266</v>
      </c>
      <c r="C176" s="1" t="s">
        <v>16</v>
      </c>
      <c r="D176" s="22" t="s">
        <v>0</v>
      </c>
      <c r="E176" s="25">
        <v>40689</v>
      </c>
      <c r="F176" s="23">
        <v>8.92</v>
      </c>
      <c r="G176" s="59">
        <v>63</v>
      </c>
      <c r="H176" s="130"/>
    </row>
    <row r="177" spans="1:8" ht="15.75" x14ac:dyDescent="0.25">
      <c r="A177" s="75" t="s">
        <v>114</v>
      </c>
      <c r="B177" s="19" t="s">
        <v>520</v>
      </c>
      <c r="C177" s="22" t="s">
        <v>54</v>
      </c>
      <c r="D177" s="1" t="s">
        <v>75</v>
      </c>
      <c r="E177" s="28">
        <v>2009</v>
      </c>
      <c r="F177" s="27">
        <v>110.32</v>
      </c>
      <c r="G177" s="108">
        <v>370</v>
      </c>
      <c r="H177" s="127"/>
    </row>
    <row r="178" spans="1:8" ht="15.75" x14ac:dyDescent="0.25">
      <c r="A178" s="71" t="s">
        <v>81</v>
      </c>
      <c r="B178" s="19" t="s">
        <v>267</v>
      </c>
      <c r="C178" s="12" t="s">
        <v>23</v>
      </c>
      <c r="D178" s="1" t="s">
        <v>75</v>
      </c>
      <c r="E178" s="28">
        <v>2013</v>
      </c>
      <c r="F178" s="27">
        <v>3.0649999999999999</v>
      </c>
      <c r="G178" s="108">
        <v>5.64</v>
      </c>
      <c r="H178" s="127"/>
    </row>
    <row r="179" spans="1:8" ht="15.75" x14ac:dyDescent="0.25">
      <c r="A179" s="71" t="s">
        <v>136</v>
      </c>
      <c r="B179" s="11" t="s">
        <v>268</v>
      </c>
      <c r="C179" s="12" t="s">
        <v>25</v>
      </c>
      <c r="D179" s="1" t="s">
        <v>75</v>
      </c>
      <c r="E179" s="20">
        <f>E177</f>
        <v>2009</v>
      </c>
      <c r="F179" s="111">
        <v>7.23</v>
      </c>
      <c r="G179" s="110">
        <v>22</v>
      </c>
      <c r="H179" s="131"/>
    </row>
    <row r="180" spans="1:8" ht="15.75" x14ac:dyDescent="0.25">
      <c r="A180" s="70" t="s">
        <v>116</v>
      </c>
      <c r="B180" s="11" t="s">
        <v>269</v>
      </c>
      <c r="C180" s="11" t="s">
        <v>32</v>
      </c>
      <c r="D180" s="1" t="s">
        <v>75</v>
      </c>
      <c r="E180" s="21">
        <v>41435</v>
      </c>
      <c r="F180" s="111">
        <v>13</v>
      </c>
      <c r="G180" s="110">
        <v>45</v>
      </c>
      <c r="H180" s="131"/>
    </row>
    <row r="181" spans="1:8" ht="15.75" x14ac:dyDescent="0.25">
      <c r="A181" s="68" t="s">
        <v>98</v>
      </c>
      <c r="B181" s="11" t="s">
        <v>270</v>
      </c>
      <c r="C181" s="5" t="s">
        <v>37</v>
      </c>
      <c r="D181" s="1" t="s">
        <v>75</v>
      </c>
      <c r="E181" s="20">
        <v>2008</v>
      </c>
      <c r="F181" s="111">
        <v>38.72</v>
      </c>
      <c r="G181" s="112">
        <v>114.26</v>
      </c>
      <c r="H181" s="128"/>
    </row>
    <row r="182" spans="1:8" ht="15.75" x14ac:dyDescent="0.25">
      <c r="A182" s="71" t="s">
        <v>81</v>
      </c>
      <c r="B182" s="22" t="s">
        <v>271</v>
      </c>
      <c r="C182" s="12" t="s">
        <v>23</v>
      </c>
      <c r="D182" s="1" t="s">
        <v>75</v>
      </c>
      <c r="E182" s="25">
        <v>41124</v>
      </c>
      <c r="F182" s="29">
        <v>9.4</v>
      </c>
      <c r="G182" s="110">
        <v>30.5</v>
      </c>
      <c r="H182" s="131"/>
    </row>
    <row r="183" spans="1:8" ht="15.75" x14ac:dyDescent="0.25">
      <c r="A183" s="67" t="s">
        <v>86</v>
      </c>
      <c r="B183" s="22" t="s">
        <v>440</v>
      </c>
      <c r="C183" s="1" t="s">
        <v>20</v>
      </c>
      <c r="D183" s="1" t="s">
        <v>72</v>
      </c>
      <c r="E183" s="25">
        <v>41506</v>
      </c>
      <c r="F183" s="29">
        <v>23</v>
      </c>
      <c r="G183" s="110">
        <v>46</v>
      </c>
      <c r="H183" s="131"/>
    </row>
    <row r="184" spans="1:8" ht="15.75" x14ac:dyDescent="0.25">
      <c r="A184" s="72" t="s">
        <v>93</v>
      </c>
      <c r="B184" s="11" t="s">
        <v>441</v>
      </c>
      <c r="C184" s="14" t="s">
        <v>8</v>
      </c>
      <c r="D184" s="1" t="s">
        <v>72</v>
      </c>
      <c r="E184" s="20">
        <v>2010</v>
      </c>
      <c r="F184" s="111">
        <v>38.25</v>
      </c>
      <c r="G184" s="110">
        <v>123</v>
      </c>
      <c r="H184" s="131"/>
    </row>
    <row r="185" spans="1:8" ht="15.75" x14ac:dyDescent="0.25">
      <c r="A185" s="67" t="s">
        <v>124</v>
      </c>
      <c r="B185" s="11" t="s">
        <v>521</v>
      </c>
      <c r="C185" s="1" t="s">
        <v>65</v>
      </c>
      <c r="D185" s="1" t="s">
        <v>75</v>
      </c>
      <c r="E185" s="20">
        <f>E184</f>
        <v>2010</v>
      </c>
      <c r="F185" s="111">
        <v>4.4400000000000004</v>
      </c>
      <c r="G185" s="110">
        <v>16</v>
      </c>
      <c r="H185" s="131"/>
    </row>
    <row r="186" spans="1:8" ht="15.75" x14ac:dyDescent="0.25">
      <c r="A186" s="71" t="s">
        <v>96</v>
      </c>
      <c r="B186" s="11" t="s">
        <v>522</v>
      </c>
      <c r="C186" s="12" t="s">
        <v>49</v>
      </c>
      <c r="D186" s="1" t="s">
        <v>75</v>
      </c>
      <c r="E186" s="21">
        <v>41306</v>
      </c>
      <c r="F186" s="111">
        <v>1.97</v>
      </c>
      <c r="G186" s="110">
        <v>11</v>
      </c>
      <c r="H186" s="131"/>
    </row>
    <row r="187" spans="1:8" ht="15.75" x14ac:dyDescent="0.25">
      <c r="A187" s="69" t="s">
        <v>115</v>
      </c>
      <c r="B187" s="11" t="s">
        <v>272</v>
      </c>
      <c r="C187" s="8" t="s">
        <v>10</v>
      </c>
      <c r="D187" s="1" t="s">
        <v>75</v>
      </c>
      <c r="E187" s="20">
        <v>2013</v>
      </c>
      <c r="F187" s="111">
        <v>19.04</v>
      </c>
      <c r="G187" s="110">
        <v>35.79</v>
      </c>
      <c r="H187" s="131"/>
    </row>
    <row r="188" spans="1:8" ht="15.75" x14ac:dyDescent="0.25">
      <c r="A188" s="71" t="s">
        <v>81</v>
      </c>
      <c r="B188" s="11" t="s">
        <v>273</v>
      </c>
      <c r="C188" s="12" t="s">
        <v>23</v>
      </c>
      <c r="D188" s="1" t="s">
        <v>75</v>
      </c>
      <c r="E188" s="20">
        <f>E185</f>
        <v>2010</v>
      </c>
      <c r="F188" s="111">
        <v>3.66</v>
      </c>
      <c r="G188" s="110">
        <v>14.904</v>
      </c>
      <c r="H188" s="131"/>
    </row>
    <row r="189" spans="1:8" ht="15.75" x14ac:dyDescent="0.25">
      <c r="A189" s="67" t="s">
        <v>129</v>
      </c>
      <c r="B189" s="22" t="s">
        <v>274</v>
      </c>
      <c r="C189" s="1" t="s">
        <v>5</v>
      </c>
      <c r="D189" s="1" t="s">
        <v>75</v>
      </c>
      <c r="E189" s="25">
        <v>41019</v>
      </c>
      <c r="F189" s="111">
        <v>20.55</v>
      </c>
      <c r="G189" s="112">
        <v>97.96</v>
      </c>
      <c r="H189" s="128"/>
    </row>
    <row r="190" spans="1:8" ht="15.75" x14ac:dyDescent="0.25">
      <c r="A190" s="75" t="s">
        <v>139</v>
      </c>
      <c r="B190" s="22" t="s">
        <v>275</v>
      </c>
      <c r="C190" s="22" t="s">
        <v>31</v>
      </c>
      <c r="D190" s="1" t="s">
        <v>75</v>
      </c>
      <c r="E190" s="26">
        <v>2013</v>
      </c>
      <c r="F190" s="111">
        <v>28.277999999999999</v>
      </c>
      <c r="G190" s="112">
        <v>85</v>
      </c>
      <c r="H190" s="128"/>
    </row>
    <row r="191" spans="1:8" ht="15.75" x14ac:dyDescent="0.25">
      <c r="A191" s="69" t="s">
        <v>117</v>
      </c>
      <c r="B191" s="22" t="s">
        <v>442</v>
      </c>
      <c r="C191" s="8" t="s">
        <v>28</v>
      </c>
      <c r="D191" s="1" t="s">
        <v>75</v>
      </c>
      <c r="E191" s="25">
        <v>41167</v>
      </c>
      <c r="F191" s="30">
        <v>4.1900000000000004</v>
      </c>
      <c r="G191" s="63">
        <v>11</v>
      </c>
      <c r="H191" s="133"/>
    </row>
    <row r="192" spans="1:8" ht="15.75" x14ac:dyDescent="0.25">
      <c r="A192" s="67" t="s">
        <v>112</v>
      </c>
      <c r="B192" s="22" t="s">
        <v>523</v>
      </c>
      <c r="C192" s="1" t="s">
        <v>6</v>
      </c>
      <c r="D192" s="1" t="s">
        <v>75</v>
      </c>
      <c r="E192" s="25">
        <v>41347</v>
      </c>
      <c r="F192" s="30">
        <v>5.39</v>
      </c>
      <c r="G192" s="63">
        <v>20.07</v>
      </c>
      <c r="H192" s="133"/>
    </row>
    <row r="193" spans="1:8" ht="15.75" x14ac:dyDescent="0.25">
      <c r="A193" s="67" t="s">
        <v>112</v>
      </c>
      <c r="B193" s="11" t="s">
        <v>524</v>
      </c>
      <c r="C193" s="1" t="s">
        <v>6</v>
      </c>
      <c r="D193" s="1" t="s">
        <v>75</v>
      </c>
      <c r="E193" s="21">
        <v>40599</v>
      </c>
      <c r="F193" s="111">
        <v>4.6900000000000004</v>
      </c>
      <c r="G193" s="110">
        <v>16</v>
      </c>
      <c r="H193" s="131"/>
    </row>
    <row r="194" spans="1:8" ht="15.75" x14ac:dyDescent="0.25">
      <c r="A194" s="71" t="s">
        <v>81</v>
      </c>
      <c r="B194" s="11" t="s">
        <v>276</v>
      </c>
      <c r="C194" s="12" t="s">
        <v>23</v>
      </c>
      <c r="D194" s="1" t="s">
        <v>75</v>
      </c>
      <c r="E194" s="20">
        <v>2009</v>
      </c>
      <c r="F194" s="29">
        <v>0.92</v>
      </c>
      <c r="G194" s="110">
        <v>4.38</v>
      </c>
      <c r="H194" s="131"/>
    </row>
    <row r="195" spans="1:8" ht="15.75" x14ac:dyDescent="0.25">
      <c r="A195" s="67" t="s">
        <v>86</v>
      </c>
      <c r="B195" s="11" t="s">
        <v>525</v>
      </c>
      <c r="C195" s="1" t="s">
        <v>20</v>
      </c>
      <c r="D195" s="1" t="s">
        <v>75</v>
      </c>
      <c r="E195" s="20">
        <f>E194</f>
        <v>2009</v>
      </c>
      <c r="F195" s="29">
        <v>19.920000000000002</v>
      </c>
      <c r="G195" s="110">
        <v>72</v>
      </c>
      <c r="H195" s="131"/>
    </row>
    <row r="196" spans="1:8" ht="15.75" x14ac:dyDescent="0.25">
      <c r="A196" s="71" t="s">
        <v>85</v>
      </c>
      <c r="B196" s="11" t="s">
        <v>277</v>
      </c>
      <c r="C196" s="12" t="s">
        <v>46</v>
      </c>
      <c r="D196" s="1" t="s">
        <v>75</v>
      </c>
      <c r="E196" s="21">
        <v>40927</v>
      </c>
      <c r="F196" s="23">
        <v>1.92</v>
      </c>
      <c r="G196" s="59">
        <v>10</v>
      </c>
      <c r="H196" s="130"/>
    </row>
    <row r="197" spans="1:8" ht="15.75" x14ac:dyDescent="0.25">
      <c r="A197" s="70" t="s">
        <v>95</v>
      </c>
      <c r="B197" s="11" t="s">
        <v>278</v>
      </c>
      <c r="C197" s="11" t="s">
        <v>4</v>
      </c>
      <c r="D197" s="1" t="s">
        <v>75</v>
      </c>
      <c r="E197" s="21">
        <v>41421</v>
      </c>
      <c r="F197" s="23">
        <v>42.65</v>
      </c>
      <c r="G197" s="59">
        <v>130</v>
      </c>
      <c r="H197" s="130"/>
    </row>
    <row r="198" spans="1:8" ht="15.75" x14ac:dyDescent="0.25">
      <c r="A198" s="70" t="s">
        <v>95</v>
      </c>
      <c r="B198" s="11" t="s">
        <v>526</v>
      </c>
      <c r="C198" s="11" t="s">
        <v>4</v>
      </c>
      <c r="D198" s="1" t="s">
        <v>75</v>
      </c>
      <c r="E198" s="21">
        <v>41375</v>
      </c>
      <c r="F198" s="23">
        <v>26</v>
      </c>
      <c r="G198" s="59">
        <v>85</v>
      </c>
      <c r="H198" s="130"/>
    </row>
    <row r="199" spans="1:8" ht="15.75" x14ac:dyDescent="0.25">
      <c r="A199" s="67" t="s">
        <v>99</v>
      </c>
      <c r="B199" s="11" t="s">
        <v>279</v>
      </c>
      <c r="C199" s="1" t="s">
        <v>55</v>
      </c>
      <c r="D199" s="1" t="s">
        <v>75</v>
      </c>
      <c r="E199" s="21">
        <v>41520</v>
      </c>
      <c r="F199" s="23">
        <v>3.05</v>
      </c>
      <c r="G199" s="59">
        <v>12.5</v>
      </c>
      <c r="H199" s="130"/>
    </row>
    <row r="200" spans="1:8" ht="15.75" x14ac:dyDescent="0.25">
      <c r="A200" s="69" t="s">
        <v>115</v>
      </c>
      <c r="B200" s="11" t="s">
        <v>280</v>
      </c>
      <c r="C200" s="8" t="s">
        <v>10</v>
      </c>
      <c r="D200" s="1" t="s">
        <v>75</v>
      </c>
      <c r="E200" s="20">
        <v>2012</v>
      </c>
      <c r="F200" s="111">
        <v>22.5</v>
      </c>
      <c r="G200" s="110">
        <v>86.97</v>
      </c>
      <c r="H200" s="131"/>
    </row>
    <row r="201" spans="1:8" ht="15.75" x14ac:dyDescent="0.25">
      <c r="A201" s="69" t="s">
        <v>115</v>
      </c>
      <c r="B201" s="11" t="s">
        <v>281</v>
      </c>
      <c r="C201" s="8" t="s">
        <v>10</v>
      </c>
      <c r="D201" s="1" t="s">
        <v>75</v>
      </c>
      <c r="E201" s="20">
        <v>2012</v>
      </c>
      <c r="F201" s="111">
        <v>45</v>
      </c>
      <c r="G201" s="110">
        <v>125</v>
      </c>
      <c r="H201" s="131"/>
    </row>
    <row r="202" spans="1:8" ht="15.75" x14ac:dyDescent="0.25">
      <c r="A202" s="75" t="s">
        <v>108</v>
      </c>
      <c r="B202" s="11" t="s">
        <v>282</v>
      </c>
      <c r="C202" s="22" t="s">
        <v>60</v>
      </c>
      <c r="D202" s="1" t="s">
        <v>75</v>
      </c>
      <c r="E202" s="20">
        <v>2012</v>
      </c>
      <c r="F202" s="111">
        <v>6.45</v>
      </c>
      <c r="G202" s="110">
        <v>20</v>
      </c>
      <c r="H202" s="131"/>
    </row>
    <row r="203" spans="1:8" ht="15.75" x14ac:dyDescent="0.25">
      <c r="A203" s="67" t="s">
        <v>129</v>
      </c>
      <c r="B203" s="11" t="s">
        <v>443</v>
      </c>
      <c r="C203" s="1" t="s">
        <v>5</v>
      </c>
      <c r="D203" s="1" t="s">
        <v>75</v>
      </c>
      <c r="E203" s="20">
        <v>2009</v>
      </c>
      <c r="F203" s="111">
        <v>13.03</v>
      </c>
      <c r="G203" s="112">
        <v>52</v>
      </c>
      <c r="H203" s="128"/>
    </row>
    <row r="204" spans="1:8" ht="15.75" x14ac:dyDescent="0.25">
      <c r="A204" s="69" t="s">
        <v>117</v>
      </c>
      <c r="B204" s="22" t="s">
        <v>283</v>
      </c>
      <c r="C204" s="8" t="s">
        <v>28</v>
      </c>
      <c r="D204" s="1" t="s">
        <v>75</v>
      </c>
      <c r="E204" s="20">
        <v>2012</v>
      </c>
      <c r="F204" s="111">
        <v>9.33</v>
      </c>
      <c r="G204" s="112">
        <v>42</v>
      </c>
      <c r="H204" s="128"/>
    </row>
    <row r="205" spans="1:8" ht="15.75" x14ac:dyDescent="0.25">
      <c r="A205" s="72" t="s">
        <v>93</v>
      </c>
      <c r="B205" s="22" t="s">
        <v>284</v>
      </c>
      <c r="C205" s="14" t="s">
        <v>8</v>
      </c>
      <c r="D205" s="1" t="s">
        <v>75</v>
      </c>
      <c r="E205" s="21">
        <v>41438</v>
      </c>
      <c r="F205" s="111">
        <v>2.63</v>
      </c>
      <c r="G205" s="112">
        <v>9.4499999999999993</v>
      </c>
      <c r="H205" s="128"/>
    </row>
    <row r="206" spans="1:8" ht="15.75" x14ac:dyDescent="0.25">
      <c r="A206" s="71" t="s">
        <v>82</v>
      </c>
      <c r="B206" s="11" t="s">
        <v>285</v>
      </c>
      <c r="C206" s="12" t="s">
        <v>50</v>
      </c>
      <c r="D206" s="1" t="s">
        <v>72</v>
      </c>
      <c r="E206" s="21">
        <v>40657</v>
      </c>
      <c r="F206" s="23">
        <v>60</v>
      </c>
      <c r="G206" s="112">
        <v>206</v>
      </c>
      <c r="H206" s="128"/>
    </row>
    <row r="207" spans="1:8" ht="15.75" x14ac:dyDescent="0.25">
      <c r="A207" s="71" t="s">
        <v>82</v>
      </c>
      <c r="B207" s="11" t="s">
        <v>527</v>
      </c>
      <c r="C207" s="12" t="s">
        <v>50</v>
      </c>
      <c r="D207" s="1" t="s">
        <v>75</v>
      </c>
      <c r="E207" s="28">
        <v>2002</v>
      </c>
      <c r="F207" s="23">
        <v>42</v>
      </c>
      <c r="G207" s="112">
        <v>187.5</v>
      </c>
      <c r="H207" s="128"/>
    </row>
    <row r="208" spans="1:8" ht="15.75" x14ac:dyDescent="0.25">
      <c r="A208" s="70" t="s">
        <v>95</v>
      </c>
      <c r="B208" s="11" t="s">
        <v>286</v>
      </c>
      <c r="C208" s="11" t="s">
        <v>4</v>
      </c>
      <c r="D208" s="1" t="s">
        <v>75</v>
      </c>
      <c r="E208" s="31">
        <v>41087</v>
      </c>
      <c r="F208" s="111">
        <v>29.4</v>
      </c>
      <c r="G208" s="112">
        <v>117</v>
      </c>
      <c r="H208" s="128"/>
    </row>
    <row r="209" spans="1:8" ht="15.75" x14ac:dyDescent="0.25">
      <c r="A209" s="70" t="s">
        <v>95</v>
      </c>
      <c r="B209" s="11" t="s">
        <v>528</v>
      </c>
      <c r="C209" s="11" t="s">
        <v>4</v>
      </c>
      <c r="D209" s="1" t="s">
        <v>72</v>
      </c>
      <c r="E209" s="20">
        <v>2010</v>
      </c>
      <c r="F209" s="111">
        <v>69.349999999999994</v>
      </c>
      <c r="G209" s="110">
        <v>223</v>
      </c>
      <c r="H209" s="131"/>
    </row>
    <row r="210" spans="1:8" ht="15.75" x14ac:dyDescent="0.25">
      <c r="A210" s="70" t="s">
        <v>80</v>
      </c>
      <c r="B210" s="11" t="s">
        <v>287</v>
      </c>
      <c r="C210" s="11" t="s">
        <v>11</v>
      </c>
      <c r="D210" s="1" t="s">
        <v>75</v>
      </c>
      <c r="E210" s="20">
        <v>2004</v>
      </c>
      <c r="F210" s="111">
        <v>8.84</v>
      </c>
      <c r="G210" s="112">
        <v>41</v>
      </c>
      <c r="H210" s="128"/>
    </row>
    <row r="211" spans="1:8" ht="15.75" x14ac:dyDescent="0.25">
      <c r="A211" s="70" t="s">
        <v>116</v>
      </c>
      <c r="B211" s="22" t="s">
        <v>288</v>
      </c>
      <c r="C211" s="11" t="s">
        <v>32</v>
      </c>
      <c r="D211" s="1" t="s">
        <v>75</v>
      </c>
      <c r="E211" s="25">
        <v>41213</v>
      </c>
      <c r="F211" s="23">
        <v>19.75</v>
      </c>
      <c r="G211" s="59">
        <v>36</v>
      </c>
      <c r="H211" s="130"/>
    </row>
    <row r="212" spans="1:8" ht="15.75" x14ac:dyDescent="0.25">
      <c r="A212" s="68" t="s">
        <v>98</v>
      </c>
      <c r="B212" s="11" t="s">
        <v>289</v>
      </c>
      <c r="C212" s="5" t="s">
        <v>37</v>
      </c>
      <c r="D212" s="1" t="s">
        <v>75</v>
      </c>
      <c r="E212" s="20">
        <v>2008</v>
      </c>
      <c r="F212" s="111">
        <v>9.26</v>
      </c>
      <c r="G212" s="112">
        <v>36</v>
      </c>
      <c r="H212" s="128"/>
    </row>
    <row r="213" spans="1:8" ht="15.75" x14ac:dyDescent="0.25">
      <c r="A213" s="75" t="s">
        <v>132</v>
      </c>
      <c r="B213" s="11" t="s">
        <v>444</v>
      </c>
      <c r="C213" s="22" t="s">
        <v>14</v>
      </c>
      <c r="D213" s="1" t="s">
        <v>72</v>
      </c>
      <c r="E213" s="20">
        <v>2012</v>
      </c>
      <c r="F213" s="111">
        <v>47.45</v>
      </c>
      <c r="G213" s="112">
        <v>210</v>
      </c>
      <c r="H213" s="128"/>
    </row>
    <row r="214" spans="1:8" ht="15.75" x14ac:dyDescent="0.25">
      <c r="A214" s="75" t="s">
        <v>139</v>
      </c>
      <c r="B214" s="11" t="s">
        <v>290</v>
      </c>
      <c r="C214" s="22" t="s">
        <v>31</v>
      </c>
      <c r="D214" s="1" t="s">
        <v>75</v>
      </c>
      <c r="E214" s="21">
        <v>41421</v>
      </c>
      <c r="F214" s="111">
        <v>3.0979999999999999</v>
      </c>
      <c r="G214" s="112">
        <v>10.199999999999999</v>
      </c>
      <c r="H214" s="128"/>
    </row>
    <row r="215" spans="1:8" ht="15.75" x14ac:dyDescent="0.25">
      <c r="A215" s="69" t="s">
        <v>117</v>
      </c>
      <c r="B215" s="11" t="s">
        <v>291</v>
      </c>
      <c r="C215" s="8" t="s">
        <v>28</v>
      </c>
      <c r="D215" s="1" t="s">
        <v>75</v>
      </c>
      <c r="E215" s="25">
        <v>41425</v>
      </c>
      <c r="F215" s="111">
        <v>6.8659999999999997</v>
      </c>
      <c r="G215" s="112">
        <v>25.8</v>
      </c>
      <c r="H215" s="128"/>
    </row>
    <row r="216" spans="1:8" ht="15.75" x14ac:dyDescent="0.25">
      <c r="A216" s="67" t="s">
        <v>129</v>
      </c>
      <c r="B216" s="11" t="s">
        <v>445</v>
      </c>
      <c r="C216" s="1" t="s">
        <v>5</v>
      </c>
      <c r="D216" s="1" t="s">
        <v>75</v>
      </c>
      <c r="E216" s="20">
        <v>2012</v>
      </c>
      <c r="F216" s="111">
        <v>7.98</v>
      </c>
      <c r="G216" s="112">
        <v>40.26</v>
      </c>
      <c r="H216" s="128"/>
    </row>
    <row r="217" spans="1:8" ht="15.75" x14ac:dyDescent="0.25">
      <c r="A217" s="71" t="s">
        <v>96</v>
      </c>
      <c r="B217" s="11" t="s">
        <v>292</v>
      </c>
      <c r="C217" s="12" t="s">
        <v>49</v>
      </c>
      <c r="D217" s="1" t="s">
        <v>75</v>
      </c>
      <c r="E217" s="20">
        <f>E212</f>
        <v>2008</v>
      </c>
      <c r="F217" s="111">
        <v>10.01</v>
      </c>
      <c r="G217" s="110">
        <v>43</v>
      </c>
      <c r="H217" s="131"/>
    </row>
    <row r="218" spans="1:8" ht="15.75" x14ac:dyDescent="0.25">
      <c r="A218" s="68" t="s">
        <v>98</v>
      </c>
      <c r="B218" s="11" t="s">
        <v>293</v>
      </c>
      <c r="C218" s="5" t="s">
        <v>37</v>
      </c>
      <c r="D218" s="1" t="s">
        <v>75</v>
      </c>
      <c r="E218" s="21">
        <v>40998</v>
      </c>
      <c r="F218" s="111">
        <v>24.265999999999998</v>
      </c>
      <c r="G218" s="112">
        <v>60.26</v>
      </c>
      <c r="H218" s="128"/>
    </row>
    <row r="219" spans="1:8" ht="15.75" x14ac:dyDescent="0.25">
      <c r="A219" s="75" t="s">
        <v>111</v>
      </c>
      <c r="B219" s="11" t="s">
        <v>294</v>
      </c>
      <c r="C219" s="22" t="s">
        <v>22</v>
      </c>
      <c r="D219" s="1" t="s">
        <v>75</v>
      </c>
      <c r="E219" s="25">
        <v>40709</v>
      </c>
      <c r="F219" s="23">
        <v>2.8690000000000002</v>
      </c>
      <c r="G219" s="59">
        <v>13.2</v>
      </c>
      <c r="H219" s="130"/>
    </row>
    <row r="220" spans="1:8" ht="15.75" x14ac:dyDescent="0.25">
      <c r="A220" s="71" t="s">
        <v>82</v>
      </c>
      <c r="B220" s="11" t="s">
        <v>295</v>
      </c>
      <c r="C220" s="12" t="s">
        <v>50</v>
      </c>
      <c r="D220" s="1" t="s">
        <v>75</v>
      </c>
      <c r="E220" s="20">
        <v>2006</v>
      </c>
      <c r="F220" s="111">
        <v>10.8</v>
      </c>
      <c r="G220" s="112">
        <v>60</v>
      </c>
      <c r="H220" s="128"/>
    </row>
    <row r="221" spans="1:8" ht="15.75" x14ac:dyDescent="0.25">
      <c r="A221" s="67" t="s">
        <v>86</v>
      </c>
      <c r="B221" s="11" t="s">
        <v>296</v>
      </c>
      <c r="C221" s="1" t="s">
        <v>20</v>
      </c>
      <c r="D221" s="1" t="s">
        <v>75</v>
      </c>
      <c r="E221" s="20">
        <v>2008</v>
      </c>
      <c r="F221" s="111">
        <v>2.2999999999999998</v>
      </c>
      <c r="G221" s="112">
        <v>4.28</v>
      </c>
      <c r="H221" s="128"/>
    </row>
    <row r="222" spans="1:8" ht="15.75" x14ac:dyDescent="0.25">
      <c r="A222" s="67" t="s">
        <v>86</v>
      </c>
      <c r="B222" s="11" t="s">
        <v>529</v>
      </c>
      <c r="C222" s="1" t="s">
        <v>20</v>
      </c>
      <c r="D222" s="1" t="s">
        <v>75</v>
      </c>
      <c r="E222" s="25">
        <v>41319</v>
      </c>
      <c r="F222" s="111">
        <v>4</v>
      </c>
      <c r="G222" s="112">
        <v>12</v>
      </c>
      <c r="H222" s="128"/>
    </row>
    <row r="223" spans="1:8" ht="15.75" x14ac:dyDescent="0.25">
      <c r="A223" s="67" t="s">
        <v>121</v>
      </c>
      <c r="B223" s="11" t="s">
        <v>530</v>
      </c>
      <c r="C223" s="1" t="s">
        <v>47</v>
      </c>
      <c r="D223" s="1" t="s">
        <v>75</v>
      </c>
      <c r="E223" s="20">
        <f>E221</f>
        <v>2008</v>
      </c>
      <c r="F223" s="111">
        <v>7.24</v>
      </c>
      <c r="G223" s="110">
        <v>44</v>
      </c>
      <c r="H223" s="131"/>
    </row>
    <row r="224" spans="1:8" ht="15.75" x14ac:dyDescent="0.25">
      <c r="A224" s="69" t="s">
        <v>117</v>
      </c>
      <c r="B224" s="22" t="s">
        <v>446</v>
      </c>
      <c r="C224" s="8" t="s">
        <v>28</v>
      </c>
      <c r="D224" s="1" t="s">
        <v>72</v>
      </c>
      <c r="E224" s="21">
        <v>40991</v>
      </c>
      <c r="F224" s="109">
        <v>96</v>
      </c>
      <c r="G224" s="110">
        <v>314</v>
      </c>
      <c r="H224" s="131"/>
    </row>
    <row r="225" spans="1:8" ht="15.75" x14ac:dyDescent="0.25">
      <c r="A225" s="69" t="s">
        <v>113</v>
      </c>
      <c r="B225" s="11" t="s">
        <v>447</v>
      </c>
      <c r="C225" s="8" t="s">
        <v>64</v>
      </c>
      <c r="D225" s="1" t="s">
        <v>75</v>
      </c>
      <c r="E225" s="20">
        <v>2009</v>
      </c>
      <c r="F225" s="111">
        <v>9.1</v>
      </c>
      <c r="G225" s="112">
        <v>27.36</v>
      </c>
      <c r="H225" s="128"/>
    </row>
    <row r="226" spans="1:8" ht="15.75" x14ac:dyDescent="0.25">
      <c r="A226" s="70" t="s">
        <v>92</v>
      </c>
      <c r="B226" s="22" t="s">
        <v>448</v>
      </c>
      <c r="C226" s="11" t="s">
        <v>39</v>
      </c>
      <c r="D226" s="1" t="s">
        <v>72</v>
      </c>
      <c r="E226" s="21">
        <v>41060</v>
      </c>
      <c r="F226" s="111">
        <v>28.22</v>
      </c>
      <c r="G226" s="112">
        <v>73.58</v>
      </c>
      <c r="H226" s="128"/>
    </row>
    <row r="227" spans="1:8" ht="15.75" x14ac:dyDescent="0.25">
      <c r="A227" s="68" t="s">
        <v>98</v>
      </c>
      <c r="B227" s="11" t="s">
        <v>297</v>
      </c>
      <c r="C227" s="5" t="s">
        <v>37</v>
      </c>
      <c r="D227" s="1" t="s">
        <v>75</v>
      </c>
      <c r="E227" s="20">
        <v>2009</v>
      </c>
      <c r="F227" s="111">
        <v>1.8</v>
      </c>
      <c r="G227" s="112">
        <v>4.28</v>
      </c>
      <c r="H227" s="128"/>
    </row>
    <row r="228" spans="1:8" ht="15.75" x14ac:dyDescent="0.25">
      <c r="A228" s="69" t="s">
        <v>113</v>
      </c>
      <c r="B228" s="11" t="s">
        <v>531</v>
      </c>
      <c r="C228" s="8" t="s">
        <v>64</v>
      </c>
      <c r="D228" s="1" t="s">
        <v>75</v>
      </c>
      <c r="E228" s="21">
        <v>41249</v>
      </c>
      <c r="F228" s="111">
        <v>12.38</v>
      </c>
      <c r="G228" s="112">
        <v>61</v>
      </c>
      <c r="H228" s="128"/>
    </row>
    <row r="229" spans="1:8" ht="15.75" x14ac:dyDescent="0.25">
      <c r="A229" s="75" t="s">
        <v>108</v>
      </c>
      <c r="B229" s="11" t="s">
        <v>298</v>
      </c>
      <c r="C229" s="22" t="s">
        <v>60</v>
      </c>
      <c r="D229" s="1" t="s">
        <v>75</v>
      </c>
      <c r="E229" s="20">
        <f>E227</f>
        <v>2009</v>
      </c>
      <c r="F229" s="111">
        <v>8.1</v>
      </c>
      <c r="G229" s="110">
        <v>40</v>
      </c>
      <c r="H229" s="131"/>
    </row>
    <row r="230" spans="1:8" ht="15.75" x14ac:dyDescent="0.25">
      <c r="A230" s="70" t="s">
        <v>116</v>
      </c>
      <c r="B230" s="22" t="s">
        <v>299</v>
      </c>
      <c r="C230" s="11" t="s">
        <v>32</v>
      </c>
      <c r="D230" s="1" t="s">
        <v>75</v>
      </c>
      <c r="E230" s="21">
        <v>41515</v>
      </c>
      <c r="F230" s="111">
        <v>13.58</v>
      </c>
      <c r="G230" s="110">
        <v>32.07</v>
      </c>
      <c r="H230" s="131"/>
    </row>
    <row r="231" spans="1:8" ht="15.75" x14ac:dyDescent="0.25">
      <c r="A231" s="67" t="s">
        <v>121</v>
      </c>
      <c r="B231" s="11" t="s">
        <v>513</v>
      </c>
      <c r="C231" s="1" t="s">
        <v>47</v>
      </c>
      <c r="D231" s="1" t="s">
        <v>75</v>
      </c>
      <c r="E231" s="20">
        <v>2004</v>
      </c>
      <c r="F231" s="111">
        <v>13</v>
      </c>
      <c r="G231" s="112">
        <v>88</v>
      </c>
      <c r="H231" s="128"/>
    </row>
    <row r="232" spans="1:8" ht="15.75" x14ac:dyDescent="0.25">
      <c r="A232" s="68" t="s">
        <v>98</v>
      </c>
      <c r="B232" s="11" t="s">
        <v>300</v>
      </c>
      <c r="C232" s="5" t="s">
        <v>37</v>
      </c>
      <c r="D232" s="1" t="s">
        <v>75</v>
      </c>
      <c r="E232" s="21">
        <v>40619</v>
      </c>
      <c r="F232" s="111">
        <v>142.28</v>
      </c>
      <c r="G232" s="110">
        <v>334.02100000000002</v>
      </c>
      <c r="H232" s="131"/>
    </row>
    <row r="233" spans="1:8" ht="15.75" x14ac:dyDescent="0.25">
      <c r="A233" s="70" t="s">
        <v>100</v>
      </c>
      <c r="B233" s="11" t="s">
        <v>301</v>
      </c>
      <c r="C233" s="11" t="s">
        <v>43</v>
      </c>
      <c r="D233" s="1" t="s">
        <v>75</v>
      </c>
      <c r="E233" s="20">
        <v>2008</v>
      </c>
      <c r="F233" s="111">
        <v>16.7</v>
      </c>
      <c r="G233" s="112">
        <v>90</v>
      </c>
      <c r="H233" s="128"/>
    </row>
    <row r="234" spans="1:8" ht="15.75" x14ac:dyDescent="0.25">
      <c r="A234" s="70" t="s">
        <v>102</v>
      </c>
      <c r="B234" s="11" t="s">
        <v>302</v>
      </c>
      <c r="C234" s="11" t="s">
        <v>52</v>
      </c>
      <c r="D234" s="1" t="s">
        <v>75</v>
      </c>
      <c r="E234" s="21">
        <v>41410</v>
      </c>
      <c r="F234" s="111">
        <v>5.29</v>
      </c>
      <c r="G234" s="112">
        <v>36.380000000000003</v>
      </c>
      <c r="H234" s="128"/>
    </row>
    <row r="235" spans="1:8" ht="15.75" x14ac:dyDescent="0.25">
      <c r="A235" s="71" t="s">
        <v>136</v>
      </c>
      <c r="B235" s="11" t="s">
        <v>303</v>
      </c>
      <c r="C235" s="12" t="s">
        <v>25</v>
      </c>
      <c r="D235" s="1" t="s">
        <v>75</v>
      </c>
      <c r="E235" s="21">
        <v>40879</v>
      </c>
      <c r="F235" s="23">
        <v>4.67</v>
      </c>
      <c r="G235" s="59">
        <v>21</v>
      </c>
      <c r="H235" s="130"/>
    </row>
    <row r="236" spans="1:8" ht="31.5" x14ac:dyDescent="0.25">
      <c r="A236" s="67" t="s">
        <v>99</v>
      </c>
      <c r="B236" s="11" t="s">
        <v>304</v>
      </c>
      <c r="C236" s="1" t="s">
        <v>55</v>
      </c>
      <c r="D236" s="1" t="s">
        <v>75</v>
      </c>
      <c r="E236" s="21" t="s">
        <v>3</v>
      </c>
      <c r="F236" s="23">
        <v>8.48</v>
      </c>
      <c r="G236" s="59">
        <v>30</v>
      </c>
      <c r="H236" s="130"/>
    </row>
    <row r="237" spans="1:8" ht="15.75" x14ac:dyDescent="0.25">
      <c r="A237" s="69" t="s">
        <v>113</v>
      </c>
      <c r="B237" s="11" t="s">
        <v>305</v>
      </c>
      <c r="C237" s="8" t="s">
        <v>64</v>
      </c>
      <c r="D237" s="1" t="s">
        <v>75</v>
      </c>
      <c r="E237" s="21">
        <v>41075</v>
      </c>
      <c r="F237" s="111">
        <v>5.68</v>
      </c>
      <c r="G237" s="58">
        <v>21</v>
      </c>
      <c r="H237" s="129"/>
    </row>
    <row r="238" spans="1:8" ht="15.75" x14ac:dyDescent="0.25">
      <c r="A238" s="75" t="s">
        <v>114</v>
      </c>
      <c r="B238" s="11" t="s">
        <v>306</v>
      </c>
      <c r="C238" s="22" t="s">
        <v>54</v>
      </c>
      <c r="D238" s="1" t="s">
        <v>75</v>
      </c>
      <c r="E238" s="21">
        <v>41393</v>
      </c>
      <c r="F238" s="111">
        <v>5.74</v>
      </c>
      <c r="G238" s="58">
        <v>20.64</v>
      </c>
      <c r="H238" s="129"/>
    </row>
    <row r="239" spans="1:8" ht="15.75" x14ac:dyDescent="0.25">
      <c r="A239" s="75" t="s">
        <v>111</v>
      </c>
      <c r="B239" s="11" t="s">
        <v>307</v>
      </c>
      <c r="C239" s="22" t="s">
        <v>22</v>
      </c>
      <c r="D239" s="1" t="s">
        <v>75</v>
      </c>
      <c r="E239" s="25">
        <v>40641</v>
      </c>
      <c r="F239" s="23">
        <v>14.5</v>
      </c>
      <c r="G239" s="59">
        <v>48</v>
      </c>
      <c r="H239" s="130"/>
    </row>
    <row r="240" spans="1:8" ht="15.75" x14ac:dyDescent="0.25">
      <c r="A240" s="72" t="s">
        <v>140</v>
      </c>
      <c r="B240" s="11" t="s">
        <v>308</v>
      </c>
      <c r="C240" s="14" t="s">
        <v>56</v>
      </c>
      <c r="D240" s="1" t="s">
        <v>75</v>
      </c>
      <c r="E240" s="25">
        <v>40688</v>
      </c>
      <c r="F240" s="23">
        <v>25.2</v>
      </c>
      <c r="G240" s="59">
        <v>126</v>
      </c>
      <c r="H240" s="130"/>
    </row>
    <row r="241" spans="1:8" ht="15.75" x14ac:dyDescent="0.25">
      <c r="A241" s="69" t="s">
        <v>115</v>
      </c>
      <c r="B241" s="11" t="s">
        <v>532</v>
      </c>
      <c r="C241" s="8" t="s">
        <v>10</v>
      </c>
      <c r="D241" s="1" t="s">
        <v>75</v>
      </c>
      <c r="E241" s="20">
        <v>2009</v>
      </c>
      <c r="F241" s="111">
        <v>8.48</v>
      </c>
      <c r="G241" s="112">
        <v>32.42</v>
      </c>
      <c r="H241" s="128"/>
    </row>
    <row r="242" spans="1:8" ht="15.75" x14ac:dyDescent="0.25">
      <c r="A242" s="75" t="s">
        <v>139</v>
      </c>
      <c r="B242" s="11" t="s">
        <v>449</v>
      </c>
      <c r="C242" s="22" t="s">
        <v>31</v>
      </c>
      <c r="D242" s="1" t="s">
        <v>75</v>
      </c>
      <c r="E242" s="20">
        <f>E241</f>
        <v>2009</v>
      </c>
      <c r="F242" s="111">
        <v>1.42</v>
      </c>
      <c r="G242" s="110">
        <v>5.5</v>
      </c>
      <c r="H242" s="131"/>
    </row>
    <row r="243" spans="1:8" ht="15.75" x14ac:dyDescent="0.25">
      <c r="A243" s="67" t="s">
        <v>129</v>
      </c>
      <c r="B243" s="11" t="s">
        <v>309</v>
      </c>
      <c r="C243" s="1" t="s">
        <v>5</v>
      </c>
      <c r="D243" s="1" t="s">
        <v>75</v>
      </c>
      <c r="E243" s="20">
        <f>E242</f>
        <v>2009</v>
      </c>
      <c r="F243" s="111">
        <v>7.12</v>
      </c>
      <c r="G243" s="110">
        <v>40.159999999999997</v>
      </c>
      <c r="H243" s="131"/>
    </row>
    <row r="244" spans="1:8" ht="15.75" x14ac:dyDescent="0.25">
      <c r="A244" s="68" t="s">
        <v>98</v>
      </c>
      <c r="B244" s="11" t="s">
        <v>310</v>
      </c>
      <c r="C244" s="5" t="s">
        <v>37</v>
      </c>
      <c r="D244" s="1" t="s">
        <v>75</v>
      </c>
      <c r="E244" s="20">
        <v>2009</v>
      </c>
      <c r="F244" s="111">
        <v>34.130000000000003</v>
      </c>
      <c r="G244" s="110">
        <v>107</v>
      </c>
      <c r="H244" s="131"/>
    </row>
    <row r="245" spans="1:8" ht="15.75" x14ac:dyDescent="0.25">
      <c r="A245" s="67" t="s">
        <v>112</v>
      </c>
      <c r="B245" s="11" t="s">
        <v>311</v>
      </c>
      <c r="C245" s="1" t="s">
        <v>6</v>
      </c>
      <c r="D245" s="1" t="s">
        <v>75</v>
      </c>
      <c r="E245" s="21">
        <v>41312</v>
      </c>
      <c r="F245" s="111">
        <v>29.25</v>
      </c>
      <c r="G245" s="110">
        <v>108</v>
      </c>
      <c r="H245" s="131"/>
    </row>
    <row r="246" spans="1:8" ht="15.75" x14ac:dyDescent="0.25">
      <c r="A246" s="72" t="s">
        <v>140</v>
      </c>
      <c r="B246" s="11" t="s">
        <v>450</v>
      </c>
      <c r="C246" s="14" t="s">
        <v>56</v>
      </c>
      <c r="D246" s="1" t="s">
        <v>75</v>
      </c>
      <c r="E246" s="20">
        <v>2010</v>
      </c>
      <c r="F246" s="111">
        <v>9.5</v>
      </c>
      <c r="G246" s="110">
        <v>40</v>
      </c>
      <c r="H246" s="131"/>
    </row>
    <row r="247" spans="1:8" ht="15.75" x14ac:dyDescent="0.25">
      <c r="A247" s="67" t="s">
        <v>99</v>
      </c>
      <c r="B247" s="11" t="s">
        <v>312</v>
      </c>
      <c r="C247" s="1" t="s">
        <v>55</v>
      </c>
      <c r="D247" s="1" t="s">
        <v>75</v>
      </c>
      <c r="E247" s="20">
        <v>2006</v>
      </c>
      <c r="F247" s="111">
        <v>28.81</v>
      </c>
      <c r="G247" s="112">
        <v>51.64</v>
      </c>
      <c r="H247" s="128"/>
    </row>
    <row r="248" spans="1:8" ht="15.75" x14ac:dyDescent="0.25">
      <c r="A248" s="75" t="s">
        <v>90</v>
      </c>
      <c r="B248" s="44" t="s">
        <v>533</v>
      </c>
      <c r="C248" s="22" t="s">
        <v>7</v>
      </c>
      <c r="D248" s="1" t="s">
        <v>75</v>
      </c>
      <c r="E248" s="20">
        <v>2012</v>
      </c>
      <c r="F248" s="111">
        <v>19.109000000000002</v>
      </c>
      <c r="G248" s="112">
        <v>111</v>
      </c>
      <c r="H248" s="128"/>
    </row>
    <row r="249" spans="1:8" ht="15.75" x14ac:dyDescent="0.25">
      <c r="A249" s="75" t="s">
        <v>139</v>
      </c>
      <c r="B249" s="11" t="s">
        <v>313</v>
      </c>
      <c r="C249" s="22" t="s">
        <v>31</v>
      </c>
      <c r="D249" s="1" t="s">
        <v>75</v>
      </c>
      <c r="E249" s="20">
        <v>2008</v>
      </c>
      <c r="F249" s="205">
        <v>31.3</v>
      </c>
      <c r="G249" s="206">
        <v>100</v>
      </c>
      <c r="H249" s="128"/>
    </row>
    <row r="250" spans="1:8" ht="15.75" x14ac:dyDescent="0.25">
      <c r="A250" s="75" t="s">
        <v>139</v>
      </c>
      <c r="B250" s="11" t="s">
        <v>534</v>
      </c>
      <c r="C250" s="22" t="s">
        <v>31</v>
      </c>
      <c r="D250" s="1" t="s">
        <v>75</v>
      </c>
      <c r="E250" s="20">
        <v>2009</v>
      </c>
      <c r="F250" s="205"/>
      <c r="G250" s="206"/>
      <c r="H250" s="128"/>
    </row>
    <row r="251" spans="1:8" ht="15.75" x14ac:dyDescent="0.25">
      <c r="A251" s="75" t="s">
        <v>139</v>
      </c>
      <c r="B251" s="11" t="s">
        <v>314</v>
      </c>
      <c r="C251" s="22" t="s">
        <v>31</v>
      </c>
      <c r="D251" s="1" t="s">
        <v>75</v>
      </c>
      <c r="E251" s="20">
        <v>2011</v>
      </c>
      <c r="F251" s="111">
        <v>5.2</v>
      </c>
      <c r="G251" s="112">
        <v>20</v>
      </c>
      <c r="H251" s="128"/>
    </row>
    <row r="252" spans="1:8" ht="15.75" x14ac:dyDescent="0.25">
      <c r="A252" s="69" t="s">
        <v>117</v>
      </c>
      <c r="B252" s="11" t="s">
        <v>315</v>
      </c>
      <c r="C252" s="8" t="s">
        <v>28</v>
      </c>
      <c r="D252" s="1" t="s">
        <v>75</v>
      </c>
      <c r="E252" s="20">
        <v>2009</v>
      </c>
      <c r="F252" s="111">
        <v>10.8</v>
      </c>
      <c r="G252" s="112">
        <v>40</v>
      </c>
      <c r="H252" s="128"/>
    </row>
    <row r="253" spans="1:8" ht="15.75" x14ac:dyDescent="0.25">
      <c r="A253" s="68" t="s">
        <v>98</v>
      </c>
      <c r="B253" s="11" t="s">
        <v>451</v>
      </c>
      <c r="C253" s="5" t="s">
        <v>37</v>
      </c>
      <c r="D253" s="1" t="s">
        <v>72</v>
      </c>
      <c r="E253" s="21">
        <v>41569</v>
      </c>
      <c r="F253" s="111">
        <v>207.92</v>
      </c>
      <c r="G253" s="112">
        <v>502</v>
      </c>
      <c r="H253" s="128"/>
    </row>
    <row r="254" spans="1:8" ht="15.75" x14ac:dyDescent="0.25">
      <c r="A254" s="68" t="s">
        <v>98</v>
      </c>
      <c r="B254" s="11" t="s">
        <v>316</v>
      </c>
      <c r="C254" s="5" t="s">
        <v>37</v>
      </c>
      <c r="D254" s="1" t="s">
        <v>75</v>
      </c>
      <c r="E254" s="21">
        <v>41405</v>
      </c>
      <c r="F254" s="111">
        <v>8</v>
      </c>
      <c r="G254" s="112">
        <v>24</v>
      </c>
      <c r="H254" s="128"/>
    </row>
    <row r="255" spans="1:8" ht="15.75" x14ac:dyDescent="0.25">
      <c r="A255" s="70" t="s">
        <v>89</v>
      </c>
      <c r="B255" s="11" t="s">
        <v>317</v>
      </c>
      <c r="C255" s="11" t="s">
        <v>19</v>
      </c>
      <c r="D255" s="1" t="s">
        <v>75</v>
      </c>
      <c r="E255" s="21">
        <v>41338</v>
      </c>
      <c r="F255" s="111">
        <v>4.0469999999999997</v>
      </c>
      <c r="G255" s="112">
        <v>12.56</v>
      </c>
      <c r="H255" s="128"/>
    </row>
    <row r="256" spans="1:8" ht="15.75" x14ac:dyDescent="0.25">
      <c r="A256" s="68" t="s">
        <v>98</v>
      </c>
      <c r="B256" s="11" t="s">
        <v>318</v>
      </c>
      <c r="C256" s="5" t="s">
        <v>37</v>
      </c>
      <c r="D256" s="1" t="s">
        <v>75</v>
      </c>
      <c r="E256" s="20">
        <v>2007</v>
      </c>
      <c r="F256" s="111">
        <v>2.4</v>
      </c>
      <c r="G256" s="112">
        <v>18.72</v>
      </c>
      <c r="H256" s="128"/>
    </row>
    <row r="257" spans="1:8" ht="15.75" x14ac:dyDescent="0.25">
      <c r="A257" s="69" t="s">
        <v>117</v>
      </c>
      <c r="B257" s="46" t="s">
        <v>319</v>
      </c>
      <c r="C257" s="8" t="s">
        <v>28</v>
      </c>
      <c r="D257" s="1" t="s">
        <v>75</v>
      </c>
      <c r="E257" s="20">
        <v>2011</v>
      </c>
      <c r="F257" s="23">
        <v>3.84</v>
      </c>
      <c r="G257" s="59">
        <v>21.56</v>
      </c>
      <c r="H257" s="130"/>
    </row>
    <row r="258" spans="1:8" ht="15.75" x14ac:dyDescent="0.25">
      <c r="A258" s="69" t="s">
        <v>117</v>
      </c>
      <c r="B258" s="46" t="s">
        <v>535</v>
      </c>
      <c r="C258" s="8" t="s">
        <v>28</v>
      </c>
      <c r="D258" s="1" t="s">
        <v>75</v>
      </c>
      <c r="E258" s="20">
        <v>2011</v>
      </c>
      <c r="F258" s="23">
        <v>3.08</v>
      </c>
      <c r="G258" s="59">
        <v>18.97</v>
      </c>
      <c r="H258" s="130"/>
    </row>
    <row r="259" spans="1:8" ht="15.75" x14ac:dyDescent="0.25">
      <c r="A259" s="69" t="s">
        <v>117</v>
      </c>
      <c r="B259" s="46" t="s">
        <v>536</v>
      </c>
      <c r="C259" s="8" t="s">
        <v>28</v>
      </c>
      <c r="D259" s="1" t="s">
        <v>75</v>
      </c>
      <c r="E259" s="20">
        <v>2011</v>
      </c>
      <c r="F259" s="23">
        <v>10.35</v>
      </c>
      <c r="G259" s="59">
        <v>57.76</v>
      </c>
      <c r="H259" s="130"/>
    </row>
    <row r="260" spans="1:8" ht="15.75" x14ac:dyDescent="0.25">
      <c r="A260" s="69" t="s">
        <v>117</v>
      </c>
      <c r="B260" s="22" t="s">
        <v>537</v>
      </c>
      <c r="C260" s="8" t="s">
        <v>28</v>
      </c>
      <c r="D260" s="1" t="s">
        <v>75</v>
      </c>
      <c r="E260" s="20">
        <v>2011</v>
      </c>
      <c r="F260" s="23">
        <v>4.5999999999999996</v>
      </c>
      <c r="G260" s="59">
        <v>21.62</v>
      </c>
      <c r="H260" s="130"/>
    </row>
    <row r="261" spans="1:8" ht="15.75" x14ac:dyDescent="0.25">
      <c r="A261" s="67" t="s">
        <v>118</v>
      </c>
      <c r="B261" s="22" t="s">
        <v>320</v>
      </c>
      <c r="C261" s="1" t="s">
        <v>27</v>
      </c>
      <c r="D261" s="1" t="s">
        <v>75</v>
      </c>
      <c r="E261" s="20">
        <v>2011</v>
      </c>
      <c r="F261" s="23">
        <v>4.0999999999999996</v>
      </c>
      <c r="G261" s="59">
        <v>24.27</v>
      </c>
      <c r="H261" s="130"/>
    </row>
    <row r="262" spans="1:8" ht="15.75" x14ac:dyDescent="0.25">
      <c r="A262" s="68" t="s">
        <v>98</v>
      </c>
      <c r="B262" s="11" t="s">
        <v>321</v>
      </c>
      <c r="C262" s="5" t="s">
        <v>37</v>
      </c>
      <c r="D262" s="1" t="s">
        <v>75</v>
      </c>
      <c r="E262" s="24">
        <v>2005</v>
      </c>
      <c r="F262" s="109">
        <v>24</v>
      </c>
      <c r="G262" s="110">
        <v>71</v>
      </c>
      <c r="H262" s="131"/>
    </row>
    <row r="263" spans="1:8" ht="15.75" x14ac:dyDescent="0.25">
      <c r="A263" s="70" t="s">
        <v>128</v>
      </c>
      <c r="B263" s="11" t="s">
        <v>322</v>
      </c>
      <c r="C263" s="11" t="s">
        <v>30</v>
      </c>
      <c r="D263" s="1" t="s">
        <v>75</v>
      </c>
      <c r="E263" s="20">
        <f>E261</f>
        <v>2011</v>
      </c>
      <c r="F263" s="111">
        <v>1.59</v>
      </c>
      <c r="G263" s="110">
        <v>8.32</v>
      </c>
      <c r="H263" s="131"/>
    </row>
    <row r="264" spans="1:8" ht="15.75" x14ac:dyDescent="0.25">
      <c r="A264" s="68" t="s">
        <v>98</v>
      </c>
      <c r="B264" s="11" t="s">
        <v>323</v>
      </c>
      <c r="C264" s="5" t="s">
        <v>37</v>
      </c>
      <c r="D264" s="1" t="s">
        <v>72</v>
      </c>
      <c r="E264" s="21">
        <v>41088</v>
      </c>
      <c r="F264" s="111">
        <v>8</v>
      </c>
      <c r="G264" s="112">
        <v>26.51</v>
      </c>
      <c r="H264" s="128"/>
    </row>
    <row r="265" spans="1:8" ht="15.75" x14ac:dyDescent="0.25">
      <c r="A265" s="71" t="s">
        <v>82</v>
      </c>
      <c r="B265" s="11" t="s">
        <v>324</v>
      </c>
      <c r="C265" s="12" t="s">
        <v>50</v>
      </c>
      <c r="D265" s="1" t="s">
        <v>75</v>
      </c>
      <c r="E265" s="21">
        <v>41348</v>
      </c>
      <c r="F265" s="111">
        <v>11.143000000000001</v>
      </c>
      <c r="G265" s="112">
        <v>44.29</v>
      </c>
      <c r="H265" s="128"/>
    </row>
    <row r="266" spans="1:8" ht="15.75" x14ac:dyDescent="0.25">
      <c r="A266" s="70" t="s">
        <v>95</v>
      </c>
      <c r="B266" s="11" t="s">
        <v>325</v>
      </c>
      <c r="C266" s="11" t="s">
        <v>4</v>
      </c>
      <c r="D266" s="1" t="s">
        <v>72</v>
      </c>
      <c r="E266" s="20">
        <v>2013</v>
      </c>
      <c r="F266" s="111">
        <v>191.28</v>
      </c>
      <c r="G266" s="112">
        <v>766</v>
      </c>
      <c r="H266" s="128"/>
    </row>
    <row r="267" spans="1:8" ht="15.75" x14ac:dyDescent="0.25">
      <c r="A267" s="70" t="s">
        <v>89</v>
      </c>
      <c r="B267" s="11" t="s">
        <v>326</v>
      </c>
      <c r="C267" s="11" t="s">
        <v>19</v>
      </c>
      <c r="D267" s="1" t="s">
        <v>75</v>
      </c>
      <c r="E267" s="20">
        <v>2005</v>
      </c>
      <c r="F267" s="111">
        <v>14.61</v>
      </c>
      <c r="G267" s="110">
        <v>50</v>
      </c>
      <c r="H267" s="131"/>
    </row>
    <row r="268" spans="1:8" ht="15.75" x14ac:dyDescent="0.25">
      <c r="A268" s="75" t="s">
        <v>139</v>
      </c>
      <c r="B268" s="22" t="s">
        <v>538</v>
      </c>
      <c r="C268" s="22" t="s">
        <v>31</v>
      </c>
      <c r="D268" s="1" t="s">
        <v>75</v>
      </c>
      <c r="E268" s="21">
        <v>41094</v>
      </c>
      <c r="F268" s="111">
        <v>38.6</v>
      </c>
      <c r="G268" s="110">
        <v>105</v>
      </c>
      <c r="H268" s="131"/>
    </row>
    <row r="269" spans="1:8" ht="15.75" x14ac:dyDescent="0.25">
      <c r="A269" s="67" t="s">
        <v>118</v>
      </c>
      <c r="B269" s="11" t="s">
        <v>452</v>
      </c>
      <c r="C269" s="1" t="s">
        <v>27</v>
      </c>
      <c r="D269" s="1" t="s">
        <v>75</v>
      </c>
      <c r="E269" s="20">
        <v>2009</v>
      </c>
      <c r="F269" s="111">
        <v>5.76</v>
      </c>
      <c r="G269" s="112">
        <v>25</v>
      </c>
      <c r="H269" s="128"/>
    </row>
    <row r="270" spans="1:8" ht="15.75" x14ac:dyDescent="0.25">
      <c r="A270" s="74" t="s">
        <v>122</v>
      </c>
      <c r="B270" s="11" t="s">
        <v>327</v>
      </c>
      <c r="C270" s="19" t="s">
        <v>26</v>
      </c>
      <c r="D270" s="1" t="s">
        <v>75</v>
      </c>
      <c r="E270" s="20">
        <v>2007</v>
      </c>
      <c r="F270" s="111">
        <v>5.375</v>
      </c>
      <c r="G270" s="110">
        <v>31.68</v>
      </c>
      <c r="H270" s="131"/>
    </row>
    <row r="271" spans="1:8" ht="15.75" x14ac:dyDescent="0.25">
      <c r="A271" s="67" t="s">
        <v>121</v>
      </c>
      <c r="B271" s="11" t="s">
        <v>328</v>
      </c>
      <c r="C271" s="1" t="s">
        <v>47</v>
      </c>
      <c r="D271" s="1" t="s">
        <v>75</v>
      </c>
      <c r="E271" s="20">
        <v>2008</v>
      </c>
      <c r="F271" s="111">
        <v>8.6739999999999995</v>
      </c>
      <c r="G271" s="110">
        <v>25.015000000000001</v>
      </c>
      <c r="H271" s="131"/>
    </row>
    <row r="272" spans="1:8" ht="15.75" x14ac:dyDescent="0.25">
      <c r="A272" s="69" t="s">
        <v>113</v>
      </c>
      <c r="B272" s="11" t="s">
        <v>329</v>
      </c>
      <c r="C272" s="8" t="s">
        <v>64</v>
      </c>
      <c r="D272" s="1" t="s">
        <v>75</v>
      </c>
      <c r="E272" s="21">
        <v>41449</v>
      </c>
      <c r="F272" s="111">
        <v>15.497999999999999</v>
      </c>
      <c r="G272" s="110">
        <v>52.98</v>
      </c>
      <c r="H272" s="131"/>
    </row>
    <row r="273" spans="1:8" ht="15.75" x14ac:dyDescent="0.25">
      <c r="A273" s="70" t="s">
        <v>92</v>
      </c>
      <c r="B273" s="11" t="s">
        <v>330</v>
      </c>
      <c r="C273" s="11" t="s">
        <v>39</v>
      </c>
      <c r="D273" s="1" t="s">
        <v>75</v>
      </c>
      <c r="E273" s="20">
        <f>E271</f>
        <v>2008</v>
      </c>
      <c r="F273" s="111">
        <v>28</v>
      </c>
      <c r="G273" s="110">
        <v>123</v>
      </c>
      <c r="H273" s="131"/>
    </row>
    <row r="274" spans="1:8" ht="15.75" x14ac:dyDescent="0.25">
      <c r="A274" s="68" t="s">
        <v>98</v>
      </c>
      <c r="B274" s="11" t="s">
        <v>453</v>
      </c>
      <c r="C274" s="5" t="s">
        <v>37</v>
      </c>
      <c r="D274" s="1" t="s">
        <v>75</v>
      </c>
      <c r="E274" s="26">
        <v>2011</v>
      </c>
      <c r="F274" s="23">
        <v>4.6093999999999999</v>
      </c>
      <c r="G274" s="59">
        <v>16.100000000000001</v>
      </c>
      <c r="H274" s="130"/>
    </row>
    <row r="275" spans="1:8" ht="15.75" x14ac:dyDescent="0.25">
      <c r="A275" s="75" t="s">
        <v>139</v>
      </c>
      <c r="B275" s="11" t="s">
        <v>331</v>
      </c>
      <c r="C275" s="22" t="s">
        <v>31</v>
      </c>
      <c r="D275" s="1" t="s">
        <v>75</v>
      </c>
      <c r="E275" s="20">
        <v>2011</v>
      </c>
      <c r="F275" s="23">
        <v>9.74</v>
      </c>
      <c r="G275" s="59">
        <v>41</v>
      </c>
      <c r="H275" s="130"/>
    </row>
    <row r="276" spans="1:8" ht="15.75" x14ac:dyDescent="0.25">
      <c r="A276" s="67" t="s">
        <v>127</v>
      </c>
      <c r="B276" s="11" t="s">
        <v>332</v>
      </c>
      <c r="C276" s="1" t="s">
        <v>33</v>
      </c>
      <c r="D276" s="1" t="s">
        <v>75</v>
      </c>
      <c r="E276" s="21">
        <v>41136</v>
      </c>
      <c r="F276" s="23">
        <v>16.86</v>
      </c>
      <c r="G276" s="59">
        <v>61.917999999999999</v>
      </c>
      <c r="H276" s="130"/>
    </row>
    <row r="277" spans="1:8" ht="15.75" x14ac:dyDescent="0.25">
      <c r="A277" s="70" t="s">
        <v>95</v>
      </c>
      <c r="B277" s="11" t="s">
        <v>333</v>
      </c>
      <c r="C277" s="11" t="s">
        <v>4</v>
      </c>
      <c r="D277" s="1" t="s">
        <v>75</v>
      </c>
      <c r="E277" s="21">
        <v>41389</v>
      </c>
      <c r="F277" s="23">
        <v>23.8</v>
      </c>
      <c r="G277" s="59">
        <v>72.293999999999997</v>
      </c>
      <c r="H277" s="130"/>
    </row>
    <row r="278" spans="1:8" ht="15.75" x14ac:dyDescent="0.25">
      <c r="A278" s="70" t="s">
        <v>134</v>
      </c>
      <c r="B278" s="11" t="s">
        <v>539</v>
      </c>
      <c r="C278" s="11" t="s">
        <v>44</v>
      </c>
      <c r="D278" s="1" t="s">
        <v>75</v>
      </c>
      <c r="E278" s="20">
        <f>E275</f>
        <v>2011</v>
      </c>
      <c r="F278" s="111">
        <v>0.38</v>
      </c>
      <c r="G278" s="110">
        <v>1.44</v>
      </c>
      <c r="H278" s="131"/>
    </row>
    <row r="279" spans="1:8" ht="15.75" x14ac:dyDescent="0.25">
      <c r="A279" s="70" t="s">
        <v>144</v>
      </c>
      <c r="B279" s="11" t="s">
        <v>334</v>
      </c>
      <c r="C279" s="11" t="s">
        <v>59</v>
      </c>
      <c r="D279" s="1" t="s">
        <v>75</v>
      </c>
      <c r="E279" s="21">
        <v>41596</v>
      </c>
      <c r="F279" s="111">
        <v>46.11</v>
      </c>
      <c r="G279" s="110">
        <v>150.61000000000001</v>
      </c>
      <c r="H279" s="131"/>
    </row>
    <row r="280" spans="1:8" ht="15.75" x14ac:dyDescent="0.25">
      <c r="A280" s="75" t="s">
        <v>139</v>
      </c>
      <c r="B280" s="11" t="s">
        <v>335</v>
      </c>
      <c r="C280" s="22" t="s">
        <v>31</v>
      </c>
      <c r="D280" s="1" t="s">
        <v>75</v>
      </c>
      <c r="E280" s="21">
        <v>41334</v>
      </c>
      <c r="F280" s="111">
        <v>25.04</v>
      </c>
      <c r="G280" s="110">
        <v>74.92</v>
      </c>
      <c r="H280" s="131"/>
    </row>
    <row r="281" spans="1:8" ht="31.5" x14ac:dyDescent="0.25">
      <c r="A281" s="67" t="s">
        <v>129</v>
      </c>
      <c r="B281" s="11" t="s">
        <v>336</v>
      </c>
      <c r="C281" s="1" t="s">
        <v>5</v>
      </c>
      <c r="D281" s="22" t="s">
        <v>74</v>
      </c>
      <c r="E281" s="26">
        <v>2011</v>
      </c>
      <c r="F281" s="23">
        <v>3.03</v>
      </c>
      <c r="G281" s="59">
        <v>22</v>
      </c>
      <c r="H281" s="130"/>
    </row>
    <row r="282" spans="1:8" ht="15.75" x14ac:dyDescent="0.25">
      <c r="A282" s="71" t="s">
        <v>104</v>
      </c>
      <c r="B282" s="11" t="s">
        <v>220</v>
      </c>
      <c r="C282" s="12" t="s">
        <v>61</v>
      </c>
      <c r="D282" s="1" t="s">
        <v>75</v>
      </c>
      <c r="E282" s="24">
        <v>2009</v>
      </c>
      <c r="F282" s="109">
        <v>63</v>
      </c>
      <c r="G282" s="110">
        <v>330</v>
      </c>
      <c r="H282" s="131"/>
    </row>
    <row r="283" spans="1:8" ht="15.75" x14ac:dyDescent="0.25">
      <c r="A283" s="68" t="s">
        <v>98</v>
      </c>
      <c r="B283" s="11" t="s">
        <v>454</v>
      </c>
      <c r="C283" s="5" t="s">
        <v>37</v>
      </c>
      <c r="D283" s="1" t="s">
        <v>75</v>
      </c>
      <c r="E283" s="20">
        <v>2009</v>
      </c>
      <c r="F283" s="111">
        <v>4.4000000000000004</v>
      </c>
      <c r="G283" s="112">
        <v>13.34</v>
      </c>
      <c r="H283" s="128"/>
    </row>
    <row r="284" spans="1:8" ht="31.5" x14ac:dyDescent="0.25">
      <c r="A284" s="70" t="s">
        <v>95</v>
      </c>
      <c r="B284" s="22" t="s">
        <v>337</v>
      </c>
      <c r="C284" s="11" t="s">
        <v>4</v>
      </c>
      <c r="D284" s="1" t="s">
        <v>75</v>
      </c>
      <c r="E284" s="20">
        <f>E283</f>
        <v>2009</v>
      </c>
      <c r="F284" s="111">
        <v>4.6760000000000002</v>
      </c>
      <c r="G284" s="110">
        <v>10</v>
      </c>
      <c r="H284" s="131"/>
    </row>
    <row r="285" spans="1:8" ht="15.75" x14ac:dyDescent="0.25">
      <c r="A285" s="72" t="s">
        <v>93</v>
      </c>
      <c r="B285" s="11" t="s">
        <v>338</v>
      </c>
      <c r="C285" s="14" t="s">
        <v>8</v>
      </c>
      <c r="D285" s="1" t="s">
        <v>75</v>
      </c>
      <c r="E285" s="20">
        <v>2011</v>
      </c>
      <c r="F285" s="111">
        <v>9.2650000000000006</v>
      </c>
      <c r="G285" s="112">
        <v>41</v>
      </c>
      <c r="H285" s="128"/>
    </row>
    <row r="286" spans="1:8" ht="15.75" x14ac:dyDescent="0.25">
      <c r="A286" s="71" t="s">
        <v>136</v>
      </c>
      <c r="B286" s="22" t="s">
        <v>339</v>
      </c>
      <c r="C286" s="12" t="s">
        <v>25</v>
      </c>
      <c r="D286" s="1" t="s">
        <v>75</v>
      </c>
      <c r="E286" s="21">
        <v>41003</v>
      </c>
      <c r="F286" s="23">
        <v>8.0239999999999991</v>
      </c>
      <c r="G286" s="110">
        <v>30</v>
      </c>
      <c r="H286" s="131"/>
    </row>
    <row r="287" spans="1:8" ht="15.75" x14ac:dyDescent="0.25">
      <c r="A287" s="70" t="s">
        <v>95</v>
      </c>
      <c r="B287" s="22" t="s">
        <v>455</v>
      </c>
      <c r="C287" s="11" t="s">
        <v>4</v>
      </c>
      <c r="D287" s="1" t="s">
        <v>72</v>
      </c>
      <c r="E287" s="21">
        <v>41324</v>
      </c>
      <c r="F287" s="23">
        <v>155.85</v>
      </c>
      <c r="G287" s="110">
        <v>378.38</v>
      </c>
      <c r="H287" s="131"/>
    </row>
    <row r="288" spans="1:8" ht="15.75" x14ac:dyDescent="0.25">
      <c r="A288" s="70" t="s">
        <v>89</v>
      </c>
      <c r="B288" s="11" t="s">
        <v>456</v>
      </c>
      <c r="C288" s="11" t="s">
        <v>19</v>
      </c>
      <c r="D288" s="1" t="s">
        <v>72</v>
      </c>
      <c r="E288" s="20">
        <v>2012</v>
      </c>
      <c r="F288" s="23">
        <v>74.849999999999994</v>
      </c>
      <c r="G288" s="59">
        <v>203</v>
      </c>
      <c r="H288" s="130"/>
    </row>
    <row r="289" spans="1:8" ht="15.75" x14ac:dyDescent="0.25">
      <c r="A289" s="70" t="s">
        <v>116</v>
      </c>
      <c r="B289" s="11" t="s">
        <v>340</v>
      </c>
      <c r="C289" s="11" t="s">
        <v>32</v>
      </c>
      <c r="D289" s="1" t="s">
        <v>75</v>
      </c>
      <c r="E289" s="21">
        <v>41467</v>
      </c>
      <c r="F289" s="23">
        <v>14.66</v>
      </c>
      <c r="G289" s="59">
        <v>60</v>
      </c>
      <c r="H289" s="130"/>
    </row>
    <row r="290" spans="1:8" ht="15.75" x14ac:dyDescent="0.25">
      <c r="A290" s="68" t="s">
        <v>98</v>
      </c>
      <c r="B290" s="11" t="s">
        <v>341</v>
      </c>
      <c r="C290" s="5" t="s">
        <v>37</v>
      </c>
      <c r="D290" s="1" t="s">
        <v>75</v>
      </c>
      <c r="E290" s="26">
        <v>2011</v>
      </c>
      <c r="F290" s="23">
        <v>1.07</v>
      </c>
      <c r="G290" s="59">
        <v>4.5999999999999996</v>
      </c>
      <c r="H290" s="130"/>
    </row>
    <row r="291" spans="1:8" ht="15.75" x14ac:dyDescent="0.25">
      <c r="A291" s="70" t="s">
        <v>130</v>
      </c>
      <c r="B291" s="11" t="s">
        <v>342</v>
      </c>
      <c r="C291" s="11" t="s">
        <v>24</v>
      </c>
      <c r="D291" s="1" t="s">
        <v>75</v>
      </c>
      <c r="E291" s="20">
        <v>2011</v>
      </c>
      <c r="F291" s="111">
        <v>22.92</v>
      </c>
      <c r="G291" s="110">
        <v>78</v>
      </c>
      <c r="H291" s="131"/>
    </row>
    <row r="292" spans="1:8" ht="15.75" x14ac:dyDescent="0.25">
      <c r="A292" s="70" t="s">
        <v>130</v>
      </c>
      <c r="B292" s="11" t="s">
        <v>540</v>
      </c>
      <c r="C292" s="11" t="s">
        <v>24</v>
      </c>
      <c r="D292" s="1" t="s">
        <v>75</v>
      </c>
      <c r="E292" s="20">
        <v>2010</v>
      </c>
      <c r="F292" s="111">
        <v>12.298999999999999</v>
      </c>
      <c r="G292" s="112">
        <v>36</v>
      </c>
      <c r="H292" s="128"/>
    </row>
    <row r="293" spans="1:8" ht="15.75" x14ac:dyDescent="0.25">
      <c r="A293" s="67" t="s">
        <v>109</v>
      </c>
      <c r="B293" s="11" t="s">
        <v>343</v>
      </c>
      <c r="C293" s="1" t="s">
        <v>58</v>
      </c>
      <c r="D293" s="1" t="s">
        <v>75</v>
      </c>
      <c r="E293" s="26">
        <v>2011</v>
      </c>
      <c r="F293" s="23">
        <v>17.5</v>
      </c>
      <c r="G293" s="59">
        <v>97.7</v>
      </c>
      <c r="H293" s="130"/>
    </row>
    <row r="294" spans="1:8" ht="15.75" x14ac:dyDescent="0.25">
      <c r="A294" s="70" t="s">
        <v>95</v>
      </c>
      <c r="B294" s="11" t="s">
        <v>457</v>
      </c>
      <c r="C294" s="11" t="s">
        <v>4</v>
      </c>
      <c r="D294" s="1" t="s">
        <v>72</v>
      </c>
      <c r="E294" s="25">
        <v>41487</v>
      </c>
      <c r="F294" s="23">
        <v>20</v>
      </c>
      <c r="G294" s="59">
        <v>120.215</v>
      </c>
      <c r="H294" s="130"/>
    </row>
    <row r="295" spans="1:8" ht="15.75" x14ac:dyDescent="0.25">
      <c r="A295" s="72" t="s">
        <v>93</v>
      </c>
      <c r="B295" s="22" t="s">
        <v>344</v>
      </c>
      <c r="C295" s="14" t="s">
        <v>8</v>
      </c>
      <c r="D295" s="1" t="s">
        <v>75</v>
      </c>
      <c r="E295" s="20">
        <v>2011</v>
      </c>
      <c r="F295" s="111">
        <v>12.045999999999999</v>
      </c>
      <c r="G295" s="112">
        <v>47.56</v>
      </c>
      <c r="H295" s="128"/>
    </row>
    <row r="296" spans="1:8" ht="15.75" x14ac:dyDescent="0.25">
      <c r="A296" s="71" t="s">
        <v>96</v>
      </c>
      <c r="B296" s="11" t="s">
        <v>541</v>
      </c>
      <c r="C296" s="12" t="s">
        <v>49</v>
      </c>
      <c r="D296" s="1" t="s">
        <v>75</v>
      </c>
      <c r="E296" s="20">
        <v>2009</v>
      </c>
      <c r="F296" s="111">
        <v>35.258000000000003</v>
      </c>
      <c r="G296" s="112">
        <v>120</v>
      </c>
      <c r="H296" s="128"/>
    </row>
    <row r="297" spans="1:8" ht="15.75" x14ac:dyDescent="0.25">
      <c r="A297" s="69" t="s">
        <v>113</v>
      </c>
      <c r="B297" s="11" t="s">
        <v>345</v>
      </c>
      <c r="C297" s="8" t="s">
        <v>64</v>
      </c>
      <c r="D297" s="1" t="s">
        <v>75</v>
      </c>
      <c r="E297" s="20">
        <v>2013</v>
      </c>
      <c r="F297" s="111">
        <v>11.39</v>
      </c>
      <c r="G297" s="112">
        <v>40</v>
      </c>
      <c r="H297" s="128"/>
    </row>
    <row r="298" spans="1:8" ht="15.75" x14ac:dyDescent="0.25">
      <c r="A298" s="70" t="s">
        <v>95</v>
      </c>
      <c r="B298" s="11" t="s">
        <v>458</v>
      </c>
      <c r="C298" s="11" t="s">
        <v>4</v>
      </c>
      <c r="D298" s="1" t="s">
        <v>72</v>
      </c>
      <c r="E298" s="20">
        <v>2011</v>
      </c>
      <c r="F298" s="23">
        <v>89.42</v>
      </c>
      <c r="G298" s="59">
        <v>203.14</v>
      </c>
      <c r="H298" s="130"/>
    </row>
    <row r="299" spans="1:8" ht="15.75" x14ac:dyDescent="0.25">
      <c r="A299" s="70" t="s">
        <v>95</v>
      </c>
      <c r="B299" s="11" t="s">
        <v>459</v>
      </c>
      <c r="C299" s="11" t="s">
        <v>4</v>
      </c>
      <c r="D299" s="1" t="s">
        <v>75</v>
      </c>
      <c r="E299" s="20">
        <v>2006</v>
      </c>
      <c r="F299" s="111">
        <v>49.6</v>
      </c>
      <c r="G299" s="112">
        <v>163</v>
      </c>
      <c r="H299" s="128"/>
    </row>
    <row r="300" spans="1:8" ht="15.75" x14ac:dyDescent="0.25">
      <c r="A300" s="70" t="s">
        <v>142</v>
      </c>
      <c r="B300" s="11" t="s">
        <v>460</v>
      </c>
      <c r="C300" s="11" t="s">
        <v>9</v>
      </c>
      <c r="D300" s="1" t="s">
        <v>75</v>
      </c>
      <c r="E300" s="20">
        <v>2012</v>
      </c>
      <c r="F300" s="111">
        <v>11.157</v>
      </c>
      <c r="G300" s="112">
        <v>40</v>
      </c>
      <c r="H300" s="128"/>
    </row>
    <row r="301" spans="1:8" ht="15.75" x14ac:dyDescent="0.25">
      <c r="A301" s="67" t="s">
        <v>112</v>
      </c>
      <c r="B301" s="11" t="s">
        <v>461</v>
      </c>
      <c r="C301" s="1" t="s">
        <v>6</v>
      </c>
      <c r="D301" s="1" t="s">
        <v>75</v>
      </c>
      <c r="E301" s="20">
        <v>2012</v>
      </c>
      <c r="F301" s="30">
        <v>32.548000000000002</v>
      </c>
      <c r="G301" s="63">
        <v>125</v>
      </c>
      <c r="H301" s="133"/>
    </row>
    <row r="302" spans="1:8" ht="15.75" x14ac:dyDescent="0.25">
      <c r="A302" s="71" t="s">
        <v>103</v>
      </c>
      <c r="B302" s="11" t="s">
        <v>346</v>
      </c>
      <c r="C302" s="12" t="s">
        <v>42</v>
      </c>
      <c r="D302" s="1" t="s">
        <v>75</v>
      </c>
      <c r="E302" s="20">
        <v>2001</v>
      </c>
      <c r="F302" s="111">
        <v>3.2</v>
      </c>
      <c r="G302" s="112">
        <v>12.5</v>
      </c>
      <c r="H302" s="128"/>
    </row>
    <row r="303" spans="1:8" ht="15.75" x14ac:dyDescent="0.25">
      <c r="A303" s="70" t="s">
        <v>116</v>
      </c>
      <c r="B303" s="11" t="s">
        <v>542</v>
      </c>
      <c r="C303" s="11" t="s">
        <v>32</v>
      </c>
      <c r="D303" s="1" t="s">
        <v>75</v>
      </c>
      <c r="E303" s="21">
        <v>41354</v>
      </c>
      <c r="F303" s="111">
        <v>6.63</v>
      </c>
      <c r="G303" s="112">
        <v>30</v>
      </c>
      <c r="H303" s="128"/>
    </row>
    <row r="304" spans="1:8" ht="31.5" x14ac:dyDescent="0.25">
      <c r="A304" s="67" t="s">
        <v>125</v>
      </c>
      <c r="B304" s="22" t="s">
        <v>543</v>
      </c>
      <c r="C304" s="1" t="s">
        <v>66</v>
      </c>
      <c r="D304" s="1" t="s">
        <v>75</v>
      </c>
      <c r="E304" s="26">
        <v>2011</v>
      </c>
      <c r="F304" s="23">
        <v>41.454000000000001</v>
      </c>
      <c r="G304" s="59">
        <v>170</v>
      </c>
      <c r="H304" s="130"/>
    </row>
    <row r="305" spans="1:8" ht="15.75" x14ac:dyDescent="0.25">
      <c r="A305" s="67" t="s">
        <v>129</v>
      </c>
      <c r="B305" s="22" t="s">
        <v>544</v>
      </c>
      <c r="C305" s="1" t="s">
        <v>5</v>
      </c>
      <c r="D305" s="1" t="s">
        <v>75</v>
      </c>
      <c r="E305" s="26">
        <v>2012</v>
      </c>
      <c r="F305" s="109">
        <v>35.630000000000003</v>
      </c>
      <c r="G305" s="59">
        <v>151</v>
      </c>
      <c r="H305" s="130"/>
    </row>
    <row r="306" spans="1:8" ht="15.75" x14ac:dyDescent="0.25">
      <c r="A306" s="75" t="s">
        <v>139</v>
      </c>
      <c r="B306" s="11" t="s">
        <v>462</v>
      </c>
      <c r="C306" s="22" t="s">
        <v>31</v>
      </c>
      <c r="D306" s="1" t="s">
        <v>75</v>
      </c>
      <c r="E306" s="20">
        <v>2011</v>
      </c>
      <c r="F306" s="111">
        <v>37.700000000000003</v>
      </c>
      <c r="G306" s="112">
        <v>130</v>
      </c>
      <c r="H306" s="128"/>
    </row>
    <row r="307" spans="1:8" ht="15.75" x14ac:dyDescent="0.25">
      <c r="A307" s="69" t="s">
        <v>115</v>
      </c>
      <c r="B307" s="11" t="s">
        <v>347</v>
      </c>
      <c r="C307" s="8" t="s">
        <v>10</v>
      </c>
      <c r="D307" s="1" t="s">
        <v>75</v>
      </c>
      <c r="E307" s="24">
        <v>2010</v>
      </c>
      <c r="F307" s="109">
        <v>24.2</v>
      </c>
      <c r="G307" s="112">
        <v>67</v>
      </c>
      <c r="H307" s="128"/>
    </row>
    <row r="308" spans="1:8" ht="15.75" x14ac:dyDescent="0.25">
      <c r="A308" s="71" t="s">
        <v>104</v>
      </c>
      <c r="B308" s="11" t="s">
        <v>545</v>
      </c>
      <c r="C308" s="12" t="s">
        <v>61</v>
      </c>
      <c r="D308" s="1" t="s">
        <v>72</v>
      </c>
      <c r="E308" s="20">
        <f>E307</f>
        <v>2010</v>
      </c>
      <c r="F308" s="111">
        <v>8.68</v>
      </c>
      <c r="G308" s="110">
        <v>41</v>
      </c>
      <c r="H308" s="131"/>
    </row>
    <row r="309" spans="1:8" ht="15.75" x14ac:dyDescent="0.25">
      <c r="A309" s="67" t="s">
        <v>120</v>
      </c>
      <c r="B309" s="11" t="s">
        <v>348</v>
      </c>
      <c r="C309" s="1" t="s">
        <v>40</v>
      </c>
      <c r="D309" s="1" t="s">
        <v>75</v>
      </c>
      <c r="E309" s="20">
        <f>E308</f>
        <v>2010</v>
      </c>
      <c r="F309" s="111">
        <v>30.6</v>
      </c>
      <c r="G309" s="110">
        <v>111.72</v>
      </c>
      <c r="H309" s="131"/>
    </row>
    <row r="310" spans="1:8" ht="15.75" x14ac:dyDescent="0.25">
      <c r="A310" s="70" t="s">
        <v>110</v>
      </c>
      <c r="B310" s="11" t="s">
        <v>349</v>
      </c>
      <c r="C310" s="11" t="s">
        <v>63</v>
      </c>
      <c r="D310" s="1" t="s">
        <v>75</v>
      </c>
      <c r="E310" s="21">
        <v>41068</v>
      </c>
      <c r="F310" s="111">
        <v>40.15</v>
      </c>
      <c r="G310" s="58">
        <v>248</v>
      </c>
      <c r="H310" s="129"/>
    </row>
    <row r="311" spans="1:8" ht="15.75" x14ac:dyDescent="0.25">
      <c r="A311" s="75" t="s">
        <v>114</v>
      </c>
      <c r="B311" s="11" t="s">
        <v>350</v>
      </c>
      <c r="C311" s="22" t="s">
        <v>54</v>
      </c>
      <c r="D311" s="1" t="s">
        <v>75</v>
      </c>
      <c r="E311" s="21">
        <v>41591</v>
      </c>
      <c r="F311" s="111">
        <v>42</v>
      </c>
      <c r="G311" s="58">
        <v>146</v>
      </c>
      <c r="H311" s="129"/>
    </row>
    <row r="312" spans="1:8" ht="15.75" x14ac:dyDescent="0.25">
      <c r="A312" s="69" t="s">
        <v>113</v>
      </c>
      <c r="B312" s="11" t="s">
        <v>351</v>
      </c>
      <c r="C312" s="8" t="s">
        <v>64</v>
      </c>
      <c r="D312" s="1" t="s">
        <v>75</v>
      </c>
      <c r="E312" s="21">
        <v>41571</v>
      </c>
      <c r="F312" s="111">
        <v>12.9</v>
      </c>
      <c r="G312" s="58">
        <v>39.61</v>
      </c>
      <c r="H312" s="129"/>
    </row>
    <row r="313" spans="1:8" ht="15.75" x14ac:dyDescent="0.25">
      <c r="A313" s="67" t="s">
        <v>112</v>
      </c>
      <c r="B313" s="11" t="s">
        <v>352</v>
      </c>
      <c r="C313" s="1" t="s">
        <v>6</v>
      </c>
      <c r="D313" s="1" t="s">
        <v>75</v>
      </c>
      <c r="E313" s="21">
        <v>41310</v>
      </c>
      <c r="F313" s="111">
        <v>9.0299999999999994</v>
      </c>
      <c r="G313" s="58">
        <v>31</v>
      </c>
      <c r="H313" s="129"/>
    </row>
    <row r="314" spans="1:8" ht="15.75" x14ac:dyDescent="0.25">
      <c r="A314" s="71" t="s">
        <v>96</v>
      </c>
      <c r="B314" s="11" t="s">
        <v>353</v>
      </c>
      <c r="C314" s="12" t="s">
        <v>49</v>
      </c>
      <c r="D314" s="1" t="s">
        <v>75</v>
      </c>
      <c r="E314" s="26">
        <v>2011</v>
      </c>
      <c r="F314" s="23">
        <v>47.7</v>
      </c>
      <c r="G314" s="59">
        <v>224</v>
      </c>
      <c r="H314" s="130"/>
    </row>
    <row r="315" spans="1:8" ht="15.75" x14ac:dyDescent="0.25">
      <c r="A315" s="67" t="s">
        <v>86</v>
      </c>
      <c r="B315" s="11" t="s">
        <v>354</v>
      </c>
      <c r="C315" s="1" t="s">
        <v>20</v>
      </c>
      <c r="D315" s="1" t="s">
        <v>75</v>
      </c>
      <c r="E315" s="25">
        <v>41522</v>
      </c>
      <c r="F315" s="23">
        <v>1.9</v>
      </c>
      <c r="G315" s="59">
        <v>8.08</v>
      </c>
      <c r="H315" s="130"/>
    </row>
    <row r="316" spans="1:8" ht="15.75" x14ac:dyDescent="0.25">
      <c r="A316" s="75" t="s">
        <v>139</v>
      </c>
      <c r="B316" s="11" t="s">
        <v>355</v>
      </c>
      <c r="C316" s="22" t="s">
        <v>31</v>
      </c>
      <c r="D316" s="1" t="s">
        <v>75</v>
      </c>
      <c r="E316" s="26">
        <v>2011</v>
      </c>
      <c r="F316" s="23">
        <v>26.579000000000001</v>
      </c>
      <c r="G316" s="59">
        <v>85</v>
      </c>
      <c r="H316" s="130"/>
    </row>
    <row r="317" spans="1:8" ht="15.75" x14ac:dyDescent="0.25">
      <c r="A317" s="69" t="s">
        <v>117</v>
      </c>
      <c r="B317" s="11" t="s">
        <v>356</v>
      </c>
      <c r="C317" s="8" t="s">
        <v>28</v>
      </c>
      <c r="D317" s="1" t="s">
        <v>75</v>
      </c>
      <c r="E317" s="26">
        <v>2013</v>
      </c>
      <c r="F317" s="23">
        <v>36.380000000000003</v>
      </c>
      <c r="G317" s="59">
        <v>83.83</v>
      </c>
      <c r="H317" s="130"/>
    </row>
    <row r="318" spans="1:8" ht="15.75" x14ac:dyDescent="0.25">
      <c r="A318" s="71" t="s">
        <v>96</v>
      </c>
      <c r="B318" s="11" t="s">
        <v>463</v>
      </c>
      <c r="C318" s="12" t="s">
        <v>49</v>
      </c>
      <c r="D318" s="1" t="s">
        <v>75</v>
      </c>
      <c r="E318" s="20">
        <v>2004</v>
      </c>
      <c r="F318" s="111">
        <v>23</v>
      </c>
      <c r="G318" s="112">
        <v>93.2</v>
      </c>
      <c r="H318" s="128"/>
    </row>
    <row r="319" spans="1:8" ht="15.75" x14ac:dyDescent="0.25">
      <c r="A319" s="67" t="s">
        <v>135</v>
      </c>
      <c r="B319" s="11" t="s">
        <v>357</v>
      </c>
      <c r="C319" s="1" t="s">
        <v>57</v>
      </c>
      <c r="D319" s="1" t="s">
        <v>75</v>
      </c>
      <c r="E319" s="20">
        <v>2000</v>
      </c>
      <c r="F319" s="111">
        <v>9.3000000000000007</v>
      </c>
      <c r="G319" s="112">
        <v>55</v>
      </c>
      <c r="H319" s="128"/>
    </row>
    <row r="320" spans="1:8" ht="15.75" x14ac:dyDescent="0.25">
      <c r="A320" s="69" t="s">
        <v>115</v>
      </c>
      <c r="B320" s="22" t="s">
        <v>358</v>
      </c>
      <c r="C320" s="8" t="s">
        <v>10</v>
      </c>
      <c r="D320" s="1" t="s">
        <v>75</v>
      </c>
      <c r="E320" s="21">
        <v>41015</v>
      </c>
      <c r="F320" s="109">
        <v>26.6</v>
      </c>
      <c r="G320" s="110">
        <v>64.319999999999993</v>
      </c>
      <c r="H320" s="131"/>
    </row>
    <row r="321" spans="1:8" ht="15.75" x14ac:dyDescent="0.25">
      <c r="A321" s="70" t="s">
        <v>89</v>
      </c>
      <c r="B321" s="11" t="s">
        <v>464</v>
      </c>
      <c r="C321" s="11" t="s">
        <v>19</v>
      </c>
      <c r="D321" s="1" t="s">
        <v>75</v>
      </c>
      <c r="E321" s="20">
        <v>2012</v>
      </c>
      <c r="F321" s="111">
        <v>8.68</v>
      </c>
      <c r="G321" s="110">
        <v>34</v>
      </c>
      <c r="H321" s="131"/>
    </row>
    <row r="322" spans="1:8" ht="15.75" x14ac:dyDescent="0.25">
      <c r="A322" s="67" t="s">
        <v>129</v>
      </c>
      <c r="B322" s="11" t="s">
        <v>465</v>
      </c>
      <c r="C322" s="1" t="s">
        <v>5</v>
      </c>
      <c r="D322" s="1" t="s">
        <v>75</v>
      </c>
      <c r="E322" s="20">
        <v>2009</v>
      </c>
      <c r="F322" s="111">
        <v>30.1</v>
      </c>
      <c r="G322" s="112">
        <v>137</v>
      </c>
      <c r="H322" s="128"/>
    </row>
    <row r="323" spans="1:8" ht="15.75" x14ac:dyDescent="0.25">
      <c r="A323" s="75" t="s">
        <v>111</v>
      </c>
      <c r="B323" s="11" t="s">
        <v>359</v>
      </c>
      <c r="C323" s="22" t="s">
        <v>22</v>
      </c>
      <c r="D323" s="1" t="s">
        <v>75</v>
      </c>
      <c r="E323" s="21">
        <v>41319</v>
      </c>
      <c r="F323" s="111">
        <v>18.68</v>
      </c>
      <c r="G323" s="112">
        <v>150</v>
      </c>
      <c r="H323" s="128"/>
    </row>
    <row r="324" spans="1:8" ht="15.75" x14ac:dyDescent="0.25">
      <c r="A324" s="71" t="s">
        <v>104</v>
      </c>
      <c r="B324" s="22" t="s">
        <v>360</v>
      </c>
      <c r="C324" s="12" t="s">
        <v>61</v>
      </c>
      <c r="D324" s="1" t="s">
        <v>75</v>
      </c>
      <c r="E324" s="21">
        <v>40991</v>
      </c>
      <c r="F324" s="111">
        <v>6.56</v>
      </c>
      <c r="G324" s="112">
        <v>23.36</v>
      </c>
      <c r="H324" s="128"/>
    </row>
    <row r="325" spans="1:8" ht="15.75" x14ac:dyDescent="0.25">
      <c r="A325" s="68" t="s">
        <v>98</v>
      </c>
      <c r="B325" s="11" t="s">
        <v>361</v>
      </c>
      <c r="C325" s="5" t="s">
        <v>37</v>
      </c>
      <c r="D325" s="1" t="s">
        <v>75</v>
      </c>
      <c r="E325" s="20">
        <v>2011</v>
      </c>
      <c r="F325" s="111">
        <v>2.66</v>
      </c>
      <c r="G325" s="112">
        <v>9.98</v>
      </c>
      <c r="H325" s="128"/>
    </row>
    <row r="326" spans="1:8" ht="15.75" x14ac:dyDescent="0.25">
      <c r="A326" s="71" t="s">
        <v>96</v>
      </c>
      <c r="B326" s="11" t="s">
        <v>362</v>
      </c>
      <c r="C326" s="12" t="s">
        <v>49</v>
      </c>
      <c r="D326" s="1" t="s">
        <v>75</v>
      </c>
      <c r="E326" s="21">
        <v>41306</v>
      </c>
      <c r="F326" s="111">
        <v>1.958</v>
      </c>
      <c r="G326" s="112">
        <v>7.1</v>
      </c>
      <c r="H326" s="128"/>
    </row>
    <row r="327" spans="1:8" ht="15.75" x14ac:dyDescent="0.25">
      <c r="A327" s="70" t="s">
        <v>110</v>
      </c>
      <c r="B327" s="19" t="s">
        <v>546</v>
      </c>
      <c r="C327" s="11" t="s">
        <v>63</v>
      </c>
      <c r="D327" s="1" t="s">
        <v>75</v>
      </c>
      <c r="E327" s="28" t="s">
        <v>1</v>
      </c>
      <c r="F327" s="27">
        <v>64.28</v>
      </c>
      <c r="G327" s="108">
        <v>450</v>
      </c>
      <c r="H327" s="127"/>
    </row>
    <row r="328" spans="1:8" ht="15.75" x14ac:dyDescent="0.25">
      <c r="A328" s="67" t="s">
        <v>99</v>
      </c>
      <c r="B328" s="11" t="s">
        <v>547</v>
      </c>
      <c r="C328" s="1" t="s">
        <v>55</v>
      </c>
      <c r="D328" s="1" t="s">
        <v>75</v>
      </c>
      <c r="E328" s="20" t="str">
        <f>E327</f>
        <v>2009-2010</v>
      </c>
      <c r="F328" s="111">
        <v>7.35</v>
      </c>
      <c r="G328" s="110">
        <v>25</v>
      </c>
      <c r="H328" s="131"/>
    </row>
    <row r="329" spans="1:8" ht="15.75" x14ac:dyDescent="0.25">
      <c r="A329" s="70" t="s">
        <v>123</v>
      </c>
      <c r="B329" s="11" t="s">
        <v>363</v>
      </c>
      <c r="C329" s="11" t="s">
        <v>17</v>
      </c>
      <c r="D329" s="1" t="s">
        <v>75</v>
      </c>
      <c r="E329" s="21">
        <v>41472</v>
      </c>
      <c r="F329" s="111">
        <v>18.725000000000001</v>
      </c>
      <c r="G329" s="110">
        <v>55</v>
      </c>
      <c r="H329" s="131"/>
    </row>
    <row r="330" spans="1:8" ht="15.75" x14ac:dyDescent="0.25">
      <c r="A330" s="67" t="s">
        <v>121</v>
      </c>
      <c r="B330" s="11" t="s">
        <v>364</v>
      </c>
      <c r="C330" s="1" t="s">
        <v>47</v>
      </c>
      <c r="D330" s="1" t="s">
        <v>75</v>
      </c>
      <c r="E330" s="21">
        <v>40963</v>
      </c>
      <c r="F330" s="23">
        <v>0.74</v>
      </c>
      <c r="G330" s="59">
        <v>4</v>
      </c>
      <c r="H330" s="130"/>
    </row>
    <row r="331" spans="1:8" ht="15.75" x14ac:dyDescent="0.25">
      <c r="A331" s="71" t="s">
        <v>104</v>
      </c>
      <c r="B331" s="11" t="s">
        <v>365</v>
      </c>
      <c r="C331" s="12" t="s">
        <v>61</v>
      </c>
      <c r="D331" s="1" t="s">
        <v>75</v>
      </c>
      <c r="E331" s="20">
        <v>2011</v>
      </c>
      <c r="F331" s="23">
        <v>25.49</v>
      </c>
      <c r="G331" s="59">
        <v>101.49</v>
      </c>
      <c r="H331" s="130"/>
    </row>
    <row r="332" spans="1:8" ht="15.75" x14ac:dyDescent="0.25">
      <c r="A332" s="68" t="s">
        <v>98</v>
      </c>
      <c r="B332" s="11" t="s">
        <v>466</v>
      </c>
      <c r="C332" s="5" t="s">
        <v>37</v>
      </c>
      <c r="D332" s="1" t="s">
        <v>72</v>
      </c>
      <c r="E332" s="21">
        <v>41537</v>
      </c>
      <c r="F332" s="23">
        <v>102.54</v>
      </c>
      <c r="G332" s="59">
        <v>282</v>
      </c>
      <c r="H332" s="130"/>
    </row>
    <row r="333" spans="1:8" ht="15.75" x14ac:dyDescent="0.25">
      <c r="A333" s="70" t="s">
        <v>102</v>
      </c>
      <c r="B333" s="11" t="s">
        <v>366</v>
      </c>
      <c r="C333" s="11" t="s">
        <v>52</v>
      </c>
      <c r="D333" s="1" t="s">
        <v>75</v>
      </c>
      <c r="E333" s="20">
        <v>2011</v>
      </c>
      <c r="F333" s="23">
        <v>6</v>
      </c>
      <c r="G333" s="59">
        <v>23</v>
      </c>
      <c r="H333" s="130"/>
    </row>
    <row r="334" spans="1:8" ht="15.75" x14ac:dyDescent="0.25">
      <c r="A334" s="71" t="s">
        <v>96</v>
      </c>
      <c r="B334" s="11" t="s">
        <v>367</v>
      </c>
      <c r="C334" s="12" t="s">
        <v>49</v>
      </c>
      <c r="D334" s="1" t="s">
        <v>75</v>
      </c>
      <c r="E334" s="20">
        <v>2011</v>
      </c>
      <c r="F334" s="23">
        <v>8.06</v>
      </c>
      <c r="G334" s="59">
        <v>42.6</v>
      </c>
      <c r="H334" s="130"/>
    </row>
    <row r="335" spans="1:8" ht="15.75" x14ac:dyDescent="0.25">
      <c r="A335" s="67" t="s">
        <v>125</v>
      </c>
      <c r="B335" s="11" t="s">
        <v>368</v>
      </c>
      <c r="C335" s="1" t="s">
        <v>66</v>
      </c>
      <c r="D335" s="1" t="s">
        <v>75</v>
      </c>
      <c r="E335" s="20">
        <f>E334</f>
        <v>2011</v>
      </c>
      <c r="F335" s="111">
        <v>3.31</v>
      </c>
      <c r="G335" s="110">
        <v>10.199999999999999</v>
      </c>
      <c r="H335" s="131"/>
    </row>
    <row r="336" spans="1:8" ht="15.75" x14ac:dyDescent="0.25">
      <c r="A336" s="67" t="s">
        <v>99</v>
      </c>
      <c r="B336" s="11" t="s">
        <v>369</v>
      </c>
      <c r="C336" s="1" t="s">
        <v>55</v>
      </c>
      <c r="D336" s="1" t="s">
        <v>75</v>
      </c>
      <c r="E336" s="20">
        <v>2009</v>
      </c>
      <c r="F336" s="111">
        <v>4.9000000000000004</v>
      </c>
      <c r="G336" s="112">
        <v>17</v>
      </c>
      <c r="H336" s="128"/>
    </row>
    <row r="337" spans="1:8" ht="15.75" x14ac:dyDescent="0.25">
      <c r="A337" s="69" t="s">
        <v>113</v>
      </c>
      <c r="B337" s="11" t="s">
        <v>370</v>
      </c>
      <c r="C337" s="8" t="s">
        <v>64</v>
      </c>
      <c r="D337" s="1" t="s">
        <v>75</v>
      </c>
      <c r="E337" s="20">
        <v>2010</v>
      </c>
      <c r="F337" s="111">
        <v>20</v>
      </c>
      <c r="G337" s="112">
        <v>108.06</v>
      </c>
      <c r="H337" s="128"/>
    </row>
    <row r="338" spans="1:8" ht="15.75" x14ac:dyDescent="0.25">
      <c r="A338" s="69" t="s">
        <v>113</v>
      </c>
      <c r="B338" s="11" t="s">
        <v>548</v>
      </c>
      <c r="C338" s="8" t="s">
        <v>64</v>
      </c>
      <c r="D338" s="1" t="s">
        <v>75</v>
      </c>
      <c r="E338" s="20">
        <v>2010</v>
      </c>
      <c r="F338" s="111">
        <v>21.58</v>
      </c>
      <c r="G338" s="112">
        <v>95.3</v>
      </c>
      <c r="H338" s="128"/>
    </row>
    <row r="339" spans="1:8" ht="15.75" x14ac:dyDescent="0.25">
      <c r="A339" s="67" t="s">
        <v>99</v>
      </c>
      <c r="B339" s="11" t="s">
        <v>371</v>
      </c>
      <c r="C339" s="1" t="s">
        <v>55</v>
      </c>
      <c r="D339" s="1" t="s">
        <v>75</v>
      </c>
      <c r="E339" s="20">
        <v>2011</v>
      </c>
      <c r="F339" s="23">
        <v>15.2</v>
      </c>
      <c r="G339" s="59">
        <v>48.3</v>
      </c>
      <c r="H339" s="130"/>
    </row>
    <row r="340" spans="1:8" ht="15.75" x14ac:dyDescent="0.25">
      <c r="A340" s="67" t="s">
        <v>120</v>
      </c>
      <c r="B340" s="11" t="s">
        <v>467</v>
      </c>
      <c r="C340" s="1" t="s">
        <v>40</v>
      </c>
      <c r="D340" s="1" t="s">
        <v>72</v>
      </c>
      <c r="E340" s="20">
        <v>2011</v>
      </c>
      <c r="F340" s="111">
        <v>33.11</v>
      </c>
      <c r="G340" s="112">
        <v>140</v>
      </c>
      <c r="H340" s="128"/>
    </row>
    <row r="341" spans="1:8" ht="15.75" x14ac:dyDescent="0.25">
      <c r="A341" s="72" t="s">
        <v>140</v>
      </c>
      <c r="B341" s="11" t="s">
        <v>468</v>
      </c>
      <c r="C341" s="14" t="s">
        <v>56</v>
      </c>
      <c r="D341" s="1" t="s">
        <v>75</v>
      </c>
      <c r="E341" s="20">
        <v>2010</v>
      </c>
      <c r="F341" s="111">
        <v>8.8000000000000007</v>
      </c>
      <c r="G341" s="112">
        <v>31.97</v>
      </c>
      <c r="H341" s="128"/>
    </row>
    <row r="342" spans="1:8" ht="15.75" x14ac:dyDescent="0.25">
      <c r="A342" s="67" t="s">
        <v>120</v>
      </c>
      <c r="B342" s="11" t="s">
        <v>372</v>
      </c>
      <c r="C342" s="1" t="s">
        <v>40</v>
      </c>
      <c r="D342" s="1" t="s">
        <v>75</v>
      </c>
      <c r="E342" s="21">
        <v>41481</v>
      </c>
      <c r="F342" s="111">
        <v>21.436</v>
      </c>
      <c r="G342" s="112">
        <v>67</v>
      </c>
      <c r="H342" s="128"/>
    </row>
    <row r="343" spans="1:8" ht="15.75" x14ac:dyDescent="0.25">
      <c r="A343" s="74" t="s">
        <v>122</v>
      </c>
      <c r="B343" s="11" t="s">
        <v>549</v>
      </c>
      <c r="C343" s="19" t="s">
        <v>26</v>
      </c>
      <c r="D343" s="1" t="s">
        <v>72</v>
      </c>
      <c r="E343" s="20">
        <v>2008</v>
      </c>
      <c r="F343" s="111">
        <v>56.84</v>
      </c>
      <c r="G343" s="112">
        <v>161</v>
      </c>
      <c r="H343" s="128"/>
    </row>
    <row r="344" spans="1:8" ht="15.75" x14ac:dyDescent="0.25">
      <c r="A344" s="69" t="s">
        <v>117</v>
      </c>
      <c r="B344" s="22" t="s">
        <v>373</v>
      </c>
      <c r="C344" s="8" t="s">
        <v>28</v>
      </c>
      <c r="D344" s="1" t="s">
        <v>75</v>
      </c>
      <c r="E344" s="21">
        <v>41005</v>
      </c>
      <c r="F344" s="109">
        <v>18</v>
      </c>
      <c r="G344" s="110">
        <v>60</v>
      </c>
      <c r="H344" s="131"/>
    </row>
    <row r="345" spans="1:8" ht="15.75" x14ac:dyDescent="0.25">
      <c r="A345" s="67" t="s">
        <v>129</v>
      </c>
      <c r="B345" s="22" t="s">
        <v>469</v>
      </c>
      <c r="C345" s="1" t="s">
        <v>5</v>
      </c>
      <c r="D345" s="1" t="s">
        <v>72</v>
      </c>
      <c r="E345" s="20">
        <v>2013</v>
      </c>
      <c r="F345" s="109">
        <v>27.234000000000002</v>
      </c>
      <c r="G345" s="110">
        <v>80</v>
      </c>
      <c r="H345" s="131"/>
    </row>
    <row r="346" spans="1:8" ht="15.75" x14ac:dyDescent="0.25">
      <c r="A346" s="70" t="s">
        <v>80</v>
      </c>
      <c r="B346" s="11" t="s">
        <v>374</v>
      </c>
      <c r="C346" s="11" t="s">
        <v>11</v>
      </c>
      <c r="D346" s="1" t="s">
        <v>75</v>
      </c>
      <c r="E346" s="20">
        <v>2009</v>
      </c>
      <c r="F346" s="111">
        <v>5.85</v>
      </c>
      <c r="G346" s="112">
        <v>23.2</v>
      </c>
      <c r="H346" s="128"/>
    </row>
    <row r="347" spans="1:8" ht="15.75" x14ac:dyDescent="0.25">
      <c r="A347" s="75" t="s">
        <v>139</v>
      </c>
      <c r="B347" s="11" t="s">
        <v>375</v>
      </c>
      <c r="C347" s="22" t="s">
        <v>31</v>
      </c>
      <c r="D347" s="1" t="s">
        <v>75</v>
      </c>
      <c r="E347" s="21">
        <v>41229</v>
      </c>
      <c r="F347" s="111">
        <v>8.9</v>
      </c>
      <c r="G347" s="112">
        <v>26</v>
      </c>
      <c r="H347" s="128"/>
    </row>
    <row r="348" spans="1:8" ht="15.75" x14ac:dyDescent="0.25">
      <c r="A348" s="70" t="s">
        <v>142</v>
      </c>
      <c r="B348" s="11" t="s">
        <v>550</v>
      </c>
      <c r="C348" s="11" t="s">
        <v>9</v>
      </c>
      <c r="D348" s="1" t="s">
        <v>75</v>
      </c>
      <c r="E348" s="20">
        <v>2011</v>
      </c>
      <c r="F348" s="111">
        <v>6.13</v>
      </c>
      <c r="G348" s="110">
        <v>22.32</v>
      </c>
      <c r="H348" s="131"/>
    </row>
    <row r="349" spans="1:8" ht="15.75" x14ac:dyDescent="0.25">
      <c r="A349" s="72" t="s">
        <v>93</v>
      </c>
      <c r="B349" s="11" t="s">
        <v>470</v>
      </c>
      <c r="C349" s="14" t="s">
        <v>8</v>
      </c>
      <c r="D349" s="1" t="s">
        <v>75</v>
      </c>
      <c r="E349" s="20">
        <v>2006</v>
      </c>
      <c r="F349" s="111">
        <v>15.4</v>
      </c>
      <c r="G349" s="112">
        <v>53.061</v>
      </c>
      <c r="H349" s="128"/>
    </row>
    <row r="350" spans="1:8" ht="15.75" x14ac:dyDescent="0.25">
      <c r="A350" s="69" t="s">
        <v>113</v>
      </c>
      <c r="B350" s="11" t="s">
        <v>376</v>
      </c>
      <c r="C350" s="8" t="s">
        <v>64</v>
      </c>
      <c r="D350" s="1" t="s">
        <v>75</v>
      </c>
      <c r="E350" s="21">
        <v>41457</v>
      </c>
      <c r="F350" s="111">
        <v>8.5660000000000007</v>
      </c>
      <c r="G350" s="112">
        <v>25</v>
      </c>
      <c r="H350" s="128"/>
    </row>
    <row r="351" spans="1:8" ht="15.75" x14ac:dyDescent="0.25">
      <c r="A351" s="67" t="s">
        <v>86</v>
      </c>
      <c r="B351" s="22" t="s">
        <v>377</v>
      </c>
      <c r="C351" s="1" t="s">
        <v>20</v>
      </c>
      <c r="D351" s="1" t="s">
        <v>75</v>
      </c>
      <c r="E351" s="21">
        <v>40984</v>
      </c>
      <c r="F351" s="111">
        <v>6.9240000000000004</v>
      </c>
      <c r="G351" s="112">
        <v>20</v>
      </c>
      <c r="H351" s="128"/>
    </row>
    <row r="352" spans="1:8" ht="15.75" x14ac:dyDescent="0.25">
      <c r="A352" s="68" t="s">
        <v>98</v>
      </c>
      <c r="B352" s="11" t="s">
        <v>514</v>
      </c>
      <c r="C352" s="5" t="s">
        <v>37</v>
      </c>
      <c r="D352" s="1" t="s">
        <v>75</v>
      </c>
      <c r="E352" s="20">
        <v>2004</v>
      </c>
      <c r="F352" s="111">
        <v>4.5</v>
      </c>
      <c r="G352" s="112">
        <v>18.88</v>
      </c>
      <c r="H352" s="128"/>
    </row>
    <row r="353" spans="1:8" ht="15.75" x14ac:dyDescent="0.25">
      <c r="A353" s="75" t="s">
        <v>139</v>
      </c>
      <c r="B353" s="11" t="s">
        <v>378</v>
      </c>
      <c r="C353" s="22" t="s">
        <v>31</v>
      </c>
      <c r="D353" s="1" t="s">
        <v>75</v>
      </c>
      <c r="E353" s="20">
        <v>2010</v>
      </c>
      <c r="F353" s="111">
        <v>21.6</v>
      </c>
      <c r="G353" s="110">
        <v>70</v>
      </c>
      <c r="H353" s="131"/>
    </row>
    <row r="354" spans="1:8" ht="15.75" x14ac:dyDescent="0.25">
      <c r="A354" s="67" t="s">
        <v>129</v>
      </c>
      <c r="B354" s="11" t="s">
        <v>379</v>
      </c>
      <c r="C354" s="1" t="s">
        <v>5</v>
      </c>
      <c r="D354" s="1" t="s">
        <v>75</v>
      </c>
      <c r="E354" s="21">
        <v>41201</v>
      </c>
      <c r="F354" s="111">
        <v>6.7439999999999998</v>
      </c>
      <c r="G354" s="110">
        <v>18</v>
      </c>
      <c r="H354" s="131"/>
    </row>
    <row r="355" spans="1:8" ht="15.75" x14ac:dyDescent="0.25">
      <c r="A355" s="68" t="s">
        <v>98</v>
      </c>
      <c r="B355" s="11" t="s">
        <v>471</v>
      </c>
      <c r="C355" s="5" t="s">
        <v>37</v>
      </c>
      <c r="D355" s="1" t="s">
        <v>75</v>
      </c>
      <c r="E355" s="20">
        <v>2007</v>
      </c>
      <c r="F355" s="111">
        <v>12.3</v>
      </c>
      <c r="G355" s="112">
        <v>48.292999999999999</v>
      </c>
      <c r="H355" s="128"/>
    </row>
    <row r="356" spans="1:8" ht="15.75" x14ac:dyDescent="0.25">
      <c r="A356" s="67" t="s">
        <v>112</v>
      </c>
      <c r="B356" s="19" t="s">
        <v>380</v>
      </c>
      <c r="C356" s="1" t="s">
        <v>6</v>
      </c>
      <c r="D356" s="1" t="s">
        <v>75</v>
      </c>
      <c r="E356" s="28">
        <v>2009</v>
      </c>
      <c r="F356" s="27">
        <v>1.98</v>
      </c>
      <c r="G356" s="108">
        <v>10.08</v>
      </c>
      <c r="H356" s="127"/>
    </row>
    <row r="357" spans="1:8" ht="15.75" x14ac:dyDescent="0.25">
      <c r="A357" s="67" t="s">
        <v>124</v>
      </c>
      <c r="B357" s="19" t="s">
        <v>472</v>
      </c>
      <c r="C357" s="1" t="s">
        <v>65</v>
      </c>
      <c r="D357" s="1" t="s">
        <v>72</v>
      </c>
      <c r="E357" s="28">
        <v>2013</v>
      </c>
      <c r="F357" s="27">
        <v>128.22</v>
      </c>
      <c r="G357" s="108">
        <v>364.25200000000001</v>
      </c>
      <c r="H357" s="127"/>
    </row>
    <row r="358" spans="1:8" ht="15.75" x14ac:dyDescent="0.25">
      <c r="A358" s="68" t="s">
        <v>98</v>
      </c>
      <c r="B358" s="11" t="s">
        <v>381</v>
      </c>
      <c r="C358" s="5" t="s">
        <v>37</v>
      </c>
      <c r="D358" s="1" t="s">
        <v>75</v>
      </c>
      <c r="E358" s="20">
        <v>2008</v>
      </c>
      <c r="F358" s="111">
        <v>0.82</v>
      </c>
      <c r="G358" s="112">
        <v>5.28</v>
      </c>
      <c r="H358" s="128"/>
    </row>
    <row r="359" spans="1:8" ht="15.75" x14ac:dyDescent="0.25">
      <c r="A359" s="75" t="s">
        <v>105</v>
      </c>
      <c r="B359" s="11" t="s">
        <v>382</v>
      </c>
      <c r="C359" s="22" t="s">
        <v>67</v>
      </c>
      <c r="D359" s="1" t="s">
        <v>75</v>
      </c>
      <c r="E359" s="26">
        <v>2011</v>
      </c>
      <c r="F359" s="23">
        <v>33</v>
      </c>
      <c r="G359" s="59">
        <v>141</v>
      </c>
      <c r="H359" s="130"/>
    </row>
    <row r="360" spans="1:8" ht="15.75" x14ac:dyDescent="0.25">
      <c r="A360" s="68" t="s">
        <v>98</v>
      </c>
      <c r="B360" s="11" t="s">
        <v>473</v>
      </c>
      <c r="C360" s="5" t="s">
        <v>37</v>
      </c>
      <c r="D360" s="1" t="s">
        <v>75</v>
      </c>
      <c r="E360" s="25">
        <v>41121</v>
      </c>
      <c r="F360" s="111">
        <v>1.57</v>
      </c>
      <c r="G360" s="112">
        <v>10.86</v>
      </c>
      <c r="H360" s="128"/>
    </row>
    <row r="361" spans="1:8" ht="15.75" x14ac:dyDescent="0.25">
      <c r="A361" s="75" t="s">
        <v>139</v>
      </c>
      <c r="B361" s="22" t="s">
        <v>383</v>
      </c>
      <c r="C361" s="22" t="s">
        <v>31</v>
      </c>
      <c r="D361" s="1" t="s">
        <v>75</v>
      </c>
      <c r="E361" s="26">
        <v>2012</v>
      </c>
      <c r="F361" s="23">
        <v>8.73</v>
      </c>
      <c r="G361" s="59">
        <v>30</v>
      </c>
      <c r="H361" s="130"/>
    </row>
    <row r="362" spans="1:8" ht="15.75" x14ac:dyDescent="0.25">
      <c r="A362" s="72" t="s">
        <v>93</v>
      </c>
      <c r="B362" s="11" t="s">
        <v>384</v>
      </c>
      <c r="C362" s="14" t="s">
        <v>8</v>
      </c>
      <c r="D362" s="1" t="s">
        <v>75</v>
      </c>
      <c r="E362" s="20">
        <v>2008</v>
      </c>
      <c r="F362" s="111">
        <v>7.5</v>
      </c>
      <c r="G362" s="112">
        <v>35</v>
      </c>
      <c r="H362" s="128"/>
    </row>
    <row r="363" spans="1:8" ht="15.75" x14ac:dyDescent="0.25">
      <c r="A363" s="72" t="s">
        <v>93</v>
      </c>
      <c r="B363" s="11" t="s">
        <v>385</v>
      </c>
      <c r="C363" s="14" t="s">
        <v>8</v>
      </c>
      <c r="D363" s="1" t="s">
        <v>72</v>
      </c>
      <c r="E363" s="20">
        <v>2009</v>
      </c>
      <c r="F363" s="111">
        <v>4.76</v>
      </c>
      <c r="G363" s="112">
        <v>14.93</v>
      </c>
      <c r="H363" s="128"/>
    </row>
    <row r="364" spans="1:8" ht="15.75" x14ac:dyDescent="0.25">
      <c r="A364" s="69" t="s">
        <v>113</v>
      </c>
      <c r="B364" s="11" t="s">
        <v>551</v>
      </c>
      <c r="C364" s="8" t="s">
        <v>64</v>
      </c>
      <c r="D364" s="1" t="s">
        <v>75</v>
      </c>
      <c r="E364" s="21">
        <v>41477</v>
      </c>
      <c r="F364" s="111">
        <v>2.5</v>
      </c>
      <c r="G364" s="112">
        <v>11</v>
      </c>
      <c r="H364" s="128"/>
    </row>
    <row r="365" spans="1:8" ht="15.75" x14ac:dyDescent="0.25">
      <c r="A365" s="68" t="s">
        <v>98</v>
      </c>
      <c r="B365" s="44" t="s">
        <v>386</v>
      </c>
      <c r="C365" s="5" t="s">
        <v>37</v>
      </c>
      <c r="D365" s="1" t="s">
        <v>75</v>
      </c>
      <c r="E365" s="21">
        <v>41314</v>
      </c>
      <c r="F365" s="111">
        <v>14.834</v>
      </c>
      <c r="G365" s="64">
        <v>35</v>
      </c>
      <c r="H365" s="134"/>
    </row>
    <row r="366" spans="1:8" ht="15.75" x14ac:dyDescent="0.25">
      <c r="A366" s="70" t="s">
        <v>95</v>
      </c>
      <c r="B366" s="44" t="s">
        <v>387</v>
      </c>
      <c r="C366" s="11" t="s">
        <v>4</v>
      </c>
      <c r="D366" s="1" t="s">
        <v>75</v>
      </c>
      <c r="E366" s="21">
        <v>41331</v>
      </c>
      <c r="F366" s="111">
        <v>49.99</v>
      </c>
      <c r="G366" s="64">
        <v>208</v>
      </c>
      <c r="H366" s="134"/>
    </row>
    <row r="367" spans="1:8" ht="15.75" x14ac:dyDescent="0.25">
      <c r="A367" s="75" t="s">
        <v>139</v>
      </c>
      <c r="B367" s="11" t="s">
        <v>552</v>
      </c>
      <c r="C367" s="22" t="s">
        <v>31</v>
      </c>
      <c r="D367" s="1" t="s">
        <v>75</v>
      </c>
      <c r="E367" s="21">
        <v>41272</v>
      </c>
      <c r="F367" s="111">
        <v>21.24</v>
      </c>
      <c r="G367" s="112">
        <v>80</v>
      </c>
      <c r="H367" s="128"/>
    </row>
    <row r="368" spans="1:8" ht="15.75" x14ac:dyDescent="0.25">
      <c r="A368" s="70" t="s">
        <v>110</v>
      </c>
      <c r="B368" s="11" t="s">
        <v>474</v>
      </c>
      <c r="C368" s="11" t="s">
        <v>63</v>
      </c>
      <c r="D368" s="1" t="s">
        <v>72</v>
      </c>
      <c r="E368" s="21">
        <v>40921</v>
      </c>
      <c r="F368" s="23">
        <v>37.19</v>
      </c>
      <c r="G368" s="59">
        <v>100.8</v>
      </c>
      <c r="H368" s="130"/>
    </row>
    <row r="369" spans="1:8" ht="15.75" x14ac:dyDescent="0.25">
      <c r="A369" s="70" t="s">
        <v>102</v>
      </c>
      <c r="B369" s="11" t="s">
        <v>475</v>
      </c>
      <c r="C369" s="11" t="s">
        <v>52</v>
      </c>
      <c r="D369" s="1" t="s">
        <v>75</v>
      </c>
      <c r="E369" s="21">
        <v>41180</v>
      </c>
      <c r="F369" s="30">
        <v>8.44</v>
      </c>
      <c r="G369" s="63">
        <v>71</v>
      </c>
      <c r="H369" s="133"/>
    </row>
    <row r="370" spans="1:8" ht="15.75" x14ac:dyDescent="0.25">
      <c r="A370" s="69" t="s">
        <v>117</v>
      </c>
      <c r="B370" s="22" t="s">
        <v>553</v>
      </c>
      <c r="C370" s="8" t="s">
        <v>28</v>
      </c>
      <c r="D370" s="1" t="s">
        <v>75</v>
      </c>
      <c r="E370" s="21">
        <v>40999</v>
      </c>
      <c r="F370" s="23">
        <v>16.66</v>
      </c>
      <c r="G370" s="59">
        <v>49.23</v>
      </c>
      <c r="H370" s="130"/>
    </row>
    <row r="371" spans="1:8" ht="15.75" x14ac:dyDescent="0.25">
      <c r="A371" s="71" t="s">
        <v>104</v>
      </c>
      <c r="B371" s="11" t="s">
        <v>388</v>
      </c>
      <c r="C371" s="12" t="s">
        <v>61</v>
      </c>
      <c r="D371" s="1" t="s">
        <v>75</v>
      </c>
      <c r="E371" s="26">
        <v>2011</v>
      </c>
      <c r="F371" s="23">
        <v>1.605</v>
      </c>
      <c r="G371" s="59">
        <v>7.8609999999999998</v>
      </c>
      <c r="H371" s="130"/>
    </row>
    <row r="372" spans="1:8" ht="31.5" x14ac:dyDescent="0.25">
      <c r="A372" s="67" t="s">
        <v>86</v>
      </c>
      <c r="B372" s="11" t="s">
        <v>476</v>
      </c>
      <c r="C372" s="1" t="s">
        <v>20</v>
      </c>
      <c r="D372" s="22" t="s">
        <v>77</v>
      </c>
      <c r="E372" s="20">
        <f>E371</f>
        <v>2011</v>
      </c>
      <c r="F372" s="111">
        <v>100</v>
      </c>
      <c r="G372" s="110">
        <v>423</v>
      </c>
      <c r="H372" s="131"/>
    </row>
    <row r="373" spans="1:8" ht="31.5" x14ac:dyDescent="0.25">
      <c r="A373" s="75" t="s">
        <v>114</v>
      </c>
      <c r="B373" s="11" t="s">
        <v>554</v>
      </c>
      <c r="C373" s="22" t="s">
        <v>54</v>
      </c>
      <c r="D373" s="1" t="s">
        <v>75</v>
      </c>
      <c r="E373" s="20" t="s">
        <v>2</v>
      </c>
      <c r="F373" s="111">
        <v>42.25</v>
      </c>
      <c r="G373" s="65">
        <v>92</v>
      </c>
      <c r="H373" s="135"/>
    </row>
    <row r="374" spans="1:8" ht="15.75" x14ac:dyDescent="0.25">
      <c r="A374" s="67" t="s">
        <v>124</v>
      </c>
      <c r="B374" s="11" t="s">
        <v>477</v>
      </c>
      <c r="C374" s="1" t="s">
        <v>65</v>
      </c>
      <c r="D374" s="1" t="s">
        <v>72</v>
      </c>
      <c r="E374" s="20">
        <v>2009</v>
      </c>
      <c r="F374" s="111">
        <v>82</v>
      </c>
      <c r="G374" s="112">
        <v>322</v>
      </c>
      <c r="H374" s="128"/>
    </row>
    <row r="375" spans="1:8" ht="15.75" x14ac:dyDescent="0.25">
      <c r="A375" s="72" t="s">
        <v>140</v>
      </c>
      <c r="B375" s="11" t="s">
        <v>555</v>
      </c>
      <c r="C375" s="14" t="s">
        <v>56</v>
      </c>
      <c r="D375" s="1" t="s">
        <v>75</v>
      </c>
      <c r="E375" s="20">
        <f>E374</f>
        <v>2009</v>
      </c>
      <c r="F375" s="111">
        <v>62.15</v>
      </c>
      <c r="G375" s="110">
        <v>156</v>
      </c>
      <c r="H375" s="131"/>
    </row>
    <row r="376" spans="1:8" ht="15.75" x14ac:dyDescent="0.25">
      <c r="A376" s="72" t="s">
        <v>140</v>
      </c>
      <c r="B376" s="11" t="s">
        <v>556</v>
      </c>
      <c r="C376" s="14" t="s">
        <v>56</v>
      </c>
      <c r="D376" s="1" t="s">
        <v>75</v>
      </c>
      <c r="E376" s="21">
        <v>41541</v>
      </c>
      <c r="F376" s="111">
        <v>19.690000000000001</v>
      </c>
      <c r="G376" s="110">
        <v>100.646</v>
      </c>
      <c r="H376" s="131"/>
    </row>
    <row r="377" spans="1:8" ht="15.75" x14ac:dyDescent="0.25">
      <c r="A377" s="69" t="s">
        <v>113</v>
      </c>
      <c r="B377" s="11" t="s">
        <v>389</v>
      </c>
      <c r="C377" s="8" t="s">
        <v>64</v>
      </c>
      <c r="D377" s="1" t="s">
        <v>75</v>
      </c>
      <c r="E377" s="21">
        <v>41449</v>
      </c>
      <c r="F377" s="111">
        <v>11.939</v>
      </c>
      <c r="G377" s="110">
        <v>40</v>
      </c>
      <c r="H377" s="131"/>
    </row>
    <row r="378" spans="1:8" ht="15.75" x14ac:dyDescent="0.25">
      <c r="A378" s="69" t="s">
        <v>113</v>
      </c>
      <c r="B378" s="11" t="s">
        <v>390</v>
      </c>
      <c r="C378" s="8" t="s">
        <v>64</v>
      </c>
      <c r="D378" s="1" t="s">
        <v>75</v>
      </c>
      <c r="E378" s="21">
        <v>41298</v>
      </c>
      <c r="F378" s="111">
        <v>16.64</v>
      </c>
      <c r="G378" s="110">
        <v>60</v>
      </c>
      <c r="H378" s="131"/>
    </row>
    <row r="379" spans="1:8" ht="15.75" x14ac:dyDescent="0.25">
      <c r="A379" s="68" t="s">
        <v>98</v>
      </c>
      <c r="B379" s="22" t="s">
        <v>391</v>
      </c>
      <c r="C379" s="5" t="s">
        <v>37</v>
      </c>
      <c r="D379" s="1" t="s">
        <v>75</v>
      </c>
      <c r="E379" s="21">
        <v>41104</v>
      </c>
      <c r="F379" s="23">
        <v>1.04</v>
      </c>
      <c r="G379" s="59">
        <v>4.59</v>
      </c>
      <c r="H379" s="130"/>
    </row>
    <row r="380" spans="1:8" ht="15.75" x14ac:dyDescent="0.25">
      <c r="A380" s="67" t="s">
        <v>118</v>
      </c>
      <c r="B380" s="11" t="s">
        <v>392</v>
      </c>
      <c r="C380" s="1" t="s">
        <v>27</v>
      </c>
      <c r="D380" s="1" t="s">
        <v>75</v>
      </c>
      <c r="E380" s="26">
        <v>2011</v>
      </c>
      <c r="F380" s="23">
        <v>12.416</v>
      </c>
      <c r="G380" s="59">
        <v>40.65</v>
      </c>
      <c r="H380" s="130"/>
    </row>
    <row r="381" spans="1:8" ht="15.75" x14ac:dyDescent="0.25">
      <c r="A381" s="69" t="s">
        <v>113</v>
      </c>
      <c r="B381" s="11" t="s">
        <v>393</v>
      </c>
      <c r="C381" s="8" t="s">
        <v>64</v>
      </c>
      <c r="D381" s="1" t="s">
        <v>75</v>
      </c>
      <c r="E381" s="25">
        <v>41017</v>
      </c>
      <c r="F381" s="111">
        <v>8.5779999999999994</v>
      </c>
      <c r="G381" s="112">
        <v>27</v>
      </c>
      <c r="H381" s="128"/>
    </row>
    <row r="382" spans="1:8" ht="15.75" x14ac:dyDescent="0.25">
      <c r="A382" s="69" t="s">
        <v>113</v>
      </c>
      <c r="B382" s="22" t="s">
        <v>478</v>
      </c>
      <c r="C382" s="8" t="s">
        <v>64</v>
      </c>
      <c r="D382" s="1" t="s">
        <v>75</v>
      </c>
      <c r="E382" s="25">
        <v>41240</v>
      </c>
      <c r="F382" s="109">
        <v>8.9459999999999997</v>
      </c>
      <c r="G382" s="59">
        <v>30</v>
      </c>
      <c r="H382" s="130"/>
    </row>
    <row r="383" spans="1:8" ht="15.75" x14ac:dyDescent="0.25">
      <c r="A383" s="71" t="s">
        <v>103</v>
      </c>
      <c r="B383" s="22" t="s">
        <v>394</v>
      </c>
      <c r="C383" s="12" t="s">
        <v>42</v>
      </c>
      <c r="D383" s="1" t="s">
        <v>75</v>
      </c>
      <c r="E383" s="26">
        <v>2013</v>
      </c>
      <c r="F383" s="109">
        <v>0.31</v>
      </c>
      <c r="G383" s="59">
        <v>1</v>
      </c>
      <c r="H383" s="130"/>
    </row>
    <row r="384" spans="1:8" ht="15.75" x14ac:dyDescent="0.25">
      <c r="A384" s="70" t="s">
        <v>137</v>
      </c>
      <c r="B384" s="11" t="s">
        <v>557</v>
      </c>
      <c r="C384" s="11" t="s">
        <v>38</v>
      </c>
      <c r="D384" s="1" t="s">
        <v>75</v>
      </c>
      <c r="E384" s="20">
        <v>2009</v>
      </c>
      <c r="F384" s="109">
        <v>14.835000000000001</v>
      </c>
      <c r="G384" s="110">
        <v>56.89</v>
      </c>
      <c r="H384" s="131"/>
    </row>
    <row r="385" spans="1:8" ht="15.75" x14ac:dyDescent="0.25">
      <c r="A385" s="67" t="s">
        <v>99</v>
      </c>
      <c r="B385" s="22" t="s">
        <v>395</v>
      </c>
      <c r="C385" s="1" t="s">
        <v>55</v>
      </c>
      <c r="D385" s="1" t="s">
        <v>72</v>
      </c>
      <c r="E385" s="26">
        <v>2011</v>
      </c>
      <c r="F385" s="23">
        <v>5.46</v>
      </c>
      <c r="G385" s="59">
        <v>17</v>
      </c>
      <c r="H385" s="130"/>
    </row>
    <row r="386" spans="1:8" ht="25.5" x14ac:dyDescent="0.25">
      <c r="A386" s="70" t="s">
        <v>95</v>
      </c>
      <c r="B386" s="22" t="s">
        <v>490</v>
      </c>
      <c r="C386" s="11" t="s">
        <v>4</v>
      </c>
      <c r="D386" s="47" t="s">
        <v>76</v>
      </c>
      <c r="E386" s="21">
        <v>41041</v>
      </c>
      <c r="F386" s="111">
        <v>26.98</v>
      </c>
      <c r="G386" s="58">
        <v>110</v>
      </c>
      <c r="H386" s="129"/>
    </row>
    <row r="387" spans="1:8" ht="15.75" x14ac:dyDescent="0.25">
      <c r="A387" s="70" t="s">
        <v>95</v>
      </c>
      <c r="B387" s="22" t="s">
        <v>489</v>
      </c>
      <c r="C387" s="11" t="s">
        <v>4</v>
      </c>
      <c r="D387" s="1" t="s">
        <v>72</v>
      </c>
      <c r="E387" s="21">
        <v>41166</v>
      </c>
      <c r="F387" s="111">
        <v>28.54</v>
      </c>
      <c r="G387" s="58">
        <v>95.26</v>
      </c>
      <c r="H387" s="129"/>
    </row>
    <row r="388" spans="1:8" ht="15.75" x14ac:dyDescent="0.25">
      <c r="A388" s="70" t="s">
        <v>112</v>
      </c>
      <c r="B388" s="22" t="s">
        <v>558</v>
      </c>
      <c r="C388" s="11" t="s">
        <v>6</v>
      </c>
      <c r="D388" s="1" t="s">
        <v>72</v>
      </c>
      <c r="E388" s="21">
        <v>2012</v>
      </c>
      <c r="F388" s="207">
        <v>24.28</v>
      </c>
      <c r="G388" s="209">
        <v>71.39</v>
      </c>
      <c r="H388" s="136"/>
    </row>
    <row r="389" spans="1:8" ht="15.75" x14ac:dyDescent="0.25">
      <c r="A389" s="70" t="s">
        <v>112</v>
      </c>
      <c r="B389" s="22" t="s">
        <v>488</v>
      </c>
      <c r="C389" s="11" t="s">
        <v>6</v>
      </c>
      <c r="D389" s="1" t="s">
        <v>75</v>
      </c>
      <c r="E389" s="21">
        <v>2011</v>
      </c>
      <c r="F389" s="208"/>
      <c r="G389" s="210"/>
      <c r="H389" s="136"/>
    </row>
    <row r="390" spans="1:8" ht="15.75" x14ac:dyDescent="0.25">
      <c r="A390" s="72" t="s">
        <v>93</v>
      </c>
      <c r="B390" s="11" t="s">
        <v>396</v>
      </c>
      <c r="C390" s="14" t="s">
        <v>8</v>
      </c>
      <c r="D390" s="1" t="s">
        <v>75</v>
      </c>
      <c r="E390" s="25">
        <v>41481</v>
      </c>
      <c r="F390" s="23">
        <v>8.9700000000000006</v>
      </c>
      <c r="G390" s="59">
        <v>24.84</v>
      </c>
      <c r="H390" s="130"/>
    </row>
    <row r="391" spans="1:8" ht="15.75" x14ac:dyDescent="0.25">
      <c r="A391" s="68" t="s">
        <v>98</v>
      </c>
      <c r="B391" s="11" t="s">
        <v>397</v>
      </c>
      <c r="C391" s="5" t="s">
        <v>37</v>
      </c>
      <c r="D391" s="1" t="s">
        <v>75</v>
      </c>
      <c r="E391" s="26">
        <v>2011</v>
      </c>
      <c r="F391" s="23">
        <v>3.794</v>
      </c>
      <c r="G391" s="59">
        <v>14.92</v>
      </c>
      <c r="H391" s="130"/>
    </row>
    <row r="392" spans="1:8" ht="15.75" x14ac:dyDescent="0.25">
      <c r="A392" s="75" t="s">
        <v>106</v>
      </c>
      <c r="B392" s="11" t="s">
        <v>398</v>
      </c>
      <c r="C392" s="22" t="s">
        <v>41</v>
      </c>
      <c r="D392" s="1" t="s">
        <v>75</v>
      </c>
      <c r="E392" s="26">
        <v>2011</v>
      </c>
      <c r="F392" s="23">
        <v>5.8</v>
      </c>
      <c r="G392" s="59">
        <v>14</v>
      </c>
      <c r="H392" s="130"/>
    </row>
    <row r="393" spans="1:8" ht="15.75" x14ac:dyDescent="0.25">
      <c r="A393" s="70" t="s">
        <v>112</v>
      </c>
      <c r="B393" s="11" t="s">
        <v>399</v>
      </c>
      <c r="C393" s="11" t="s">
        <v>6</v>
      </c>
      <c r="D393" s="1" t="s">
        <v>75</v>
      </c>
      <c r="E393" s="20">
        <f>E392</f>
        <v>2011</v>
      </c>
      <c r="F393" s="111">
        <v>22.5</v>
      </c>
      <c r="G393" s="110">
        <v>82.74</v>
      </c>
      <c r="H393" s="131"/>
    </row>
    <row r="394" spans="1:8" ht="15.75" x14ac:dyDescent="0.25">
      <c r="A394" s="69" t="s">
        <v>115</v>
      </c>
      <c r="B394" s="11" t="s">
        <v>400</v>
      </c>
      <c r="C394" s="8" t="s">
        <v>10</v>
      </c>
      <c r="D394" s="1" t="s">
        <v>75</v>
      </c>
      <c r="E394" s="20">
        <v>2013</v>
      </c>
      <c r="F394" s="111">
        <v>4.67</v>
      </c>
      <c r="G394" s="110">
        <v>20.87</v>
      </c>
      <c r="H394" s="131"/>
    </row>
    <row r="395" spans="1:8" ht="15.75" x14ac:dyDescent="0.25">
      <c r="A395" s="71" t="s">
        <v>94</v>
      </c>
      <c r="B395" s="11" t="s">
        <v>401</v>
      </c>
      <c r="C395" s="12" t="s">
        <v>36</v>
      </c>
      <c r="D395" s="1" t="s">
        <v>75</v>
      </c>
      <c r="E395" s="20">
        <v>2009</v>
      </c>
      <c r="F395" s="111">
        <v>5.0999999999999996</v>
      </c>
      <c r="G395" s="112">
        <v>20</v>
      </c>
      <c r="H395" s="128"/>
    </row>
    <row r="396" spans="1:8" ht="15.75" x14ac:dyDescent="0.25">
      <c r="A396" s="70" t="s">
        <v>107</v>
      </c>
      <c r="B396" s="11" t="s">
        <v>402</v>
      </c>
      <c r="C396" s="11" t="s">
        <v>21</v>
      </c>
      <c r="D396" s="1" t="s">
        <v>75</v>
      </c>
      <c r="E396" s="20">
        <v>2009</v>
      </c>
      <c r="F396" s="111">
        <v>1.06</v>
      </c>
      <c r="G396" s="112">
        <v>5</v>
      </c>
      <c r="H396" s="128"/>
    </row>
    <row r="397" spans="1:8" ht="15.75" x14ac:dyDescent="0.25">
      <c r="A397" s="69" t="s">
        <v>117</v>
      </c>
      <c r="B397" s="11" t="s">
        <v>403</v>
      </c>
      <c r="C397" s="8" t="s">
        <v>28</v>
      </c>
      <c r="D397" s="1" t="s">
        <v>75</v>
      </c>
      <c r="E397" s="20">
        <v>2013</v>
      </c>
      <c r="F397" s="111">
        <v>14.9</v>
      </c>
      <c r="G397" s="112">
        <v>35</v>
      </c>
      <c r="H397" s="128"/>
    </row>
    <row r="398" spans="1:8" ht="15.75" x14ac:dyDescent="0.25">
      <c r="A398" s="69" t="s">
        <v>117</v>
      </c>
      <c r="B398" s="11" t="s">
        <v>479</v>
      </c>
      <c r="C398" s="8" t="s">
        <v>28</v>
      </c>
      <c r="D398" s="1" t="s">
        <v>75</v>
      </c>
      <c r="E398" s="20">
        <v>2011</v>
      </c>
      <c r="F398" s="23">
        <v>21.9</v>
      </c>
      <c r="G398" s="59">
        <v>70</v>
      </c>
      <c r="H398" s="130"/>
    </row>
    <row r="399" spans="1:8" ht="15.75" x14ac:dyDescent="0.25">
      <c r="A399" s="70" t="s">
        <v>95</v>
      </c>
      <c r="B399" s="11" t="s">
        <v>480</v>
      </c>
      <c r="C399" s="11" t="s">
        <v>4</v>
      </c>
      <c r="D399" s="1" t="s">
        <v>72</v>
      </c>
      <c r="E399" s="20">
        <v>2010</v>
      </c>
      <c r="F399" s="111">
        <v>310.66000000000003</v>
      </c>
      <c r="G399" s="110">
        <v>1141</v>
      </c>
      <c r="H399" s="131"/>
    </row>
    <row r="400" spans="1:8" ht="15.75" x14ac:dyDescent="0.25">
      <c r="A400" s="70" t="s">
        <v>123</v>
      </c>
      <c r="B400" s="11" t="s">
        <v>481</v>
      </c>
      <c r="C400" s="11" t="s">
        <v>17</v>
      </c>
      <c r="D400" s="1" t="s">
        <v>72</v>
      </c>
      <c r="E400" s="21">
        <v>41061</v>
      </c>
      <c r="F400" s="23">
        <v>22.71</v>
      </c>
      <c r="G400" s="59">
        <v>72</v>
      </c>
      <c r="H400" s="130"/>
    </row>
    <row r="401" spans="1:8" ht="15.75" x14ac:dyDescent="0.25">
      <c r="A401" s="71" t="s">
        <v>104</v>
      </c>
      <c r="B401" s="11" t="s">
        <v>404</v>
      </c>
      <c r="C401" s="12" t="s">
        <v>61</v>
      </c>
      <c r="D401" s="1" t="s">
        <v>75</v>
      </c>
      <c r="E401" s="24">
        <v>2009</v>
      </c>
      <c r="F401" s="109">
        <v>14.000999999999999</v>
      </c>
      <c r="G401" s="110">
        <v>56.16</v>
      </c>
      <c r="H401" s="131"/>
    </row>
    <row r="402" spans="1:8" ht="15.75" x14ac:dyDescent="0.25">
      <c r="A402" s="70" t="s">
        <v>110</v>
      </c>
      <c r="B402" s="11" t="s">
        <v>482</v>
      </c>
      <c r="C402" s="11" t="s">
        <v>63</v>
      </c>
      <c r="D402" s="1" t="s">
        <v>75</v>
      </c>
      <c r="E402" s="32">
        <v>41263</v>
      </c>
      <c r="F402" s="109">
        <v>14.25</v>
      </c>
      <c r="G402" s="110">
        <v>35.1</v>
      </c>
      <c r="H402" s="131"/>
    </row>
    <row r="403" spans="1:8" ht="15.75" x14ac:dyDescent="0.25">
      <c r="A403" s="67" t="s">
        <v>97</v>
      </c>
      <c r="B403" s="11" t="s">
        <v>405</v>
      </c>
      <c r="C403" s="1" t="s">
        <v>34</v>
      </c>
      <c r="D403" s="1" t="s">
        <v>75</v>
      </c>
      <c r="E403" s="24">
        <v>2013</v>
      </c>
      <c r="F403" s="109">
        <v>9.98</v>
      </c>
      <c r="G403" s="110">
        <v>35.67</v>
      </c>
      <c r="H403" s="131"/>
    </row>
    <row r="404" spans="1:8" ht="15.75" x14ac:dyDescent="0.25">
      <c r="A404" s="67" t="s">
        <v>119</v>
      </c>
      <c r="B404" s="11" t="s">
        <v>483</v>
      </c>
      <c r="C404" s="1" t="s">
        <v>15</v>
      </c>
      <c r="D404" s="1" t="s">
        <v>75</v>
      </c>
      <c r="E404" s="32">
        <v>41180</v>
      </c>
      <c r="F404" s="109">
        <v>10.677</v>
      </c>
      <c r="G404" s="110">
        <v>33.299999999999997</v>
      </c>
      <c r="H404" s="131"/>
    </row>
    <row r="405" spans="1:8" ht="15.75" x14ac:dyDescent="0.25">
      <c r="A405" s="69" t="s">
        <v>113</v>
      </c>
      <c r="B405" s="11" t="s">
        <v>484</v>
      </c>
      <c r="C405" s="8" t="s">
        <v>64</v>
      </c>
      <c r="D405" s="1" t="s">
        <v>75</v>
      </c>
      <c r="E405" s="20">
        <v>2010</v>
      </c>
      <c r="F405" s="111">
        <v>1.2</v>
      </c>
      <c r="G405" s="110">
        <v>5.64</v>
      </c>
      <c r="H405" s="131"/>
    </row>
    <row r="406" spans="1:8" ht="15.75" x14ac:dyDescent="0.25">
      <c r="A406" s="72" t="s">
        <v>140</v>
      </c>
      <c r="B406" s="11" t="s">
        <v>406</v>
      </c>
      <c r="C406" s="14" t="s">
        <v>56</v>
      </c>
      <c r="D406" s="1" t="s">
        <v>75</v>
      </c>
      <c r="E406" s="20">
        <f>E405</f>
        <v>2010</v>
      </c>
      <c r="F406" s="109">
        <v>40.24</v>
      </c>
      <c r="G406" s="110">
        <v>180</v>
      </c>
      <c r="H406" s="131"/>
    </row>
    <row r="407" spans="1:8" ht="15.75" x14ac:dyDescent="0.25">
      <c r="A407" s="69" t="s">
        <v>113</v>
      </c>
      <c r="B407" s="11" t="s">
        <v>485</v>
      </c>
      <c r="C407" s="8" t="s">
        <v>64</v>
      </c>
      <c r="D407" s="1" t="s">
        <v>75</v>
      </c>
      <c r="E407" s="20">
        <v>2008</v>
      </c>
      <c r="F407" s="111">
        <v>23.6</v>
      </c>
      <c r="G407" s="112">
        <v>88.207999999999998</v>
      </c>
      <c r="H407" s="128"/>
    </row>
    <row r="408" spans="1:8" ht="15.75" x14ac:dyDescent="0.25">
      <c r="A408" s="67" t="s">
        <v>118</v>
      </c>
      <c r="B408" s="11" t="s">
        <v>407</v>
      </c>
      <c r="C408" s="1" t="s">
        <v>27</v>
      </c>
      <c r="D408" s="1" t="s">
        <v>75</v>
      </c>
      <c r="E408" s="20">
        <v>2005</v>
      </c>
      <c r="F408" s="111">
        <v>14</v>
      </c>
      <c r="G408" s="112">
        <v>44.18</v>
      </c>
      <c r="H408" s="128"/>
    </row>
    <row r="409" spans="1:8" ht="15.75" x14ac:dyDescent="0.25">
      <c r="A409" s="75" t="s">
        <v>139</v>
      </c>
      <c r="B409" s="11" t="s">
        <v>408</v>
      </c>
      <c r="C409" s="22" t="s">
        <v>31</v>
      </c>
      <c r="D409" s="1" t="s">
        <v>75</v>
      </c>
      <c r="E409" s="21">
        <v>41425</v>
      </c>
      <c r="F409" s="111">
        <v>10.566000000000001</v>
      </c>
      <c r="G409" s="112">
        <v>32</v>
      </c>
      <c r="H409" s="128"/>
    </row>
    <row r="410" spans="1:8" ht="15.75" x14ac:dyDescent="0.25">
      <c r="A410" s="71" t="s">
        <v>103</v>
      </c>
      <c r="B410" s="11" t="s">
        <v>486</v>
      </c>
      <c r="C410" s="12" t="s">
        <v>42</v>
      </c>
      <c r="D410" s="1" t="s">
        <v>72</v>
      </c>
      <c r="E410" s="20">
        <v>2006</v>
      </c>
      <c r="F410" s="111">
        <v>4.17</v>
      </c>
      <c r="G410" s="112">
        <v>15</v>
      </c>
      <c r="H410" s="128"/>
    </row>
    <row r="411" spans="1:8" ht="16.5" thickBot="1" x14ac:dyDescent="0.3">
      <c r="A411" s="76" t="s">
        <v>98</v>
      </c>
      <c r="B411" s="48" t="s">
        <v>487</v>
      </c>
      <c r="C411" s="33" t="s">
        <v>37</v>
      </c>
      <c r="D411" s="34" t="s">
        <v>75</v>
      </c>
      <c r="E411" s="35">
        <v>41026</v>
      </c>
      <c r="F411" s="36">
        <v>5.2</v>
      </c>
      <c r="G411" s="66">
        <v>18.280999999999999</v>
      </c>
      <c r="H411" s="131"/>
    </row>
    <row r="412" spans="1:8" ht="15.75" x14ac:dyDescent="0.25">
      <c r="A412" s="71" t="s">
        <v>86</v>
      </c>
      <c r="B412" s="11" t="s">
        <v>564</v>
      </c>
      <c r="C412" s="12" t="s">
        <v>20</v>
      </c>
      <c r="D412" s="1" t="s">
        <v>603</v>
      </c>
      <c r="E412" s="21">
        <v>41832</v>
      </c>
      <c r="F412" s="118">
        <v>7.48</v>
      </c>
      <c r="G412" s="119">
        <v>23.16</v>
      </c>
    </row>
    <row r="413" spans="1:8" ht="15.75" x14ac:dyDescent="0.25">
      <c r="A413" s="71" t="s">
        <v>116</v>
      </c>
      <c r="B413" s="11" t="s">
        <v>565</v>
      </c>
      <c r="C413" s="12" t="s">
        <v>32</v>
      </c>
      <c r="D413" s="1" t="s">
        <v>75</v>
      </c>
      <c r="E413" s="21">
        <v>41794</v>
      </c>
      <c r="F413" s="118">
        <v>0.495</v>
      </c>
      <c r="G413" s="119">
        <v>1.5</v>
      </c>
    </row>
    <row r="414" spans="1:8" ht="15.75" x14ac:dyDescent="0.25">
      <c r="A414" s="71" t="s">
        <v>139</v>
      </c>
      <c r="B414" s="11" t="s">
        <v>566</v>
      </c>
      <c r="C414" s="12" t="s">
        <v>31</v>
      </c>
      <c r="D414" s="1" t="s">
        <v>603</v>
      </c>
      <c r="E414" s="21">
        <v>41870</v>
      </c>
      <c r="F414" s="118">
        <v>7.33</v>
      </c>
      <c r="G414" s="119">
        <v>25</v>
      </c>
    </row>
    <row r="415" spans="1:8" ht="15.75" x14ac:dyDescent="0.25">
      <c r="A415" s="71" t="s">
        <v>121</v>
      </c>
      <c r="B415" s="11" t="s">
        <v>567</v>
      </c>
      <c r="C415" s="12" t="s">
        <v>47</v>
      </c>
      <c r="D415" s="1" t="s">
        <v>603</v>
      </c>
      <c r="E415" s="21">
        <v>41719</v>
      </c>
      <c r="F415" s="118">
        <v>5.77</v>
      </c>
      <c r="G415" s="119">
        <v>21.28</v>
      </c>
    </row>
    <row r="416" spans="1:8" ht="15.75" x14ac:dyDescent="0.25">
      <c r="A416" s="71" t="s">
        <v>113</v>
      </c>
      <c r="B416" s="11" t="s">
        <v>604</v>
      </c>
      <c r="C416" s="12" t="s">
        <v>64</v>
      </c>
      <c r="D416" s="1" t="s">
        <v>603</v>
      </c>
      <c r="E416" s="21">
        <v>41974</v>
      </c>
      <c r="F416" s="118">
        <v>0.63100000000000001</v>
      </c>
      <c r="G416" s="119">
        <v>2.5</v>
      </c>
    </row>
    <row r="417" spans="1:7" ht="15.75" x14ac:dyDescent="0.25">
      <c r="A417" s="71" t="s">
        <v>113</v>
      </c>
      <c r="B417" s="11" t="s">
        <v>568</v>
      </c>
      <c r="C417" s="12" t="s">
        <v>64</v>
      </c>
      <c r="D417" s="1" t="s">
        <v>603</v>
      </c>
      <c r="E417" s="21">
        <v>41687</v>
      </c>
      <c r="F417" s="118">
        <v>3.8210000000000002</v>
      </c>
      <c r="G417" s="119">
        <v>10.15</v>
      </c>
    </row>
    <row r="418" spans="1:7" ht="15.75" x14ac:dyDescent="0.25">
      <c r="A418" s="71" t="s">
        <v>117</v>
      </c>
      <c r="B418" s="11" t="s">
        <v>569</v>
      </c>
      <c r="C418" s="12" t="s">
        <v>28</v>
      </c>
      <c r="D418" s="1" t="s">
        <v>72</v>
      </c>
      <c r="E418" s="21">
        <v>41789</v>
      </c>
      <c r="F418" s="118">
        <v>244.83</v>
      </c>
      <c r="G418" s="119">
        <v>842.1</v>
      </c>
    </row>
    <row r="419" spans="1:7" ht="15.75" x14ac:dyDescent="0.25">
      <c r="A419" s="71" t="s">
        <v>144</v>
      </c>
      <c r="B419" s="11" t="s">
        <v>570</v>
      </c>
      <c r="C419" s="12" t="s">
        <v>59</v>
      </c>
      <c r="D419" s="1" t="s">
        <v>603</v>
      </c>
      <c r="E419" s="21">
        <v>2014</v>
      </c>
      <c r="F419" s="118">
        <v>21.27</v>
      </c>
      <c r="G419" s="119">
        <v>58.48</v>
      </c>
    </row>
    <row r="420" spans="1:7" ht="15.75" x14ac:dyDescent="0.25">
      <c r="A420" s="71" t="s">
        <v>86</v>
      </c>
      <c r="B420" s="11" t="s">
        <v>571</v>
      </c>
      <c r="C420" s="12" t="s">
        <v>20</v>
      </c>
      <c r="D420" s="1" t="s">
        <v>72</v>
      </c>
      <c r="E420" s="21">
        <v>41717</v>
      </c>
      <c r="F420" s="118">
        <v>10</v>
      </c>
      <c r="G420" s="119">
        <v>20</v>
      </c>
    </row>
    <row r="421" spans="1:7" ht="15.75" x14ac:dyDescent="0.25">
      <c r="A421" s="71" t="s">
        <v>130</v>
      </c>
      <c r="B421" s="11" t="s">
        <v>572</v>
      </c>
      <c r="C421" s="12" t="s">
        <v>24</v>
      </c>
      <c r="D421" s="1" t="s">
        <v>603</v>
      </c>
      <c r="E421" s="21">
        <v>41977</v>
      </c>
      <c r="F421" s="118">
        <v>11.933999999999999</v>
      </c>
      <c r="G421" s="119">
        <v>36.094999999999999</v>
      </c>
    </row>
    <row r="422" spans="1:7" ht="15.75" x14ac:dyDescent="0.25">
      <c r="A422" s="71" t="s">
        <v>103</v>
      </c>
      <c r="B422" s="11" t="s">
        <v>573</v>
      </c>
      <c r="C422" s="12" t="s">
        <v>42</v>
      </c>
      <c r="D422" s="1" t="s">
        <v>603</v>
      </c>
      <c r="E422" s="21">
        <v>41761</v>
      </c>
      <c r="F422" s="118">
        <v>17.579999999999998</v>
      </c>
      <c r="G422" s="119">
        <v>89.56</v>
      </c>
    </row>
    <row r="423" spans="1:7" ht="15.75" x14ac:dyDescent="0.25">
      <c r="A423" s="71" t="s">
        <v>96</v>
      </c>
      <c r="B423" s="11" t="s">
        <v>574</v>
      </c>
      <c r="C423" s="12" t="s">
        <v>49</v>
      </c>
      <c r="D423" s="1" t="s">
        <v>603</v>
      </c>
      <c r="E423" s="21">
        <v>41740</v>
      </c>
      <c r="F423" s="118">
        <v>10.433</v>
      </c>
      <c r="G423" s="119">
        <v>38</v>
      </c>
    </row>
    <row r="424" spans="1:7" ht="15.75" x14ac:dyDescent="0.25">
      <c r="A424" s="71" t="s">
        <v>93</v>
      </c>
      <c r="B424" s="11" t="s">
        <v>269</v>
      </c>
      <c r="C424" s="12" t="s">
        <v>8</v>
      </c>
      <c r="D424" s="1" t="s">
        <v>603</v>
      </c>
      <c r="E424" s="21">
        <v>41711</v>
      </c>
      <c r="F424" s="118">
        <v>6.84</v>
      </c>
      <c r="G424" s="119">
        <v>20</v>
      </c>
    </row>
    <row r="425" spans="1:7" ht="15.75" x14ac:dyDescent="0.25">
      <c r="A425" s="71" t="s">
        <v>139</v>
      </c>
      <c r="B425" s="11" t="s">
        <v>575</v>
      </c>
      <c r="C425" s="12" t="s">
        <v>31</v>
      </c>
      <c r="D425" s="1" t="s">
        <v>603</v>
      </c>
      <c r="E425" s="21">
        <v>2014</v>
      </c>
      <c r="F425" s="118">
        <v>49.2</v>
      </c>
      <c r="G425" s="119">
        <v>152.13</v>
      </c>
    </row>
    <row r="426" spans="1:7" ht="15.75" x14ac:dyDescent="0.25">
      <c r="A426" s="71" t="s">
        <v>135</v>
      </c>
      <c r="B426" s="11" t="s">
        <v>576</v>
      </c>
      <c r="C426" s="12" t="s">
        <v>57</v>
      </c>
      <c r="D426" s="1" t="s">
        <v>603</v>
      </c>
      <c r="E426" s="21">
        <v>41880</v>
      </c>
      <c r="F426" s="118">
        <v>30.24</v>
      </c>
      <c r="G426" s="119">
        <v>171.68</v>
      </c>
    </row>
    <row r="427" spans="1:7" ht="15.75" x14ac:dyDescent="0.25">
      <c r="A427" s="71" t="s">
        <v>136</v>
      </c>
      <c r="B427" s="11" t="s">
        <v>606</v>
      </c>
      <c r="C427" s="12" t="s">
        <v>25</v>
      </c>
      <c r="D427" s="1" t="s">
        <v>603</v>
      </c>
      <c r="E427" s="21">
        <v>41754</v>
      </c>
      <c r="F427" s="118">
        <v>46.2</v>
      </c>
      <c r="G427" s="119">
        <v>141.37</v>
      </c>
    </row>
    <row r="428" spans="1:7" ht="15.75" x14ac:dyDescent="0.25">
      <c r="A428" s="71" t="s">
        <v>104</v>
      </c>
      <c r="B428" s="11" t="s">
        <v>577</v>
      </c>
      <c r="C428" s="12" t="s">
        <v>61</v>
      </c>
      <c r="D428" s="1" t="s">
        <v>603</v>
      </c>
      <c r="E428" s="21">
        <v>41963</v>
      </c>
      <c r="F428" s="118">
        <v>7.52</v>
      </c>
      <c r="G428" s="119">
        <v>19.669</v>
      </c>
    </row>
    <row r="429" spans="1:7" ht="15.75" x14ac:dyDescent="0.25">
      <c r="A429" s="71" t="s">
        <v>104</v>
      </c>
      <c r="B429" s="11" t="s">
        <v>578</v>
      </c>
      <c r="C429" s="12" t="s">
        <v>61</v>
      </c>
      <c r="D429" s="1" t="s">
        <v>603</v>
      </c>
      <c r="E429" s="21">
        <v>41704</v>
      </c>
      <c r="F429" s="118">
        <v>8.9700000000000006</v>
      </c>
      <c r="G429" s="119">
        <v>25.913</v>
      </c>
    </row>
    <row r="430" spans="1:7" ht="15.75" x14ac:dyDescent="0.25">
      <c r="A430" s="71" t="s">
        <v>137</v>
      </c>
      <c r="B430" s="11" t="s">
        <v>579</v>
      </c>
      <c r="C430" s="12" t="s">
        <v>38</v>
      </c>
      <c r="D430" s="1" t="s">
        <v>603</v>
      </c>
      <c r="E430" s="21">
        <v>41985</v>
      </c>
      <c r="F430" s="118">
        <v>35.186</v>
      </c>
      <c r="G430" s="119">
        <v>110</v>
      </c>
    </row>
    <row r="431" spans="1:7" ht="15.75" x14ac:dyDescent="0.25">
      <c r="A431" s="71" t="s">
        <v>114</v>
      </c>
      <c r="B431" s="11" t="s">
        <v>580</v>
      </c>
      <c r="C431" s="12" t="s">
        <v>54</v>
      </c>
      <c r="D431" s="1" t="s">
        <v>603</v>
      </c>
      <c r="E431" s="21">
        <v>41859</v>
      </c>
      <c r="F431" s="118">
        <v>5.95</v>
      </c>
      <c r="G431" s="119">
        <v>15.6</v>
      </c>
    </row>
    <row r="432" spans="1:7" ht="15.75" x14ac:dyDescent="0.25">
      <c r="A432" s="71" t="s">
        <v>94</v>
      </c>
      <c r="B432" s="11" t="s">
        <v>581</v>
      </c>
      <c r="C432" s="12" t="s">
        <v>36</v>
      </c>
      <c r="D432" s="1" t="s">
        <v>603</v>
      </c>
      <c r="E432" s="21">
        <v>41747</v>
      </c>
      <c r="F432" s="118">
        <v>18.77</v>
      </c>
      <c r="G432" s="119">
        <v>83.36</v>
      </c>
    </row>
    <row r="433" spans="1:7" ht="15.75" x14ac:dyDescent="0.25">
      <c r="A433" s="71" t="s">
        <v>99</v>
      </c>
      <c r="B433" s="11" t="s">
        <v>600</v>
      </c>
      <c r="C433" s="12" t="s">
        <v>55</v>
      </c>
      <c r="D433" s="1" t="s">
        <v>603</v>
      </c>
      <c r="E433" s="21">
        <v>41932</v>
      </c>
      <c r="F433" s="118">
        <v>5</v>
      </c>
      <c r="G433" s="119">
        <v>12.57</v>
      </c>
    </row>
    <row r="434" spans="1:7" ht="15.75" x14ac:dyDescent="0.25">
      <c r="A434" s="71" t="s">
        <v>140</v>
      </c>
      <c r="B434" s="11" t="s">
        <v>601</v>
      </c>
      <c r="C434" s="12" t="s">
        <v>56</v>
      </c>
      <c r="D434" s="1" t="s">
        <v>603</v>
      </c>
      <c r="E434" s="21">
        <v>41927</v>
      </c>
      <c r="F434" s="118">
        <v>2.36</v>
      </c>
      <c r="G434" s="119">
        <v>9.66</v>
      </c>
    </row>
    <row r="435" spans="1:7" ht="15.75" x14ac:dyDescent="0.25">
      <c r="A435" s="71" t="s">
        <v>140</v>
      </c>
      <c r="B435" s="11" t="s">
        <v>602</v>
      </c>
      <c r="C435" s="12" t="s">
        <v>56</v>
      </c>
      <c r="D435" s="1" t="s">
        <v>603</v>
      </c>
      <c r="E435" s="21">
        <v>41992</v>
      </c>
      <c r="F435" s="118">
        <v>8.82</v>
      </c>
      <c r="G435" s="119">
        <v>32.543999999999997</v>
      </c>
    </row>
    <row r="436" spans="1:7" ht="15.75" x14ac:dyDescent="0.25">
      <c r="A436" s="71" t="s">
        <v>117</v>
      </c>
      <c r="B436" s="11" t="s">
        <v>582</v>
      </c>
      <c r="C436" s="12" t="s">
        <v>28</v>
      </c>
      <c r="D436" s="1" t="s">
        <v>603</v>
      </c>
      <c r="E436" s="21">
        <v>41751</v>
      </c>
      <c r="F436" s="118">
        <v>7.19</v>
      </c>
      <c r="G436" s="119">
        <v>25.22</v>
      </c>
    </row>
    <row r="437" spans="1:7" ht="15.75" x14ac:dyDescent="0.25">
      <c r="A437" s="71" t="s">
        <v>120</v>
      </c>
      <c r="B437" s="11" t="s">
        <v>311</v>
      </c>
      <c r="C437" s="12" t="s">
        <v>40</v>
      </c>
      <c r="D437" s="1" t="s">
        <v>603</v>
      </c>
      <c r="E437" s="21">
        <v>41726</v>
      </c>
      <c r="F437" s="118">
        <v>17.100000000000001</v>
      </c>
      <c r="G437" s="119">
        <v>50.78</v>
      </c>
    </row>
    <row r="438" spans="1:7" ht="15.75" x14ac:dyDescent="0.25">
      <c r="A438" s="71" t="s">
        <v>126</v>
      </c>
      <c r="B438" s="11" t="s">
        <v>583</v>
      </c>
      <c r="C438" s="12" t="s">
        <v>51</v>
      </c>
      <c r="D438" s="1" t="s">
        <v>603</v>
      </c>
      <c r="E438" s="21">
        <v>41740</v>
      </c>
      <c r="F438" s="118">
        <v>3.75</v>
      </c>
      <c r="G438" s="119">
        <v>11.43</v>
      </c>
    </row>
    <row r="439" spans="1:7" ht="15.75" x14ac:dyDescent="0.25">
      <c r="A439" s="71" t="s">
        <v>139</v>
      </c>
      <c r="B439" s="11" t="s">
        <v>584</v>
      </c>
      <c r="C439" s="12" t="s">
        <v>31</v>
      </c>
      <c r="D439" s="1" t="s">
        <v>603</v>
      </c>
      <c r="E439" s="21">
        <v>41830</v>
      </c>
      <c r="F439" s="118">
        <v>36.26</v>
      </c>
      <c r="G439" s="119">
        <v>121</v>
      </c>
    </row>
    <row r="440" spans="1:7" ht="15.75" x14ac:dyDescent="0.25">
      <c r="A440" s="71" t="s">
        <v>99</v>
      </c>
      <c r="B440" s="11" t="s">
        <v>585</v>
      </c>
      <c r="C440" s="12" t="s">
        <v>55</v>
      </c>
      <c r="D440" s="1" t="s">
        <v>603</v>
      </c>
      <c r="E440" s="21">
        <v>41810</v>
      </c>
      <c r="F440" s="118">
        <v>9.06</v>
      </c>
      <c r="G440" s="119">
        <v>26.13</v>
      </c>
    </row>
    <row r="441" spans="1:7" ht="15.75" x14ac:dyDescent="0.25">
      <c r="A441" s="71" t="s">
        <v>114</v>
      </c>
      <c r="B441" s="11" t="s">
        <v>586</v>
      </c>
      <c r="C441" s="12" t="s">
        <v>54</v>
      </c>
      <c r="D441" s="1" t="s">
        <v>603</v>
      </c>
      <c r="E441" s="21">
        <v>41974</v>
      </c>
      <c r="F441" s="118">
        <v>11.089</v>
      </c>
      <c r="G441" s="119">
        <v>31</v>
      </c>
    </row>
    <row r="442" spans="1:7" ht="15.75" x14ac:dyDescent="0.25">
      <c r="A442" s="71" t="s">
        <v>137</v>
      </c>
      <c r="B442" s="11" t="s">
        <v>587</v>
      </c>
      <c r="C442" s="12" t="s">
        <v>38</v>
      </c>
      <c r="D442" s="1" t="s">
        <v>603</v>
      </c>
      <c r="E442" s="21">
        <v>41957</v>
      </c>
      <c r="F442" s="118">
        <v>21.315000000000001</v>
      </c>
      <c r="G442" s="119">
        <v>83.54</v>
      </c>
    </row>
    <row r="443" spans="1:7" ht="15.75" x14ac:dyDescent="0.25">
      <c r="A443" s="71" t="s">
        <v>114</v>
      </c>
      <c r="B443" s="11" t="s">
        <v>588</v>
      </c>
      <c r="C443" s="12" t="s">
        <v>54</v>
      </c>
      <c r="D443" s="1" t="s">
        <v>603</v>
      </c>
      <c r="E443" s="21">
        <v>41913</v>
      </c>
      <c r="F443" s="118">
        <v>4.0599999999999996</v>
      </c>
      <c r="G443" s="119">
        <v>12.79</v>
      </c>
    </row>
    <row r="444" spans="1:7" ht="15.75" x14ac:dyDescent="0.25">
      <c r="A444" s="71" t="s">
        <v>140</v>
      </c>
      <c r="B444" s="11" t="s">
        <v>589</v>
      </c>
      <c r="C444" s="12" t="s">
        <v>56</v>
      </c>
      <c r="D444" s="1" t="s">
        <v>603</v>
      </c>
      <c r="E444" s="21">
        <v>41836</v>
      </c>
      <c r="F444" s="118">
        <v>13.5</v>
      </c>
      <c r="G444" s="119">
        <v>46.89</v>
      </c>
    </row>
    <row r="445" spans="1:7" ht="15.75" x14ac:dyDescent="0.25">
      <c r="A445" s="71" t="s">
        <v>120</v>
      </c>
      <c r="B445" s="11" t="s">
        <v>590</v>
      </c>
      <c r="C445" s="12" t="s">
        <v>40</v>
      </c>
      <c r="D445" s="1" t="s">
        <v>603</v>
      </c>
      <c r="E445" s="21">
        <v>41901</v>
      </c>
      <c r="F445" s="118">
        <v>28.96</v>
      </c>
      <c r="G445" s="119">
        <v>82.180999999999997</v>
      </c>
    </row>
    <row r="446" spans="1:7" ht="15.75" x14ac:dyDescent="0.25">
      <c r="A446" s="71" t="s">
        <v>118</v>
      </c>
      <c r="B446" s="11" t="s">
        <v>591</v>
      </c>
      <c r="C446" s="12" t="s">
        <v>27</v>
      </c>
      <c r="D446" s="1" t="s">
        <v>603</v>
      </c>
      <c r="E446" s="21">
        <v>41754</v>
      </c>
      <c r="F446" s="118">
        <v>9.7620000000000005</v>
      </c>
      <c r="G446" s="119">
        <v>23.28</v>
      </c>
    </row>
    <row r="447" spans="1:7" ht="15.75" x14ac:dyDescent="0.25">
      <c r="A447" s="71" t="s">
        <v>139</v>
      </c>
      <c r="B447" s="11" t="s">
        <v>592</v>
      </c>
      <c r="C447" s="12" t="s">
        <v>31</v>
      </c>
      <c r="D447" s="1" t="s">
        <v>603</v>
      </c>
      <c r="E447" s="21">
        <v>41802</v>
      </c>
      <c r="F447" s="118">
        <v>3.43</v>
      </c>
      <c r="G447" s="119">
        <v>10.16</v>
      </c>
    </row>
    <row r="448" spans="1:7" ht="15.75" x14ac:dyDescent="0.25">
      <c r="A448" s="71" t="s">
        <v>117</v>
      </c>
      <c r="B448" s="11" t="s">
        <v>593</v>
      </c>
      <c r="C448" s="12" t="s">
        <v>28</v>
      </c>
      <c r="D448" s="1" t="s">
        <v>603</v>
      </c>
      <c r="E448" s="21">
        <v>41772</v>
      </c>
      <c r="F448" s="118">
        <v>7.39</v>
      </c>
      <c r="G448" s="119">
        <v>14.03</v>
      </c>
    </row>
    <row r="449" spans="1:7" ht="15.75" x14ac:dyDescent="0.25">
      <c r="A449" s="71" t="s">
        <v>99</v>
      </c>
      <c r="B449" s="11" t="s">
        <v>594</v>
      </c>
      <c r="C449" s="12" t="s">
        <v>55</v>
      </c>
      <c r="D449" s="1" t="s">
        <v>603</v>
      </c>
      <c r="E449" s="21">
        <v>41950</v>
      </c>
      <c r="F449" s="118">
        <v>3.3879999999999999</v>
      </c>
      <c r="G449" s="119">
        <v>13.4</v>
      </c>
    </row>
    <row r="450" spans="1:7" ht="15.75" x14ac:dyDescent="0.25">
      <c r="A450" s="71" t="s">
        <v>113</v>
      </c>
      <c r="B450" s="11" t="s">
        <v>605</v>
      </c>
      <c r="C450" s="12" t="s">
        <v>64</v>
      </c>
      <c r="D450" s="1" t="s">
        <v>603</v>
      </c>
      <c r="E450" s="21">
        <v>41837</v>
      </c>
      <c r="F450" s="118">
        <v>10.319000000000001</v>
      </c>
      <c r="G450" s="119">
        <v>39.033999999999999</v>
      </c>
    </row>
    <row r="451" spans="1:7" ht="15.75" x14ac:dyDescent="0.25">
      <c r="A451" s="71" t="s">
        <v>104</v>
      </c>
      <c r="B451" s="11" t="s">
        <v>595</v>
      </c>
      <c r="C451" s="12" t="s">
        <v>61</v>
      </c>
      <c r="D451" s="1" t="s">
        <v>603</v>
      </c>
      <c r="E451" s="21">
        <v>41957</v>
      </c>
      <c r="F451" s="118">
        <v>11.7</v>
      </c>
      <c r="G451" s="119">
        <v>42.789000000000001</v>
      </c>
    </row>
    <row r="452" spans="1:7" ht="15.75" x14ac:dyDescent="0.25">
      <c r="A452" s="71" t="s">
        <v>96</v>
      </c>
      <c r="B452" s="11" t="s">
        <v>596</v>
      </c>
      <c r="C452" s="12" t="s">
        <v>49</v>
      </c>
      <c r="D452" s="1" t="s">
        <v>603</v>
      </c>
      <c r="E452" s="21">
        <v>42003</v>
      </c>
      <c r="F452" s="118">
        <v>6.62</v>
      </c>
      <c r="G452" s="119">
        <v>23</v>
      </c>
    </row>
    <row r="453" spans="1:7" ht="15.75" x14ac:dyDescent="0.25">
      <c r="A453" s="71" t="s">
        <v>140</v>
      </c>
      <c r="B453" s="11" t="s">
        <v>597</v>
      </c>
      <c r="C453" s="12" t="s">
        <v>56</v>
      </c>
      <c r="D453" s="1" t="s">
        <v>603</v>
      </c>
      <c r="E453" s="21">
        <v>42004</v>
      </c>
      <c r="F453" s="118">
        <v>3.72</v>
      </c>
      <c r="G453" s="119">
        <v>14.47</v>
      </c>
    </row>
    <row r="454" spans="1:7" ht="15.75" x14ac:dyDescent="0.25">
      <c r="A454" s="71" t="s">
        <v>106</v>
      </c>
      <c r="B454" s="11" t="s">
        <v>598</v>
      </c>
      <c r="C454" s="12" t="s">
        <v>41</v>
      </c>
      <c r="D454" s="1" t="s">
        <v>603</v>
      </c>
      <c r="E454" s="21">
        <v>41775</v>
      </c>
      <c r="F454" s="118">
        <v>5.4219999999999997</v>
      </c>
      <c r="G454" s="119">
        <v>18.61</v>
      </c>
    </row>
    <row r="455" spans="1:7" ht="16.5" thickBot="1" x14ac:dyDescent="0.3">
      <c r="A455" s="76" t="s">
        <v>139</v>
      </c>
      <c r="B455" s="48" t="s">
        <v>599</v>
      </c>
      <c r="C455" s="33" t="s">
        <v>31</v>
      </c>
      <c r="D455" s="34" t="s">
        <v>603</v>
      </c>
      <c r="E455" s="35">
        <v>41929</v>
      </c>
      <c r="F455" s="36">
        <v>3.9780000000000002</v>
      </c>
      <c r="G455" s="66">
        <v>10.063000000000001</v>
      </c>
    </row>
    <row r="457" spans="1:7" x14ac:dyDescent="0.25">
      <c r="A457" s="137" t="s">
        <v>607</v>
      </c>
      <c r="B457" t="s">
        <v>609</v>
      </c>
    </row>
    <row r="458" spans="1:7" x14ac:dyDescent="0.25">
      <c r="A458" s="113" t="s">
        <v>4</v>
      </c>
      <c r="B458" s="114">
        <v>3929.2890000000002</v>
      </c>
    </row>
    <row r="459" spans="1:7" x14ac:dyDescent="0.25">
      <c r="A459" s="113" t="s">
        <v>5</v>
      </c>
      <c r="B459" s="114">
        <v>783.98</v>
      </c>
    </row>
    <row r="460" spans="1:7" x14ac:dyDescent="0.25">
      <c r="A460" s="113" t="s">
        <v>84</v>
      </c>
      <c r="B460" s="114">
        <v>22.3</v>
      </c>
    </row>
    <row r="461" spans="1:7" x14ac:dyDescent="0.25">
      <c r="A461" s="113" t="s">
        <v>6</v>
      </c>
      <c r="B461" s="114">
        <v>486.56699999999995</v>
      </c>
    </row>
    <row r="462" spans="1:7" x14ac:dyDescent="0.25">
      <c r="A462" s="113" t="s">
        <v>7</v>
      </c>
      <c r="B462" s="114">
        <v>171</v>
      </c>
    </row>
    <row r="463" spans="1:7" x14ac:dyDescent="0.25">
      <c r="A463" s="113" t="s">
        <v>8</v>
      </c>
      <c r="B463" s="114">
        <v>2150.8709999999996</v>
      </c>
    </row>
    <row r="464" spans="1:7" x14ac:dyDescent="0.25">
      <c r="A464" s="113" t="s">
        <v>9</v>
      </c>
      <c r="B464" s="114">
        <v>62.32</v>
      </c>
    </row>
    <row r="465" spans="1:2" x14ac:dyDescent="0.25">
      <c r="A465" s="113" t="s">
        <v>10</v>
      </c>
      <c r="B465" s="114">
        <v>687.82800000000009</v>
      </c>
    </row>
    <row r="466" spans="1:2" x14ac:dyDescent="0.25">
      <c r="A466" s="113" t="s">
        <v>11</v>
      </c>
      <c r="B466" s="114">
        <v>163.34999999999997</v>
      </c>
    </row>
    <row r="467" spans="1:2" x14ac:dyDescent="0.25">
      <c r="A467" s="113" t="s">
        <v>12</v>
      </c>
      <c r="B467" s="114">
        <v>67.66</v>
      </c>
    </row>
    <row r="468" spans="1:2" x14ac:dyDescent="0.25">
      <c r="A468" s="113" t="s">
        <v>13</v>
      </c>
      <c r="B468" s="114">
        <v>24</v>
      </c>
    </row>
    <row r="469" spans="1:2" x14ac:dyDescent="0.25">
      <c r="A469" s="113" t="s">
        <v>14</v>
      </c>
      <c r="B469" s="114">
        <v>210</v>
      </c>
    </row>
    <row r="470" spans="1:2" x14ac:dyDescent="0.25">
      <c r="A470" s="113" t="s">
        <v>15</v>
      </c>
      <c r="B470" s="114">
        <v>94.55</v>
      </c>
    </row>
    <row r="471" spans="1:2" x14ac:dyDescent="0.25">
      <c r="A471" s="113" t="s">
        <v>16</v>
      </c>
      <c r="B471" s="114">
        <v>122.11</v>
      </c>
    </row>
    <row r="472" spans="1:2" x14ac:dyDescent="0.25">
      <c r="A472" s="113" t="s">
        <v>17</v>
      </c>
      <c r="B472" s="114">
        <v>127</v>
      </c>
    </row>
    <row r="473" spans="1:2" x14ac:dyDescent="0.25">
      <c r="A473" s="113" t="s">
        <v>18</v>
      </c>
      <c r="B473" s="114">
        <v>2.0649999999999999</v>
      </c>
    </row>
    <row r="474" spans="1:2" x14ac:dyDescent="0.25">
      <c r="A474" s="113" t="s">
        <v>19</v>
      </c>
      <c r="B474" s="114">
        <v>316.17</v>
      </c>
    </row>
    <row r="475" spans="1:2" x14ac:dyDescent="0.25">
      <c r="A475" s="113" t="s">
        <v>20</v>
      </c>
      <c r="B475" s="114">
        <v>643.52</v>
      </c>
    </row>
    <row r="476" spans="1:2" x14ac:dyDescent="0.25">
      <c r="A476" s="113" t="s">
        <v>21</v>
      </c>
      <c r="B476" s="114">
        <v>5</v>
      </c>
    </row>
    <row r="477" spans="1:2" x14ac:dyDescent="0.25">
      <c r="A477" s="113" t="s">
        <v>22</v>
      </c>
      <c r="B477" s="114">
        <v>211.2</v>
      </c>
    </row>
    <row r="478" spans="1:2" x14ac:dyDescent="0.25">
      <c r="A478" s="113" t="s">
        <v>23</v>
      </c>
      <c r="B478" s="114">
        <v>256.66399999999999</v>
      </c>
    </row>
    <row r="479" spans="1:2" x14ac:dyDescent="0.25">
      <c r="A479" s="113" t="s">
        <v>24</v>
      </c>
      <c r="B479" s="114">
        <v>150.095</v>
      </c>
    </row>
    <row r="480" spans="1:2" x14ac:dyDescent="0.25">
      <c r="A480" s="113" t="s">
        <v>25</v>
      </c>
      <c r="B480" s="114">
        <v>291.37</v>
      </c>
    </row>
    <row r="481" spans="1:2" x14ac:dyDescent="0.25">
      <c r="A481" s="113" t="s">
        <v>26</v>
      </c>
      <c r="B481" s="114">
        <v>252.68</v>
      </c>
    </row>
    <row r="482" spans="1:2" x14ac:dyDescent="0.25">
      <c r="A482" s="113" t="s">
        <v>27</v>
      </c>
      <c r="B482" s="114">
        <v>489.89</v>
      </c>
    </row>
    <row r="483" spans="1:2" x14ac:dyDescent="0.25">
      <c r="A483" s="113" t="s">
        <v>28</v>
      </c>
      <c r="B483" s="114">
        <v>1896.65</v>
      </c>
    </row>
    <row r="484" spans="1:2" x14ac:dyDescent="0.25">
      <c r="A484" s="113" t="s">
        <v>29</v>
      </c>
      <c r="B484" s="114">
        <v>87.2</v>
      </c>
    </row>
    <row r="485" spans="1:2" x14ac:dyDescent="0.25">
      <c r="A485" s="113" t="s">
        <v>30</v>
      </c>
      <c r="B485" s="114">
        <v>11.52</v>
      </c>
    </row>
    <row r="486" spans="1:2" x14ac:dyDescent="0.25">
      <c r="A486" s="113" t="s">
        <v>31</v>
      </c>
      <c r="B486" s="114">
        <v>2074.973</v>
      </c>
    </row>
    <row r="487" spans="1:2" x14ac:dyDescent="0.25">
      <c r="A487" s="113" t="s">
        <v>32</v>
      </c>
      <c r="B487" s="114">
        <v>1611.57</v>
      </c>
    </row>
    <row r="488" spans="1:2" x14ac:dyDescent="0.25">
      <c r="A488" s="113" t="s">
        <v>33</v>
      </c>
      <c r="B488" s="114">
        <v>160.41800000000001</v>
      </c>
    </row>
    <row r="489" spans="1:2" x14ac:dyDescent="0.25">
      <c r="A489" s="113" t="s">
        <v>34</v>
      </c>
      <c r="B489" s="114">
        <v>50.67</v>
      </c>
    </row>
    <row r="490" spans="1:2" x14ac:dyDescent="0.25">
      <c r="A490" s="113" t="s">
        <v>35</v>
      </c>
      <c r="B490" s="114">
        <v>12</v>
      </c>
    </row>
    <row r="491" spans="1:2" x14ac:dyDescent="0.25">
      <c r="A491" s="113" t="s">
        <v>36</v>
      </c>
      <c r="B491" s="114">
        <v>393.09000000000003</v>
      </c>
    </row>
    <row r="492" spans="1:2" x14ac:dyDescent="0.25">
      <c r="A492" s="113" t="s">
        <v>37</v>
      </c>
      <c r="B492" s="114">
        <v>2026.5699999999995</v>
      </c>
    </row>
    <row r="493" spans="1:2" x14ac:dyDescent="0.25">
      <c r="A493" s="113" t="s">
        <v>38</v>
      </c>
      <c r="B493" s="114">
        <v>250.43</v>
      </c>
    </row>
    <row r="494" spans="1:2" x14ac:dyDescent="0.25">
      <c r="A494" s="113" t="s">
        <v>39</v>
      </c>
      <c r="B494" s="114">
        <v>595.53</v>
      </c>
    </row>
    <row r="495" spans="1:2" x14ac:dyDescent="0.25">
      <c r="A495" s="113" t="s">
        <v>40</v>
      </c>
      <c r="B495" s="114">
        <v>560.98099999999999</v>
      </c>
    </row>
    <row r="496" spans="1:2" x14ac:dyDescent="0.25">
      <c r="A496" s="113" t="s">
        <v>41</v>
      </c>
      <c r="B496" s="114">
        <v>70.599999999999994</v>
      </c>
    </row>
    <row r="497" spans="1:2" x14ac:dyDescent="0.25">
      <c r="A497" s="113" t="s">
        <v>42</v>
      </c>
      <c r="B497" s="114">
        <v>1119.73</v>
      </c>
    </row>
    <row r="498" spans="1:2" x14ac:dyDescent="0.25">
      <c r="A498" s="113" t="s">
        <v>43</v>
      </c>
      <c r="B498" s="114">
        <v>90</v>
      </c>
    </row>
    <row r="499" spans="1:2" x14ac:dyDescent="0.25">
      <c r="A499" s="113" t="s">
        <v>44</v>
      </c>
      <c r="B499" s="114">
        <v>1.44</v>
      </c>
    </row>
    <row r="500" spans="1:2" x14ac:dyDescent="0.25">
      <c r="A500" s="113" t="s">
        <v>45</v>
      </c>
      <c r="B500" s="114">
        <v>73.400000000000006</v>
      </c>
    </row>
    <row r="501" spans="1:2" x14ac:dyDescent="0.25">
      <c r="A501" s="113" t="s">
        <v>46</v>
      </c>
      <c r="B501" s="114">
        <v>18</v>
      </c>
    </row>
    <row r="502" spans="1:2" x14ac:dyDescent="0.25">
      <c r="A502" s="113" t="s">
        <v>47</v>
      </c>
      <c r="B502" s="114">
        <v>247.095</v>
      </c>
    </row>
    <row r="503" spans="1:2" x14ac:dyDescent="0.25">
      <c r="A503" s="113" t="s">
        <v>48</v>
      </c>
      <c r="B503" s="114">
        <v>42</v>
      </c>
    </row>
    <row r="504" spans="1:2" x14ac:dyDescent="0.25">
      <c r="A504" s="113" t="s">
        <v>49</v>
      </c>
      <c r="B504" s="114">
        <v>814.2</v>
      </c>
    </row>
    <row r="505" spans="1:2" x14ac:dyDescent="0.25">
      <c r="A505" s="113" t="s">
        <v>50</v>
      </c>
      <c r="B505" s="114">
        <v>774.49</v>
      </c>
    </row>
    <row r="506" spans="1:2" x14ac:dyDescent="0.25">
      <c r="A506" s="113" t="s">
        <v>51</v>
      </c>
      <c r="B506" s="114">
        <v>14.93</v>
      </c>
    </row>
    <row r="507" spans="1:2" x14ac:dyDescent="0.25">
      <c r="A507" s="113" t="s">
        <v>52</v>
      </c>
      <c r="B507" s="114">
        <v>376.64</v>
      </c>
    </row>
    <row r="508" spans="1:2" x14ac:dyDescent="0.25">
      <c r="A508" s="113" t="s">
        <v>53</v>
      </c>
      <c r="B508" s="114">
        <v>0.6</v>
      </c>
    </row>
    <row r="509" spans="1:2" x14ac:dyDescent="0.25">
      <c r="A509" s="113" t="s">
        <v>54</v>
      </c>
      <c r="B509" s="114">
        <v>769.55499999999995</v>
      </c>
    </row>
    <row r="510" spans="1:2" x14ac:dyDescent="0.25">
      <c r="A510" s="113" t="s">
        <v>55</v>
      </c>
      <c r="B510" s="114">
        <v>506.03999999999996</v>
      </c>
    </row>
    <row r="511" spans="1:2" x14ac:dyDescent="0.25">
      <c r="A511" s="113" t="s">
        <v>56</v>
      </c>
      <c r="B511" s="114">
        <v>1330.8300000000004</v>
      </c>
    </row>
    <row r="512" spans="1:2" x14ac:dyDescent="0.25">
      <c r="A512" s="113" t="s">
        <v>57</v>
      </c>
      <c r="B512" s="114">
        <v>284.34000000000003</v>
      </c>
    </row>
    <row r="513" spans="1:2" x14ac:dyDescent="0.25">
      <c r="A513" s="113" t="s">
        <v>58</v>
      </c>
      <c r="B513" s="114">
        <v>169.96800000000002</v>
      </c>
    </row>
    <row r="514" spans="1:2" x14ac:dyDescent="0.25">
      <c r="A514" s="113" t="s">
        <v>59</v>
      </c>
      <c r="B514" s="114">
        <v>1109.0900000000001</v>
      </c>
    </row>
    <row r="515" spans="1:2" x14ac:dyDescent="0.25">
      <c r="A515" s="113" t="s">
        <v>60</v>
      </c>
      <c r="B515" s="114">
        <v>1560.03</v>
      </c>
    </row>
    <row r="516" spans="1:2" x14ac:dyDescent="0.25">
      <c r="A516" s="113" t="s">
        <v>61</v>
      </c>
      <c r="B516" s="114">
        <v>922.55499999999995</v>
      </c>
    </row>
    <row r="517" spans="1:2" x14ac:dyDescent="0.25">
      <c r="A517" s="113" t="s">
        <v>145</v>
      </c>
      <c r="B517" s="114">
        <v>2516</v>
      </c>
    </row>
    <row r="518" spans="1:2" x14ac:dyDescent="0.25">
      <c r="A518" s="113" t="s">
        <v>62</v>
      </c>
      <c r="B518" s="114">
        <v>1.2</v>
      </c>
    </row>
    <row r="519" spans="1:2" x14ac:dyDescent="0.25">
      <c r="A519" s="113" t="s">
        <v>63</v>
      </c>
      <c r="B519" s="114">
        <v>833.9</v>
      </c>
    </row>
    <row r="520" spans="1:2" x14ac:dyDescent="0.25">
      <c r="A520" s="113" t="s">
        <v>64</v>
      </c>
      <c r="B520" s="114">
        <v>1560.8130000000003</v>
      </c>
    </row>
    <row r="521" spans="1:2" x14ac:dyDescent="0.25">
      <c r="A521" s="113" t="s">
        <v>65</v>
      </c>
      <c r="B521" s="114">
        <v>781.00199999999995</v>
      </c>
    </row>
    <row r="522" spans="1:2" x14ac:dyDescent="0.25">
      <c r="A522" s="113" t="s">
        <v>66</v>
      </c>
      <c r="B522" s="114">
        <v>252.7</v>
      </c>
    </row>
    <row r="523" spans="1:2" x14ac:dyDescent="0.25">
      <c r="A523" s="113" t="s">
        <v>67</v>
      </c>
      <c r="B523" s="114">
        <v>141</v>
      </c>
    </row>
    <row r="524" spans="1:2" x14ac:dyDescent="0.25">
      <c r="A524" s="113" t="s">
        <v>608</v>
      </c>
      <c r="B524" s="114">
        <v>37835.228999999999</v>
      </c>
    </row>
  </sheetData>
  <autoFilter ref="A1:G455"/>
  <mergeCells count="8">
    <mergeCell ref="F388:F389"/>
    <mergeCell ref="G388:G389"/>
    <mergeCell ref="G60:G61"/>
    <mergeCell ref="G76:G77"/>
    <mergeCell ref="F130:F131"/>
    <mergeCell ref="G130:G131"/>
    <mergeCell ref="F249:F250"/>
    <mergeCell ref="G249:G250"/>
  </mergeCells>
  <conditionalFormatting sqref="F410:H411">
    <cfRule type="cellIs" dxfId="5" priority="5" stopIfTrue="1" operator="equal">
      <formula>0</formula>
    </cfRule>
    <cfRule type="cellIs" dxfId="4" priority="6" stopIfTrue="1" operator="equal">
      <formula>""</formula>
    </cfRule>
  </conditionalFormatting>
  <conditionalFormatting sqref="F412:G454">
    <cfRule type="cellIs" dxfId="3" priority="3" stopIfTrue="1" operator="equal">
      <formula>0</formula>
    </cfRule>
    <cfRule type="cellIs" dxfId="2" priority="4" stopIfTrue="1" operator="equal">
      <formula>""</formula>
    </cfRule>
  </conditionalFormatting>
  <conditionalFormatting sqref="F455:G455">
    <cfRule type="cellIs" dxfId="1" priority="1" stopIfTrue="1" operator="equal">
      <formula>0</formula>
    </cfRule>
    <cfRule type="cellIs" dxfId="0" priority="2" stopIfTrue="1" operator="equal">
      <formula>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4</vt:i4>
      </vt:variant>
    </vt:vector>
  </HeadingPairs>
  <TitlesOfParts>
    <vt:vector size="7" baseType="lpstr">
      <vt:lpstr>2.4.2.Tablo</vt:lpstr>
      <vt:lpstr>Sayfa</vt:lpstr>
      <vt:lpstr>Sayfa1</vt:lpstr>
      <vt:lpstr>'2.4.2.Tablo'!Yazdırma_Alanı</vt:lpstr>
      <vt:lpstr>Sayfa!Yazdırma_Alanı</vt:lpstr>
      <vt:lpstr>'2.4.2.Tablo'!Yazdırma_Başlıkları</vt:lpstr>
      <vt:lpstr>Sayfa!Yazdırma_Başlıkları</vt:lpstr>
    </vt:vector>
  </TitlesOfParts>
  <Company>DSI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Gündüz</dc:creator>
  <cp:lastModifiedBy>Taylan Sarıaltın</cp:lastModifiedBy>
  <cp:lastPrinted>2015-12-15T09:30:20Z</cp:lastPrinted>
  <dcterms:created xsi:type="dcterms:W3CDTF">2014-12-26T10:52:05Z</dcterms:created>
  <dcterms:modified xsi:type="dcterms:W3CDTF">2015-12-21T08:20:18Z</dcterms:modified>
</cp:coreProperties>
</file>