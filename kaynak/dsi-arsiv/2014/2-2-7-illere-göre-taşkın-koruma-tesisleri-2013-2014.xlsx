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7.xml" ContentType="application/vnd.openxmlformats-officedocument.drawingml.chartshapes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585" windowWidth="14805" windowHeight="7500"/>
  </bookViews>
  <sheets>
    <sheet name="2.2.7.Tablo" sheetId="1" r:id="rId1"/>
    <sheet name="Sayfa1" sheetId="2" state="hidden" r:id="rId2"/>
  </sheets>
  <definedNames>
    <definedName name="_xlnm.Print_Area" localSheetId="0">'2.2.7.Tablo'!$A$1:$U$142</definedName>
  </definedNames>
  <calcPr calcId="145621" iterate="1" iterateCount="1"/>
</workbook>
</file>

<file path=xl/calcChain.xml><?xml version="1.0" encoding="utf-8"?>
<calcChain xmlns="http://schemas.openxmlformats.org/spreadsheetml/2006/main">
  <c r="G5" i="2" l="1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4" i="2"/>
  <c r="E33" i="2" l="1"/>
  <c r="E27" i="2"/>
  <c r="D27" i="2"/>
  <c r="E10" i="2"/>
  <c r="C10" i="2"/>
  <c r="B10" i="2"/>
  <c r="F36" i="1" l="1"/>
  <c r="F30" i="1"/>
  <c r="D30" i="1"/>
  <c r="D6" i="1" s="1"/>
  <c r="F13" i="1"/>
  <c r="E13" i="1"/>
  <c r="E6" i="1" s="1"/>
  <c r="C13" i="1"/>
  <c r="C6" i="1" s="1"/>
  <c r="F6" i="1" l="1"/>
</calcChain>
</file>

<file path=xl/sharedStrings.xml><?xml version="1.0" encoding="utf-8"?>
<sst xmlns="http://schemas.openxmlformats.org/spreadsheetml/2006/main" count="347" uniqueCount="171">
  <si>
    <t xml:space="preserve">İBBS(1) - 3. Düzey         </t>
  </si>
  <si>
    <t>TR</t>
  </si>
  <si>
    <t xml:space="preserve">Türkiye </t>
  </si>
  <si>
    <t>TR723</t>
  </si>
  <si>
    <t>Yozgat</t>
  </si>
  <si>
    <t>TR100</t>
  </si>
  <si>
    <t>İstanbul</t>
  </si>
  <si>
    <t>TR811</t>
  </si>
  <si>
    <t>Zonguldak</t>
  </si>
  <si>
    <t>TR211</t>
  </si>
  <si>
    <t>Tekirdağ</t>
  </si>
  <si>
    <t>TR812</t>
  </si>
  <si>
    <t>Karabük</t>
  </si>
  <si>
    <t>TR212</t>
  </si>
  <si>
    <t>Edirne</t>
  </si>
  <si>
    <t>TR813</t>
  </si>
  <si>
    <t>Bartın</t>
  </si>
  <si>
    <t>TR213</t>
  </si>
  <si>
    <t>Kırklareli</t>
  </si>
  <si>
    <t>TR821</t>
  </si>
  <si>
    <t>Kastamonu</t>
  </si>
  <si>
    <t>TR221</t>
  </si>
  <si>
    <t>Balıkesir</t>
  </si>
  <si>
    <t>TR822</t>
  </si>
  <si>
    <t>Çankırı</t>
  </si>
  <si>
    <t>TR222</t>
  </si>
  <si>
    <t>Çanakkale</t>
  </si>
  <si>
    <t>TR823</t>
  </si>
  <si>
    <t>Sinop</t>
  </si>
  <si>
    <t>TR310</t>
  </si>
  <si>
    <t>İzmir</t>
  </si>
  <si>
    <t>TR831</t>
  </si>
  <si>
    <t>Samsun</t>
  </si>
  <si>
    <t>TR321</t>
  </si>
  <si>
    <t>Aydın</t>
  </si>
  <si>
    <t>TR832</t>
  </si>
  <si>
    <t>Tokat</t>
  </si>
  <si>
    <t>TR322</t>
  </si>
  <si>
    <t>Denizli</t>
  </si>
  <si>
    <t>TR833</t>
  </si>
  <si>
    <t>Çorum</t>
  </si>
  <si>
    <t>TR323</t>
  </si>
  <si>
    <t>Muğla</t>
  </si>
  <si>
    <t>TR834</t>
  </si>
  <si>
    <t>Amasya</t>
  </si>
  <si>
    <t>TR331</t>
  </si>
  <si>
    <t>Manisa</t>
  </si>
  <si>
    <t>TR901</t>
  </si>
  <si>
    <t>Trabzon</t>
  </si>
  <si>
    <t>TR332</t>
  </si>
  <si>
    <t>Afyonkarahisar</t>
  </si>
  <si>
    <t>TR902</t>
  </si>
  <si>
    <t>Ordu</t>
  </si>
  <si>
    <t>TR333</t>
  </si>
  <si>
    <t>Kütahya</t>
  </si>
  <si>
    <t>TR903</t>
  </si>
  <si>
    <t>Giresun</t>
  </si>
  <si>
    <t>TR334</t>
  </si>
  <si>
    <t>Uşak</t>
  </si>
  <si>
    <t>TR904</t>
  </si>
  <si>
    <t>Rize</t>
  </si>
  <si>
    <t>TR411</t>
  </si>
  <si>
    <t>Bursa</t>
  </si>
  <si>
    <t>TR905</t>
  </si>
  <si>
    <t>Artvin</t>
  </si>
  <si>
    <t>TR412</t>
  </si>
  <si>
    <t>Eskişehir</t>
  </si>
  <si>
    <t>TR906</t>
  </si>
  <si>
    <t>Gümüşhane</t>
  </si>
  <si>
    <t>TR413</t>
  </si>
  <si>
    <t>Bilecik</t>
  </si>
  <si>
    <t>TRA11</t>
  </si>
  <si>
    <t>Erzurum</t>
  </si>
  <si>
    <t>TR421</t>
  </si>
  <si>
    <t>Kocaeli</t>
  </si>
  <si>
    <t>TRA12</t>
  </si>
  <si>
    <t>Erzincan</t>
  </si>
  <si>
    <t>TR422</t>
  </si>
  <si>
    <t>Sakarya</t>
  </si>
  <si>
    <t>TRA13</t>
  </si>
  <si>
    <t>Bayburt</t>
  </si>
  <si>
    <t>TR423</t>
  </si>
  <si>
    <t>Düzce</t>
  </si>
  <si>
    <t>TRA21</t>
  </si>
  <si>
    <t>Ağrı</t>
  </si>
  <si>
    <t>TR424</t>
  </si>
  <si>
    <t>Bolu</t>
  </si>
  <si>
    <t>TRA22</t>
  </si>
  <si>
    <t>Kars</t>
  </si>
  <si>
    <t>TR425</t>
  </si>
  <si>
    <t>Yalova</t>
  </si>
  <si>
    <t>TRA23</t>
  </si>
  <si>
    <t>Iğdır</t>
  </si>
  <si>
    <t>TR510</t>
  </si>
  <si>
    <t>Ankara</t>
  </si>
  <si>
    <t>TRA24</t>
  </si>
  <si>
    <t>Ardahan</t>
  </si>
  <si>
    <t>TR521</t>
  </si>
  <si>
    <t>Konya</t>
  </si>
  <si>
    <t>TRB11</t>
  </si>
  <si>
    <t>Malatya</t>
  </si>
  <si>
    <t>TR522</t>
  </si>
  <si>
    <t>Karaman</t>
  </si>
  <si>
    <t>TRB12</t>
  </si>
  <si>
    <t>Elazığ</t>
  </si>
  <si>
    <t>TR611</t>
  </si>
  <si>
    <t>Antalya</t>
  </si>
  <si>
    <t>TRB13</t>
  </si>
  <si>
    <t>Bingöl</t>
  </si>
  <si>
    <t>TR612</t>
  </si>
  <si>
    <t>Isparta</t>
  </si>
  <si>
    <t>TRB14</t>
  </si>
  <si>
    <t>Tunceli</t>
  </si>
  <si>
    <t>TR613</t>
  </si>
  <si>
    <t>Burdur</t>
  </si>
  <si>
    <t>TRB21</t>
  </si>
  <si>
    <t>Van</t>
  </si>
  <si>
    <t>TR621</t>
  </si>
  <si>
    <t>Adana</t>
  </si>
  <si>
    <t>TRB22</t>
  </si>
  <si>
    <t>Muş</t>
  </si>
  <si>
    <t>TR622</t>
  </si>
  <si>
    <t>Mersin</t>
  </si>
  <si>
    <t>TRB23</t>
  </si>
  <si>
    <t>Bitlis</t>
  </si>
  <si>
    <t>TR631</t>
  </si>
  <si>
    <t>Hatay</t>
  </si>
  <si>
    <t>TRB24</t>
  </si>
  <si>
    <t>Hakkari</t>
  </si>
  <si>
    <t>TR632</t>
  </si>
  <si>
    <t>Kahramanmaraş</t>
  </si>
  <si>
    <t>TRC11</t>
  </si>
  <si>
    <t>Gaziantep</t>
  </si>
  <si>
    <t>TR633</t>
  </si>
  <si>
    <t>Osmaniye</t>
  </si>
  <si>
    <t>TRC12</t>
  </si>
  <si>
    <t>Adıyaman</t>
  </si>
  <si>
    <t>TR711</t>
  </si>
  <si>
    <t>Kırıkkale</t>
  </si>
  <si>
    <t>TRC13</t>
  </si>
  <si>
    <t>Kilis</t>
  </si>
  <si>
    <t>TR712</t>
  </si>
  <si>
    <t>Aksaray</t>
  </si>
  <si>
    <t>TRC21</t>
  </si>
  <si>
    <t>Şanlıurfa</t>
  </si>
  <si>
    <t>TR713</t>
  </si>
  <si>
    <t>Niğde</t>
  </si>
  <si>
    <t>TRC22</t>
  </si>
  <si>
    <t>Diyarbakır</t>
  </si>
  <si>
    <t>TR714</t>
  </si>
  <si>
    <t>Nevşehir</t>
  </si>
  <si>
    <t>TRC31</t>
  </si>
  <si>
    <t>Mardin</t>
  </si>
  <si>
    <t>TR715</t>
  </si>
  <si>
    <t>Kırşehir</t>
  </si>
  <si>
    <t>TRC32</t>
  </si>
  <si>
    <t>Batman</t>
  </si>
  <si>
    <t>TR721</t>
  </si>
  <si>
    <t>Kayseri</t>
  </si>
  <si>
    <t>TRC33</t>
  </si>
  <si>
    <t>Şırnak</t>
  </si>
  <si>
    <t>TR722</t>
  </si>
  <si>
    <t>Sivas</t>
  </si>
  <si>
    <t>TRC34</t>
  </si>
  <si>
    <t>Siirt</t>
  </si>
  <si>
    <t>(1) İstatistiki Bölge Birimleri Sınıflaması.</t>
  </si>
  <si>
    <t xml:space="preserve">Taşkın Koruma Tesisi </t>
  </si>
  <si>
    <t>Koruma Alanı (ha)</t>
  </si>
  <si>
    <t>Sayı (Adet)</t>
  </si>
  <si>
    <t>İller</t>
  </si>
  <si>
    <t>2.2.7 İllere Göre İşletmedeki Taşkın Koruma Tesisleri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</si>
</sst>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\ ###\ ###\ ###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0"/>
      <name val="Arial"/>
      <family val="2"/>
      <charset val="162"/>
    </font>
    <font>
      <sz val="11"/>
      <name val="Calibri"/>
      <family val="2"/>
      <scheme val="minor"/>
    </font>
    <font>
      <b/>
      <sz val="11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12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  <font>
      <b/>
      <sz val="10"/>
      <color rgb="FF000000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13.5"/>
      <name val="Calibri"/>
      <family val="2"/>
      <charset val="162"/>
      <scheme val="minor"/>
    </font>
    <font>
      <b/>
      <sz val="16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0" fontId="1" fillId="0" borderId="0"/>
  </cellStyleXfs>
  <cellXfs count="51">
    <xf numFmtId="0" fontId="0" fillId="0" borderId="0" xfId="0"/>
    <xf numFmtId="0" fontId="0" fillId="0" borderId="0" xfId="0" applyFill="1" applyBorder="1"/>
    <xf numFmtId="0" fontId="3" fillId="0" borderId="11" xfId="0" applyFont="1" applyFill="1" applyBorder="1"/>
    <xf numFmtId="0" fontId="3" fillId="0" borderId="1" xfId="0" applyFont="1" applyFill="1" applyBorder="1"/>
    <xf numFmtId="0" fontId="0" fillId="0" borderId="0" xfId="0" applyFill="1"/>
    <xf numFmtId="0" fontId="13" fillId="0" borderId="0" xfId="0" applyFont="1" applyFill="1"/>
    <xf numFmtId="0" fontId="0" fillId="0" borderId="15" xfId="0" applyFill="1" applyBorder="1"/>
    <xf numFmtId="0" fontId="0" fillId="0" borderId="14" xfId="0" applyFill="1" applyBorder="1"/>
    <xf numFmtId="0" fontId="6" fillId="0" borderId="0" xfId="0" applyFont="1" applyFill="1" applyBorder="1" applyAlignment="1">
      <alignment horizontal="center" vertical="center"/>
    </xf>
    <xf numFmtId="0" fontId="7" fillId="0" borderId="0" xfId="3" applyFont="1" applyFill="1" applyBorder="1" applyAlignment="1">
      <alignment horizontal="center" vertical="center"/>
    </xf>
    <xf numFmtId="0" fontId="4" fillId="0" borderId="12" xfId="0" applyFont="1" applyFill="1" applyBorder="1"/>
    <xf numFmtId="0" fontId="4" fillId="0" borderId="13" xfId="0" applyFont="1" applyFill="1" applyBorder="1"/>
    <xf numFmtId="0" fontId="4" fillId="0" borderId="10" xfId="0" applyFont="1" applyFill="1" applyBorder="1"/>
    <xf numFmtId="0" fontId="4" fillId="0" borderId="4" xfId="0" applyFont="1" applyFill="1" applyBorder="1"/>
    <xf numFmtId="0" fontId="5" fillId="0" borderId="0" xfId="3" applyFont="1" applyFill="1" applyBorder="1" applyAlignment="1">
      <alignment vertical="center"/>
    </xf>
    <xf numFmtId="164" fontId="0" fillId="0" borderId="0" xfId="0" applyNumberFormat="1" applyFill="1"/>
    <xf numFmtId="0" fontId="4" fillId="0" borderId="6" xfId="0" applyFont="1" applyFill="1" applyBorder="1"/>
    <xf numFmtId="0" fontId="3" fillId="0" borderId="7" xfId="0" applyFont="1" applyFill="1" applyBorder="1"/>
    <xf numFmtId="0" fontId="9" fillId="0" borderId="0" xfId="0" applyFont="1" applyFill="1"/>
    <xf numFmtId="0" fontId="12" fillId="0" borderId="0" xfId="0" applyFont="1" applyFill="1" applyBorder="1"/>
    <xf numFmtId="164" fontId="11" fillId="0" borderId="0" xfId="0" applyNumberFormat="1" applyFont="1" applyFill="1" applyBorder="1" applyAlignment="1">
      <alignment vertical="center"/>
    </xf>
    <xf numFmtId="164" fontId="11" fillId="0" borderId="0" xfId="0" applyNumberFormat="1" applyFont="1" applyFill="1" applyBorder="1" applyAlignment="1">
      <alignment horizontal="right" vertical="center"/>
    </xf>
    <xf numFmtId="0" fontId="4" fillId="0" borderId="9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8" fillId="0" borderId="24" xfId="3" applyFont="1" applyFill="1" applyBorder="1" applyAlignment="1">
      <alignment horizontal="center" vertical="center" wrapText="1"/>
    </xf>
    <xf numFmtId="0" fontId="8" fillId="0" borderId="8" xfId="3" applyFont="1" applyFill="1" applyBorder="1" applyAlignment="1">
      <alignment horizontal="center" vertical="center" wrapText="1"/>
    </xf>
    <xf numFmtId="0" fontId="8" fillId="0" borderId="27" xfId="3" applyFont="1" applyFill="1" applyBorder="1" applyAlignment="1">
      <alignment horizontal="center" vertical="center" wrapText="1"/>
    </xf>
    <xf numFmtId="0" fontId="8" fillId="0" borderId="6" xfId="3" applyFont="1" applyFill="1" applyBorder="1" applyAlignment="1">
      <alignment horizontal="center" vertical="center" wrapText="1"/>
    </xf>
    <xf numFmtId="3" fontId="0" fillId="0" borderId="16" xfId="0" applyNumberFormat="1" applyFill="1" applyBorder="1"/>
    <xf numFmtId="3" fontId="3" fillId="0" borderId="11" xfId="0" applyNumberFormat="1" applyFont="1" applyFill="1" applyBorder="1"/>
    <xf numFmtId="3" fontId="3" fillId="0" borderId="1" xfId="0" applyNumberFormat="1" applyFont="1" applyFill="1" applyBorder="1"/>
    <xf numFmtId="3" fontId="0" fillId="0" borderId="1" xfId="0" applyNumberFormat="1" applyFill="1" applyBorder="1"/>
    <xf numFmtId="3" fontId="0" fillId="0" borderId="7" xfId="0" applyNumberFormat="1" applyFill="1" applyBorder="1"/>
    <xf numFmtId="0" fontId="4" fillId="0" borderId="0" xfId="0" applyFont="1" applyFill="1" applyBorder="1"/>
    <xf numFmtId="3" fontId="0" fillId="0" borderId="0" xfId="0" applyNumberFormat="1" applyFill="1"/>
    <xf numFmtId="3" fontId="0" fillId="0" borderId="0" xfId="0" applyNumberFormat="1"/>
    <xf numFmtId="0" fontId="10" fillId="0" borderId="0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left" vertical="center"/>
    </xf>
    <xf numFmtId="0" fontId="4" fillId="0" borderId="17" xfId="0" applyFont="1" applyFill="1" applyBorder="1" applyAlignment="1">
      <alignment horizontal="center" vertical="center"/>
    </xf>
    <xf numFmtId="0" fontId="4" fillId="0" borderId="18" xfId="0" applyFont="1" applyFill="1" applyBorder="1" applyAlignment="1">
      <alignment horizontal="center" vertical="center"/>
    </xf>
    <xf numFmtId="0" fontId="4" fillId="0" borderId="19" xfId="0" applyFont="1" applyFill="1" applyBorder="1" applyAlignment="1">
      <alignment horizontal="center" vertical="center"/>
    </xf>
    <xf numFmtId="0" fontId="4" fillId="0" borderId="20" xfId="0" applyFont="1" applyFill="1" applyBorder="1" applyAlignment="1">
      <alignment horizontal="center" vertical="center" wrapText="1"/>
    </xf>
    <xf numFmtId="0" fontId="4" fillId="0" borderId="21" xfId="0" applyFont="1" applyFill="1" applyBorder="1" applyAlignment="1">
      <alignment horizontal="center" vertical="center" wrapText="1"/>
    </xf>
    <xf numFmtId="0" fontId="4" fillId="0" borderId="2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7" fillId="0" borderId="4" xfId="3" applyFont="1" applyFill="1" applyBorder="1" applyAlignment="1">
      <alignment horizontal="center" vertical="center"/>
    </xf>
    <xf numFmtId="0" fontId="7" fillId="0" borderId="5" xfId="3" applyFont="1" applyFill="1" applyBorder="1" applyAlignment="1">
      <alignment horizontal="center" vertical="center"/>
    </xf>
    <xf numFmtId="0" fontId="6" fillId="0" borderId="23" xfId="0" applyFont="1" applyFill="1" applyBorder="1" applyAlignment="1">
      <alignment horizontal="center" vertical="center"/>
    </xf>
    <xf numFmtId="0" fontId="6" fillId="0" borderId="25" xfId="0" applyFont="1" applyFill="1" applyBorder="1" applyAlignment="1">
      <alignment horizontal="center" vertical="center"/>
    </xf>
    <xf numFmtId="0" fontId="7" fillId="0" borderId="26" xfId="3" applyFont="1" applyFill="1" applyBorder="1" applyAlignment="1">
      <alignment horizontal="center" vertical="center"/>
    </xf>
  </cellXfs>
  <cellStyles count="4">
    <cellStyle name="Normal" xfId="0" builtinId="0"/>
    <cellStyle name="Normal 2" xfId="1"/>
    <cellStyle name="Normal 3" xfId="3"/>
    <cellStyle name="Normal 6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2.2.7.İllere Göre İşletmedeki Taşkın Koruma Tesisleri,Adet</a:t>
            </a:r>
            <a:r>
              <a:rPr lang="tr-TR" baseline="0"/>
              <a:t> 2013-2014</a:t>
            </a:r>
            <a:endParaRPr lang="tr-TR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4215498503237547E-2"/>
          <c:y val="0.11839047717311825"/>
          <c:w val="0.96821380505170518"/>
          <c:h val="0.718096549708764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Sayfa1!$B$3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dLbls>
            <c:txPr>
              <a:bodyPr rot="-5400000" vert="horz"/>
              <a:lstStyle/>
              <a:p>
                <a:pPr>
                  <a:defRPr sz="900" b="0">
                    <a:solidFill>
                      <a:schemeClr val="accent1">
                        <a:lumMod val="75000"/>
                      </a:schemeClr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Sayfa1!$A$4:$A$84</c:f>
              <c:strCache>
                <c:ptCount val="81"/>
                <c:pt idx="0">
                  <c:v>İstanbul</c:v>
                </c:pt>
                <c:pt idx="1">
                  <c:v>Tekirdağ</c:v>
                </c:pt>
                <c:pt idx="2">
                  <c:v>Edirne</c:v>
                </c:pt>
                <c:pt idx="3">
                  <c:v>Kırklareli</c:v>
                </c:pt>
                <c:pt idx="4">
                  <c:v>Balıkesir</c:v>
                </c:pt>
                <c:pt idx="5">
                  <c:v>Çanakkale</c:v>
                </c:pt>
                <c:pt idx="6">
                  <c:v>İzmir</c:v>
                </c:pt>
                <c:pt idx="7">
                  <c:v>Aydın</c:v>
                </c:pt>
                <c:pt idx="8">
                  <c:v>Denizli</c:v>
                </c:pt>
                <c:pt idx="9">
                  <c:v>Muğla</c:v>
                </c:pt>
                <c:pt idx="10">
                  <c:v>Manisa</c:v>
                </c:pt>
                <c:pt idx="11">
                  <c:v>Afyonkarahisar</c:v>
                </c:pt>
                <c:pt idx="12">
                  <c:v>Kütahya</c:v>
                </c:pt>
                <c:pt idx="13">
                  <c:v>Uşak</c:v>
                </c:pt>
                <c:pt idx="14">
                  <c:v>Bursa</c:v>
                </c:pt>
                <c:pt idx="15">
                  <c:v>Eskişehir</c:v>
                </c:pt>
                <c:pt idx="16">
                  <c:v>Bilecik</c:v>
                </c:pt>
                <c:pt idx="17">
                  <c:v>Kocaeli</c:v>
                </c:pt>
                <c:pt idx="18">
                  <c:v>Sakarya</c:v>
                </c:pt>
                <c:pt idx="19">
                  <c:v>Düzce</c:v>
                </c:pt>
                <c:pt idx="20">
                  <c:v>Bolu</c:v>
                </c:pt>
                <c:pt idx="21">
                  <c:v>Yalova</c:v>
                </c:pt>
                <c:pt idx="22">
                  <c:v>Ankara</c:v>
                </c:pt>
                <c:pt idx="23">
                  <c:v>Konya</c:v>
                </c:pt>
                <c:pt idx="24">
                  <c:v>Karaman</c:v>
                </c:pt>
                <c:pt idx="25">
                  <c:v>Antalya</c:v>
                </c:pt>
                <c:pt idx="26">
                  <c:v>Isparta</c:v>
                </c:pt>
                <c:pt idx="27">
                  <c:v>Burdur</c:v>
                </c:pt>
                <c:pt idx="28">
                  <c:v>Adana</c:v>
                </c:pt>
                <c:pt idx="29">
                  <c:v>Mersin</c:v>
                </c:pt>
                <c:pt idx="30">
                  <c:v>Hatay</c:v>
                </c:pt>
                <c:pt idx="31">
                  <c:v>Kahramanmaraş</c:v>
                </c:pt>
                <c:pt idx="32">
                  <c:v>Osmaniye</c:v>
                </c:pt>
                <c:pt idx="33">
                  <c:v>Kırıkkale</c:v>
                </c:pt>
                <c:pt idx="34">
                  <c:v>Aksaray</c:v>
                </c:pt>
                <c:pt idx="35">
                  <c:v>Niğde</c:v>
                </c:pt>
                <c:pt idx="36">
                  <c:v>Nevşehir</c:v>
                </c:pt>
                <c:pt idx="37">
                  <c:v>Kırşehir</c:v>
                </c:pt>
                <c:pt idx="38">
                  <c:v>Kayseri</c:v>
                </c:pt>
                <c:pt idx="39">
                  <c:v>Sivas</c:v>
                </c:pt>
                <c:pt idx="40">
                  <c:v>Yozgat</c:v>
                </c:pt>
                <c:pt idx="41">
                  <c:v>Zonguldak</c:v>
                </c:pt>
                <c:pt idx="42">
                  <c:v>Karabük</c:v>
                </c:pt>
                <c:pt idx="43">
                  <c:v>Bartın</c:v>
                </c:pt>
                <c:pt idx="44">
                  <c:v>Kastamonu</c:v>
                </c:pt>
                <c:pt idx="45">
                  <c:v>Çankırı</c:v>
                </c:pt>
                <c:pt idx="46">
                  <c:v>Sinop</c:v>
                </c:pt>
                <c:pt idx="47">
                  <c:v>Samsun</c:v>
                </c:pt>
                <c:pt idx="48">
                  <c:v>Tokat</c:v>
                </c:pt>
                <c:pt idx="49">
                  <c:v>Çorum</c:v>
                </c:pt>
                <c:pt idx="50">
                  <c:v>Amasya</c:v>
                </c:pt>
                <c:pt idx="51">
                  <c:v>Trabzon</c:v>
                </c:pt>
                <c:pt idx="52">
                  <c:v>Ordu</c:v>
                </c:pt>
                <c:pt idx="53">
                  <c:v>Giresun</c:v>
                </c:pt>
                <c:pt idx="54">
                  <c:v>Rize</c:v>
                </c:pt>
                <c:pt idx="55">
                  <c:v>Artvin</c:v>
                </c:pt>
                <c:pt idx="56">
                  <c:v>Gümüşhane</c:v>
                </c:pt>
                <c:pt idx="57">
                  <c:v>Erzurum</c:v>
                </c:pt>
                <c:pt idx="58">
                  <c:v>Erzincan</c:v>
                </c:pt>
                <c:pt idx="59">
                  <c:v>Bayburt</c:v>
                </c:pt>
                <c:pt idx="60">
                  <c:v>Ağrı</c:v>
                </c:pt>
                <c:pt idx="61">
                  <c:v>Kars</c:v>
                </c:pt>
                <c:pt idx="62">
                  <c:v>Iğdır</c:v>
                </c:pt>
                <c:pt idx="63">
                  <c:v>Ardahan</c:v>
                </c:pt>
                <c:pt idx="64">
                  <c:v>Malatya</c:v>
                </c:pt>
                <c:pt idx="65">
                  <c:v>Elazığ</c:v>
                </c:pt>
                <c:pt idx="66">
                  <c:v>Bingöl</c:v>
                </c:pt>
                <c:pt idx="67">
                  <c:v>Tunceli</c:v>
                </c:pt>
                <c:pt idx="68">
                  <c:v>Van</c:v>
                </c:pt>
                <c:pt idx="69">
                  <c:v>Muş</c:v>
                </c:pt>
                <c:pt idx="70">
                  <c:v>Bitlis</c:v>
                </c:pt>
                <c:pt idx="71">
                  <c:v>Hakkari</c:v>
                </c:pt>
                <c:pt idx="72">
                  <c:v>Gaziantep</c:v>
                </c:pt>
                <c:pt idx="73">
                  <c:v>Adıyaman</c:v>
                </c:pt>
                <c:pt idx="74">
                  <c:v>Kilis</c:v>
                </c:pt>
                <c:pt idx="75">
                  <c:v>Şanlıurfa</c:v>
                </c:pt>
                <c:pt idx="76">
                  <c:v>Diyarbakır</c:v>
                </c:pt>
                <c:pt idx="77">
                  <c:v>Mardin</c:v>
                </c:pt>
                <c:pt idx="78">
                  <c:v>Batman</c:v>
                </c:pt>
                <c:pt idx="79">
                  <c:v>Şırnak</c:v>
                </c:pt>
                <c:pt idx="80">
                  <c:v>Siirt</c:v>
                </c:pt>
              </c:strCache>
            </c:strRef>
          </c:cat>
          <c:val>
            <c:numRef>
              <c:f>Sayfa1!$B$4:$B$84</c:f>
              <c:numCache>
                <c:formatCode>#,##0</c:formatCode>
                <c:ptCount val="81"/>
                <c:pt idx="0">
                  <c:v>23</c:v>
                </c:pt>
                <c:pt idx="1">
                  <c:v>111</c:v>
                </c:pt>
                <c:pt idx="2">
                  <c:v>187</c:v>
                </c:pt>
                <c:pt idx="3">
                  <c:v>82</c:v>
                </c:pt>
                <c:pt idx="4">
                  <c:v>96</c:v>
                </c:pt>
                <c:pt idx="5">
                  <c:v>131</c:v>
                </c:pt>
                <c:pt idx="6">
                  <c:v>170</c:v>
                </c:pt>
                <c:pt idx="7">
                  <c:v>114</c:v>
                </c:pt>
                <c:pt idx="8">
                  <c:v>90</c:v>
                </c:pt>
                <c:pt idx="9">
                  <c:v>99</c:v>
                </c:pt>
                <c:pt idx="10">
                  <c:v>113</c:v>
                </c:pt>
                <c:pt idx="11">
                  <c:v>163</c:v>
                </c:pt>
                <c:pt idx="12">
                  <c:v>131</c:v>
                </c:pt>
                <c:pt idx="13">
                  <c:v>31</c:v>
                </c:pt>
                <c:pt idx="14">
                  <c:v>214</c:v>
                </c:pt>
                <c:pt idx="15">
                  <c:v>95</c:v>
                </c:pt>
                <c:pt idx="16">
                  <c:v>49</c:v>
                </c:pt>
                <c:pt idx="17">
                  <c:v>91</c:v>
                </c:pt>
                <c:pt idx="18">
                  <c:v>103</c:v>
                </c:pt>
                <c:pt idx="19">
                  <c:v>65</c:v>
                </c:pt>
                <c:pt idx="20">
                  <c:v>95</c:v>
                </c:pt>
                <c:pt idx="21">
                  <c:v>36</c:v>
                </c:pt>
                <c:pt idx="22">
                  <c:v>191</c:v>
                </c:pt>
                <c:pt idx="23">
                  <c:v>149</c:v>
                </c:pt>
                <c:pt idx="24">
                  <c:v>15</c:v>
                </c:pt>
                <c:pt idx="25">
                  <c:v>128</c:v>
                </c:pt>
                <c:pt idx="26">
                  <c:v>129</c:v>
                </c:pt>
                <c:pt idx="27">
                  <c:v>84</c:v>
                </c:pt>
                <c:pt idx="28">
                  <c:v>82</c:v>
                </c:pt>
                <c:pt idx="29">
                  <c:v>48</c:v>
                </c:pt>
                <c:pt idx="30">
                  <c:v>77</c:v>
                </c:pt>
                <c:pt idx="31">
                  <c:v>76</c:v>
                </c:pt>
                <c:pt idx="32">
                  <c:v>36</c:v>
                </c:pt>
                <c:pt idx="33">
                  <c:v>80</c:v>
                </c:pt>
                <c:pt idx="34">
                  <c:v>20</c:v>
                </c:pt>
                <c:pt idx="35">
                  <c:v>33</c:v>
                </c:pt>
                <c:pt idx="36">
                  <c:v>41</c:v>
                </c:pt>
                <c:pt idx="37">
                  <c:v>34</c:v>
                </c:pt>
                <c:pt idx="38">
                  <c:v>135</c:v>
                </c:pt>
                <c:pt idx="39">
                  <c:v>182</c:v>
                </c:pt>
                <c:pt idx="40">
                  <c:v>86</c:v>
                </c:pt>
                <c:pt idx="41">
                  <c:v>64</c:v>
                </c:pt>
                <c:pt idx="42">
                  <c:v>33</c:v>
                </c:pt>
                <c:pt idx="43">
                  <c:v>26</c:v>
                </c:pt>
                <c:pt idx="44">
                  <c:v>112</c:v>
                </c:pt>
                <c:pt idx="45">
                  <c:v>88</c:v>
                </c:pt>
                <c:pt idx="46">
                  <c:v>35</c:v>
                </c:pt>
                <c:pt idx="47">
                  <c:v>95</c:v>
                </c:pt>
                <c:pt idx="48">
                  <c:v>128</c:v>
                </c:pt>
                <c:pt idx="49">
                  <c:v>161</c:v>
                </c:pt>
                <c:pt idx="50">
                  <c:v>115</c:v>
                </c:pt>
                <c:pt idx="51">
                  <c:v>135</c:v>
                </c:pt>
                <c:pt idx="52">
                  <c:v>58</c:v>
                </c:pt>
                <c:pt idx="53">
                  <c:v>85</c:v>
                </c:pt>
                <c:pt idx="54">
                  <c:v>71</c:v>
                </c:pt>
                <c:pt idx="55">
                  <c:v>91</c:v>
                </c:pt>
                <c:pt idx="56">
                  <c:v>68</c:v>
                </c:pt>
                <c:pt idx="57">
                  <c:v>301</c:v>
                </c:pt>
                <c:pt idx="58">
                  <c:v>127</c:v>
                </c:pt>
                <c:pt idx="59">
                  <c:v>74</c:v>
                </c:pt>
                <c:pt idx="60">
                  <c:v>82</c:v>
                </c:pt>
                <c:pt idx="61">
                  <c:v>62</c:v>
                </c:pt>
                <c:pt idx="62">
                  <c:v>14</c:v>
                </c:pt>
                <c:pt idx="63">
                  <c:v>27</c:v>
                </c:pt>
                <c:pt idx="64">
                  <c:v>98</c:v>
                </c:pt>
                <c:pt idx="65">
                  <c:v>79</c:v>
                </c:pt>
                <c:pt idx="66">
                  <c:v>73</c:v>
                </c:pt>
                <c:pt idx="67">
                  <c:v>73</c:v>
                </c:pt>
                <c:pt idx="68">
                  <c:v>91</c:v>
                </c:pt>
                <c:pt idx="69">
                  <c:v>56</c:v>
                </c:pt>
                <c:pt idx="70">
                  <c:v>35</c:v>
                </c:pt>
                <c:pt idx="71">
                  <c:v>15</c:v>
                </c:pt>
                <c:pt idx="72">
                  <c:v>36</c:v>
                </c:pt>
                <c:pt idx="73">
                  <c:v>40</c:v>
                </c:pt>
                <c:pt idx="74">
                  <c:v>4</c:v>
                </c:pt>
                <c:pt idx="75">
                  <c:v>9</c:v>
                </c:pt>
                <c:pt idx="76">
                  <c:v>74</c:v>
                </c:pt>
                <c:pt idx="77">
                  <c:v>30</c:v>
                </c:pt>
                <c:pt idx="78">
                  <c:v>22</c:v>
                </c:pt>
                <c:pt idx="79">
                  <c:v>17</c:v>
                </c:pt>
                <c:pt idx="80">
                  <c:v>25</c:v>
                </c:pt>
              </c:numCache>
            </c:numRef>
          </c:val>
        </c:ser>
        <c:ser>
          <c:idx val="1"/>
          <c:order val="1"/>
          <c:tx>
            <c:strRef>
              <c:f>Sayfa1!$C$3</c:f>
              <c:strCache>
                <c:ptCount val="1"/>
                <c:pt idx="0">
                  <c:v>2014</c:v>
                </c:pt>
              </c:strCache>
            </c:strRef>
          </c:tx>
          <c:invertIfNegative val="0"/>
          <c:dLbls>
            <c:txPr>
              <a:bodyPr rot="-5400000" vert="horz"/>
              <a:lstStyle/>
              <a:p>
                <a:pPr>
                  <a:defRPr sz="900">
                    <a:solidFill>
                      <a:srgbClr val="C00000"/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Sayfa1!$A$4:$A$84</c:f>
              <c:strCache>
                <c:ptCount val="81"/>
                <c:pt idx="0">
                  <c:v>İstanbul</c:v>
                </c:pt>
                <c:pt idx="1">
                  <c:v>Tekirdağ</c:v>
                </c:pt>
                <c:pt idx="2">
                  <c:v>Edirne</c:v>
                </c:pt>
                <c:pt idx="3">
                  <c:v>Kırklareli</c:v>
                </c:pt>
                <c:pt idx="4">
                  <c:v>Balıkesir</c:v>
                </c:pt>
                <c:pt idx="5">
                  <c:v>Çanakkale</c:v>
                </c:pt>
                <c:pt idx="6">
                  <c:v>İzmir</c:v>
                </c:pt>
                <c:pt idx="7">
                  <c:v>Aydın</c:v>
                </c:pt>
                <c:pt idx="8">
                  <c:v>Denizli</c:v>
                </c:pt>
                <c:pt idx="9">
                  <c:v>Muğla</c:v>
                </c:pt>
                <c:pt idx="10">
                  <c:v>Manisa</c:v>
                </c:pt>
                <c:pt idx="11">
                  <c:v>Afyonkarahisar</c:v>
                </c:pt>
                <c:pt idx="12">
                  <c:v>Kütahya</c:v>
                </c:pt>
                <c:pt idx="13">
                  <c:v>Uşak</c:v>
                </c:pt>
                <c:pt idx="14">
                  <c:v>Bursa</c:v>
                </c:pt>
                <c:pt idx="15">
                  <c:v>Eskişehir</c:v>
                </c:pt>
                <c:pt idx="16">
                  <c:v>Bilecik</c:v>
                </c:pt>
                <c:pt idx="17">
                  <c:v>Kocaeli</c:v>
                </c:pt>
                <c:pt idx="18">
                  <c:v>Sakarya</c:v>
                </c:pt>
                <c:pt idx="19">
                  <c:v>Düzce</c:v>
                </c:pt>
                <c:pt idx="20">
                  <c:v>Bolu</c:v>
                </c:pt>
                <c:pt idx="21">
                  <c:v>Yalova</c:v>
                </c:pt>
                <c:pt idx="22">
                  <c:v>Ankara</c:v>
                </c:pt>
                <c:pt idx="23">
                  <c:v>Konya</c:v>
                </c:pt>
                <c:pt idx="24">
                  <c:v>Karaman</c:v>
                </c:pt>
                <c:pt idx="25">
                  <c:v>Antalya</c:v>
                </c:pt>
                <c:pt idx="26">
                  <c:v>Isparta</c:v>
                </c:pt>
                <c:pt idx="27">
                  <c:v>Burdur</c:v>
                </c:pt>
                <c:pt idx="28">
                  <c:v>Adana</c:v>
                </c:pt>
                <c:pt idx="29">
                  <c:v>Mersin</c:v>
                </c:pt>
                <c:pt idx="30">
                  <c:v>Hatay</c:v>
                </c:pt>
                <c:pt idx="31">
                  <c:v>Kahramanmaraş</c:v>
                </c:pt>
                <c:pt idx="32">
                  <c:v>Osmaniye</c:v>
                </c:pt>
                <c:pt idx="33">
                  <c:v>Kırıkkale</c:v>
                </c:pt>
                <c:pt idx="34">
                  <c:v>Aksaray</c:v>
                </c:pt>
                <c:pt idx="35">
                  <c:v>Niğde</c:v>
                </c:pt>
                <c:pt idx="36">
                  <c:v>Nevşehir</c:v>
                </c:pt>
                <c:pt idx="37">
                  <c:v>Kırşehir</c:v>
                </c:pt>
                <c:pt idx="38">
                  <c:v>Kayseri</c:v>
                </c:pt>
                <c:pt idx="39">
                  <c:v>Sivas</c:v>
                </c:pt>
                <c:pt idx="40">
                  <c:v>Yozgat</c:v>
                </c:pt>
                <c:pt idx="41">
                  <c:v>Zonguldak</c:v>
                </c:pt>
                <c:pt idx="42">
                  <c:v>Karabük</c:v>
                </c:pt>
                <c:pt idx="43">
                  <c:v>Bartın</c:v>
                </c:pt>
                <c:pt idx="44">
                  <c:v>Kastamonu</c:v>
                </c:pt>
                <c:pt idx="45">
                  <c:v>Çankırı</c:v>
                </c:pt>
                <c:pt idx="46">
                  <c:v>Sinop</c:v>
                </c:pt>
                <c:pt idx="47">
                  <c:v>Samsun</c:v>
                </c:pt>
                <c:pt idx="48">
                  <c:v>Tokat</c:v>
                </c:pt>
                <c:pt idx="49">
                  <c:v>Çorum</c:v>
                </c:pt>
                <c:pt idx="50">
                  <c:v>Amasya</c:v>
                </c:pt>
                <c:pt idx="51">
                  <c:v>Trabzon</c:v>
                </c:pt>
                <c:pt idx="52">
                  <c:v>Ordu</c:v>
                </c:pt>
                <c:pt idx="53">
                  <c:v>Giresun</c:v>
                </c:pt>
                <c:pt idx="54">
                  <c:v>Rize</c:v>
                </c:pt>
                <c:pt idx="55">
                  <c:v>Artvin</c:v>
                </c:pt>
                <c:pt idx="56">
                  <c:v>Gümüşhane</c:v>
                </c:pt>
                <c:pt idx="57">
                  <c:v>Erzurum</c:v>
                </c:pt>
                <c:pt idx="58">
                  <c:v>Erzincan</c:v>
                </c:pt>
                <c:pt idx="59">
                  <c:v>Bayburt</c:v>
                </c:pt>
                <c:pt idx="60">
                  <c:v>Ağrı</c:v>
                </c:pt>
                <c:pt idx="61">
                  <c:v>Kars</c:v>
                </c:pt>
                <c:pt idx="62">
                  <c:v>Iğdır</c:v>
                </c:pt>
                <c:pt idx="63">
                  <c:v>Ardahan</c:v>
                </c:pt>
                <c:pt idx="64">
                  <c:v>Malatya</c:v>
                </c:pt>
                <c:pt idx="65">
                  <c:v>Elazığ</c:v>
                </c:pt>
                <c:pt idx="66">
                  <c:v>Bingöl</c:v>
                </c:pt>
                <c:pt idx="67">
                  <c:v>Tunceli</c:v>
                </c:pt>
                <c:pt idx="68">
                  <c:v>Van</c:v>
                </c:pt>
                <c:pt idx="69">
                  <c:v>Muş</c:v>
                </c:pt>
                <c:pt idx="70">
                  <c:v>Bitlis</c:v>
                </c:pt>
                <c:pt idx="71">
                  <c:v>Hakkari</c:v>
                </c:pt>
                <c:pt idx="72">
                  <c:v>Gaziantep</c:v>
                </c:pt>
                <c:pt idx="73">
                  <c:v>Adıyaman</c:v>
                </c:pt>
                <c:pt idx="74">
                  <c:v>Kilis</c:v>
                </c:pt>
                <c:pt idx="75">
                  <c:v>Şanlıurfa</c:v>
                </c:pt>
                <c:pt idx="76">
                  <c:v>Diyarbakır</c:v>
                </c:pt>
                <c:pt idx="77">
                  <c:v>Mardin</c:v>
                </c:pt>
                <c:pt idx="78">
                  <c:v>Batman</c:v>
                </c:pt>
                <c:pt idx="79">
                  <c:v>Şırnak</c:v>
                </c:pt>
                <c:pt idx="80">
                  <c:v>Siirt</c:v>
                </c:pt>
              </c:strCache>
            </c:strRef>
          </c:cat>
          <c:val>
            <c:numRef>
              <c:f>Sayfa1!$C$4:$C$84</c:f>
              <c:numCache>
                <c:formatCode>#,##0</c:formatCode>
                <c:ptCount val="81"/>
                <c:pt idx="0">
                  <c:v>23</c:v>
                </c:pt>
                <c:pt idx="1">
                  <c:v>111</c:v>
                </c:pt>
                <c:pt idx="2">
                  <c:v>187</c:v>
                </c:pt>
                <c:pt idx="3">
                  <c:v>82</c:v>
                </c:pt>
                <c:pt idx="4">
                  <c:v>101</c:v>
                </c:pt>
                <c:pt idx="5">
                  <c:v>136</c:v>
                </c:pt>
                <c:pt idx="6">
                  <c:v>172</c:v>
                </c:pt>
                <c:pt idx="7">
                  <c:v>131</c:v>
                </c:pt>
                <c:pt idx="8">
                  <c:v>89</c:v>
                </c:pt>
                <c:pt idx="9">
                  <c:v>107</c:v>
                </c:pt>
                <c:pt idx="10">
                  <c:v>116</c:v>
                </c:pt>
                <c:pt idx="11">
                  <c:v>173</c:v>
                </c:pt>
                <c:pt idx="12">
                  <c:v>139</c:v>
                </c:pt>
                <c:pt idx="13">
                  <c:v>41</c:v>
                </c:pt>
                <c:pt idx="14">
                  <c:v>214</c:v>
                </c:pt>
                <c:pt idx="15">
                  <c:v>95</c:v>
                </c:pt>
                <c:pt idx="16">
                  <c:v>50</c:v>
                </c:pt>
                <c:pt idx="17">
                  <c:v>91</c:v>
                </c:pt>
                <c:pt idx="18">
                  <c:v>104</c:v>
                </c:pt>
                <c:pt idx="19">
                  <c:v>68</c:v>
                </c:pt>
                <c:pt idx="20">
                  <c:v>97</c:v>
                </c:pt>
                <c:pt idx="21">
                  <c:v>36</c:v>
                </c:pt>
                <c:pt idx="22">
                  <c:v>193</c:v>
                </c:pt>
                <c:pt idx="23">
                  <c:v>152</c:v>
                </c:pt>
                <c:pt idx="24">
                  <c:v>15</c:v>
                </c:pt>
                <c:pt idx="25">
                  <c:v>130</c:v>
                </c:pt>
                <c:pt idx="26">
                  <c:v>143</c:v>
                </c:pt>
                <c:pt idx="27">
                  <c:v>96</c:v>
                </c:pt>
                <c:pt idx="28">
                  <c:v>78</c:v>
                </c:pt>
                <c:pt idx="29">
                  <c:v>49</c:v>
                </c:pt>
                <c:pt idx="30">
                  <c:v>79</c:v>
                </c:pt>
                <c:pt idx="31">
                  <c:v>84</c:v>
                </c:pt>
                <c:pt idx="32">
                  <c:v>37</c:v>
                </c:pt>
                <c:pt idx="33">
                  <c:v>80</c:v>
                </c:pt>
                <c:pt idx="34">
                  <c:v>20</c:v>
                </c:pt>
                <c:pt idx="35">
                  <c:v>35</c:v>
                </c:pt>
                <c:pt idx="36">
                  <c:v>41</c:v>
                </c:pt>
                <c:pt idx="37">
                  <c:v>34</c:v>
                </c:pt>
                <c:pt idx="38">
                  <c:v>135</c:v>
                </c:pt>
                <c:pt idx="39">
                  <c:v>185</c:v>
                </c:pt>
                <c:pt idx="40">
                  <c:v>88</c:v>
                </c:pt>
                <c:pt idx="41">
                  <c:v>65</c:v>
                </c:pt>
                <c:pt idx="42">
                  <c:v>35</c:v>
                </c:pt>
                <c:pt idx="43">
                  <c:v>28</c:v>
                </c:pt>
                <c:pt idx="44">
                  <c:v>115</c:v>
                </c:pt>
                <c:pt idx="45">
                  <c:v>94</c:v>
                </c:pt>
                <c:pt idx="46">
                  <c:v>36</c:v>
                </c:pt>
                <c:pt idx="47">
                  <c:v>98</c:v>
                </c:pt>
                <c:pt idx="48">
                  <c:v>141</c:v>
                </c:pt>
                <c:pt idx="49">
                  <c:v>164</c:v>
                </c:pt>
                <c:pt idx="50">
                  <c:v>117</c:v>
                </c:pt>
                <c:pt idx="51">
                  <c:v>135</c:v>
                </c:pt>
                <c:pt idx="52">
                  <c:v>59</c:v>
                </c:pt>
                <c:pt idx="53">
                  <c:v>82</c:v>
                </c:pt>
                <c:pt idx="54">
                  <c:v>83</c:v>
                </c:pt>
                <c:pt idx="55">
                  <c:v>97</c:v>
                </c:pt>
                <c:pt idx="56">
                  <c:v>73</c:v>
                </c:pt>
                <c:pt idx="57">
                  <c:v>321</c:v>
                </c:pt>
                <c:pt idx="58">
                  <c:v>130</c:v>
                </c:pt>
                <c:pt idx="59">
                  <c:v>77</c:v>
                </c:pt>
                <c:pt idx="60">
                  <c:v>85</c:v>
                </c:pt>
                <c:pt idx="61">
                  <c:v>62</c:v>
                </c:pt>
                <c:pt idx="62">
                  <c:v>14</c:v>
                </c:pt>
                <c:pt idx="63">
                  <c:v>25</c:v>
                </c:pt>
                <c:pt idx="64">
                  <c:v>100</c:v>
                </c:pt>
                <c:pt idx="65">
                  <c:v>88</c:v>
                </c:pt>
                <c:pt idx="66">
                  <c:v>95</c:v>
                </c:pt>
                <c:pt idx="67">
                  <c:v>74</c:v>
                </c:pt>
                <c:pt idx="68">
                  <c:v>100</c:v>
                </c:pt>
                <c:pt idx="69">
                  <c:v>65</c:v>
                </c:pt>
                <c:pt idx="70">
                  <c:v>38</c:v>
                </c:pt>
                <c:pt idx="71">
                  <c:v>15</c:v>
                </c:pt>
                <c:pt idx="72">
                  <c:v>42</c:v>
                </c:pt>
                <c:pt idx="73">
                  <c:v>45</c:v>
                </c:pt>
                <c:pt idx="74">
                  <c:v>4</c:v>
                </c:pt>
                <c:pt idx="75">
                  <c:v>9</c:v>
                </c:pt>
                <c:pt idx="76">
                  <c:v>74</c:v>
                </c:pt>
                <c:pt idx="77">
                  <c:v>30</c:v>
                </c:pt>
                <c:pt idx="78">
                  <c:v>22</c:v>
                </c:pt>
                <c:pt idx="79">
                  <c:v>17</c:v>
                </c:pt>
                <c:pt idx="80">
                  <c:v>31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8"/>
        <c:overlap val="-42"/>
        <c:axId val="134040576"/>
        <c:axId val="67039744"/>
      </c:barChart>
      <c:catAx>
        <c:axId val="134040576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</c:majorGridlines>
        <c:majorTickMark val="out"/>
        <c:minorTickMark val="none"/>
        <c:tickLblPos val="nextTo"/>
        <c:crossAx val="67039744"/>
        <c:crosses val="autoZero"/>
        <c:auto val="1"/>
        <c:lblAlgn val="ctr"/>
        <c:lblOffset val="100"/>
        <c:noMultiLvlLbl val="0"/>
      </c:catAx>
      <c:valAx>
        <c:axId val="67039744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1"/>
        <c:majorTickMark val="out"/>
        <c:minorTickMark val="none"/>
        <c:tickLblPos val="nextTo"/>
        <c:crossAx val="134040576"/>
        <c:crosses val="autoZero"/>
        <c:crossBetween val="between"/>
      </c:valAx>
    </c:plotArea>
    <c:legend>
      <c:legendPos val="t"/>
      <c:legendEntry>
        <c:idx val="0"/>
        <c:txPr>
          <a:bodyPr/>
          <a:lstStyle/>
          <a:p>
            <a:pPr>
              <a:defRPr sz="1100" b="1">
                <a:solidFill>
                  <a:schemeClr val="accent1">
                    <a:lumMod val="75000"/>
                  </a:schemeClr>
                </a:solidFill>
              </a:defRPr>
            </a:pPr>
            <a:endParaRPr lang="tr-TR"/>
          </a:p>
        </c:txPr>
      </c:legendEntry>
      <c:legendEntry>
        <c:idx val="1"/>
        <c:txPr>
          <a:bodyPr/>
          <a:lstStyle/>
          <a:p>
            <a:pPr>
              <a:defRPr sz="1100" b="1">
                <a:solidFill>
                  <a:srgbClr val="FF0000"/>
                </a:solidFill>
              </a:defRPr>
            </a:pPr>
            <a:endParaRPr lang="tr-TR"/>
          </a:p>
        </c:txPr>
      </c:legendEntry>
      <c:layout>
        <c:manualLayout>
          <c:xMode val="edge"/>
          <c:yMode val="edge"/>
          <c:x val="0.30761388049614036"/>
          <c:y val="7.5110890945626924E-2"/>
          <c:w val="0.38144468871225501"/>
          <c:h val="3.9197116123625871E-2"/>
        </c:manualLayout>
      </c:layout>
      <c:overlay val="0"/>
      <c:txPr>
        <a:bodyPr/>
        <a:lstStyle/>
        <a:p>
          <a:pPr>
            <a:defRPr sz="1100" b="1"/>
          </a:pPr>
          <a:endParaRPr lang="tr-TR"/>
        </a:p>
      </c:txPr>
    </c:legend>
    <c:plotVisOnly val="1"/>
    <c:dispBlanksAs val="gap"/>
    <c:showDLblsOverMax val="0"/>
  </c:chart>
  <c:spPr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2.2.7.Toplam</a:t>
            </a:r>
            <a:r>
              <a:rPr lang="tr-TR" baseline="0"/>
              <a:t> Taşkın Tesisleri , Adet</a:t>
            </a:r>
            <a:r>
              <a:rPr lang="tr-TR"/>
              <a:t> 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Sayfa1!$G$3</c:f>
              <c:strCache>
                <c:ptCount val="1"/>
                <c:pt idx="0">
                  <c:v>Türkiye </c:v>
                </c:pt>
              </c:strCache>
            </c:strRef>
          </c:tx>
          <c:invertIfNegative val="0"/>
          <c:dLbls>
            <c:dLbl>
              <c:idx val="0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>
                <c:manualLayout>
                  <c:x val="-6.2713014382513831E-3"/>
                  <c:y val="1.38763161330749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#,##0" sourceLinked="0"/>
            <c:txPr>
              <a:bodyPr/>
              <a:lstStyle/>
              <a:p>
                <a:pPr>
                  <a:defRPr sz="1050" b="1">
                    <a:solidFill>
                      <a:schemeClr val="accent1">
                        <a:lumMod val="75000"/>
                      </a:schemeClr>
                    </a:solidFill>
                  </a:defRPr>
                </a:pPr>
                <a:endParaRPr lang="tr-T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Ref>
              <c:f>Sayfa1!$H$2:$I$2</c:f>
              <c:numCache>
                <c:formatCode>General</c:formatCode>
                <c:ptCount val="2"/>
                <c:pt idx="0">
                  <c:v>2013</c:v>
                </c:pt>
                <c:pt idx="1">
                  <c:v>2014</c:v>
                </c:pt>
              </c:numCache>
            </c:numRef>
          </c:cat>
          <c:val>
            <c:numRef>
              <c:f>Sayfa1!$H$3:$I$3</c:f>
              <c:numCache>
                <c:formatCode>General</c:formatCode>
                <c:ptCount val="2"/>
                <c:pt idx="0">
                  <c:v>6744</c:v>
                </c:pt>
                <c:pt idx="1">
                  <c:v>7022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6"/>
        <c:axId val="134041088"/>
        <c:axId val="67042624"/>
      </c:barChart>
      <c:catAx>
        <c:axId val="134041088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crossAx val="67042624"/>
        <c:crosses val="autoZero"/>
        <c:auto val="1"/>
        <c:lblAlgn val="ctr"/>
        <c:lblOffset val="100"/>
        <c:noMultiLvlLbl val="0"/>
      </c:catAx>
      <c:valAx>
        <c:axId val="67042624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0"/>
        <c:majorTickMark val="out"/>
        <c:minorTickMark val="none"/>
        <c:tickLblPos val="nextTo"/>
        <c:crossAx val="134041088"/>
        <c:crosses val="autoZero"/>
        <c:crossBetween val="between"/>
      </c:valAx>
    </c:plotArea>
    <c:plotVisOnly val="1"/>
    <c:dispBlanksAs val="gap"/>
    <c:showDLblsOverMax val="0"/>
  </c:chart>
  <c:spPr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 sz="1800" b="1" i="0" baseline="0">
                <a:effectLst/>
              </a:rPr>
              <a:t>2.2.7.Toplam Taşkın Tesisleri , ha</a:t>
            </a:r>
            <a:endParaRPr lang="tr-TR">
              <a:effectLst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Sayfa1!$M$3</c:f>
              <c:strCache>
                <c:ptCount val="1"/>
                <c:pt idx="0">
                  <c:v>Türkiye </c:v>
                </c:pt>
              </c:strCache>
            </c:strRef>
          </c:tx>
          <c:invertIfNegative val="0"/>
          <c:dLbls>
            <c:numFmt formatCode="#,##0" sourceLinked="0"/>
            <c:txPr>
              <a:bodyPr/>
              <a:lstStyle/>
              <a:p>
                <a:pPr>
                  <a:defRPr sz="1050" b="1">
                    <a:solidFill>
                      <a:schemeClr val="accent1">
                        <a:lumMod val="75000"/>
                      </a:schemeClr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Sayfa1!$N$2:$O$2</c:f>
              <c:numCache>
                <c:formatCode>General</c:formatCode>
                <c:ptCount val="2"/>
                <c:pt idx="0">
                  <c:v>2013</c:v>
                </c:pt>
                <c:pt idx="1">
                  <c:v>2014</c:v>
                </c:pt>
              </c:numCache>
            </c:numRef>
          </c:cat>
          <c:val>
            <c:numRef>
              <c:f>Sayfa1!$N$3:$O$3</c:f>
              <c:numCache>
                <c:formatCode>General</c:formatCode>
                <c:ptCount val="2"/>
                <c:pt idx="0">
                  <c:v>1309825</c:v>
                </c:pt>
                <c:pt idx="1">
                  <c:v>1366783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46"/>
        <c:axId val="134037504"/>
        <c:axId val="152749760"/>
      </c:barChart>
      <c:catAx>
        <c:axId val="134037504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crossAx val="152749760"/>
        <c:crosses val="autoZero"/>
        <c:auto val="1"/>
        <c:lblAlgn val="ctr"/>
        <c:lblOffset val="100"/>
        <c:noMultiLvlLbl val="0"/>
      </c:catAx>
      <c:valAx>
        <c:axId val="152749760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0"/>
        <c:majorTickMark val="out"/>
        <c:minorTickMark val="none"/>
        <c:tickLblPos val="nextTo"/>
        <c:crossAx val="134037504"/>
        <c:crosses val="autoZero"/>
        <c:crossBetween val="between"/>
      </c:valAx>
    </c:plotArea>
    <c:plotVisOnly val="1"/>
    <c:dispBlanksAs val="gap"/>
    <c:showDLblsOverMax val="0"/>
  </c:chart>
  <c:spPr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 sz="1800" b="1" i="0" baseline="0">
                <a:effectLst/>
              </a:rPr>
              <a:t>2.2.7.İllere Göre İşletmedeki Taşkın Koruma Tesisleri, Ha 2013-2014</a:t>
            </a:r>
            <a:endParaRPr lang="tr-TR">
              <a:effectLst/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3.6300598017956161E-2"/>
          <c:y val="0.15613681497172255"/>
          <c:w val="0.95755859249482334"/>
          <c:h val="0.659108620054948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Sayfa1!$D$3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dLbls>
            <c:txPr>
              <a:bodyPr rot="-5400000" vert="horz"/>
              <a:lstStyle/>
              <a:p>
                <a:pPr>
                  <a:defRPr sz="800" b="1">
                    <a:solidFill>
                      <a:schemeClr val="accent1">
                        <a:lumMod val="75000"/>
                      </a:schemeClr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Sayfa1!$A$4:$A$84</c:f>
              <c:strCache>
                <c:ptCount val="81"/>
                <c:pt idx="0">
                  <c:v>İstanbul</c:v>
                </c:pt>
                <c:pt idx="1">
                  <c:v>Tekirdağ</c:v>
                </c:pt>
                <c:pt idx="2">
                  <c:v>Edirne</c:v>
                </c:pt>
                <c:pt idx="3">
                  <c:v>Kırklareli</c:v>
                </c:pt>
                <c:pt idx="4">
                  <c:v>Balıkesir</c:v>
                </c:pt>
                <c:pt idx="5">
                  <c:v>Çanakkale</c:v>
                </c:pt>
                <c:pt idx="6">
                  <c:v>İzmir</c:v>
                </c:pt>
                <c:pt idx="7">
                  <c:v>Aydın</c:v>
                </c:pt>
                <c:pt idx="8">
                  <c:v>Denizli</c:v>
                </c:pt>
                <c:pt idx="9">
                  <c:v>Muğla</c:v>
                </c:pt>
                <c:pt idx="10">
                  <c:v>Manisa</c:v>
                </c:pt>
                <c:pt idx="11">
                  <c:v>Afyonkarahisar</c:v>
                </c:pt>
                <c:pt idx="12">
                  <c:v>Kütahya</c:v>
                </c:pt>
                <c:pt idx="13">
                  <c:v>Uşak</c:v>
                </c:pt>
                <c:pt idx="14">
                  <c:v>Bursa</c:v>
                </c:pt>
                <c:pt idx="15">
                  <c:v>Eskişehir</c:v>
                </c:pt>
                <c:pt idx="16">
                  <c:v>Bilecik</c:v>
                </c:pt>
                <c:pt idx="17">
                  <c:v>Kocaeli</c:v>
                </c:pt>
                <c:pt idx="18">
                  <c:v>Sakarya</c:v>
                </c:pt>
                <c:pt idx="19">
                  <c:v>Düzce</c:v>
                </c:pt>
                <c:pt idx="20">
                  <c:v>Bolu</c:v>
                </c:pt>
                <c:pt idx="21">
                  <c:v>Yalova</c:v>
                </c:pt>
                <c:pt idx="22">
                  <c:v>Ankara</c:v>
                </c:pt>
                <c:pt idx="23">
                  <c:v>Konya</c:v>
                </c:pt>
                <c:pt idx="24">
                  <c:v>Karaman</c:v>
                </c:pt>
                <c:pt idx="25">
                  <c:v>Antalya</c:v>
                </c:pt>
                <c:pt idx="26">
                  <c:v>Isparta</c:v>
                </c:pt>
                <c:pt idx="27">
                  <c:v>Burdur</c:v>
                </c:pt>
                <c:pt idx="28">
                  <c:v>Adana</c:v>
                </c:pt>
                <c:pt idx="29">
                  <c:v>Mersin</c:v>
                </c:pt>
                <c:pt idx="30">
                  <c:v>Hatay</c:v>
                </c:pt>
                <c:pt idx="31">
                  <c:v>Kahramanmaraş</c:v>
                </c:pt>
                <c:pt idx="32">
                  <c:v>Osmaniye</c:v>
                </c:pt>
                <c:pt idx="33">
                  <c:v>Kırıkkale</c:v>
                </c:pt>
                <c:pt idx="34">
                  <c:v>Aksaray</c:v>
                </c:pt>
                <c:pt idx="35">
                  <c:v>Niğde</c:v>
                </c:pt>
                <c:pt idx="36">
                  <c:v>Nevşehir</c:v>
                </c:pt>
                <c:pt idx="37">
                  <c:v>Kırşehir</c:v>
                </c:pt>
                <c:pt idx="38">
                  <c:v>Kayseri</c:v>
                </c:pt>
                <c:pt idx="39">
                  <c:v>Sivas</c:v>
                </c:pt>
                <c:pt idx="40">
                  <c:v>Yozgat</c:v>
                </c:pt>
                <c:pt idx="41">
                  <c:v>Zonguldak</c:v>
                </c:pt>
                <c:pt idx="42">
                  <c:v>Karabük</c:v>
                </c:pt>
                <c:pt idx="43">
                  <c:v>Bartın</c:v>
                </c:pt>
                <c:pt idx="44">
                  <c:v>Kastamonu</c:v>
                </c:pt>
                <c:pt idx="45">
                  <c:v>Çankırı</c:v>
                </c:pt>
                <c:pt idx="46">
                  <c:v>Sinop</c:v>
                </c:pt>
                <c:pt idx="47">
                  <c:v>Samsun</c:v>
                </c:pt>
                <c:pt idx="48">
                  <c:v>Tokat</c:v>
                </c:pt>
                <c:pt idx="49">
                  <c:v>Çorum</c:v>
                </c:pt>
                <c:pt idx="50">
                  <c:v>Amasya</c:v>
                </c:pt>
                <c:pt idx="51">
                  <c:v>Trabzon</c:v>
                </c:pt>
                <c:pt idx="52">
                  <c:v>Ordu</c:v>
                </c:pt>
                <c:pt idx="53">
                  <c:v>Giresun</c:v>
                </c:pt>
                <c:pt idx="54">
                  <c:v>Rize</c:v>
                </c:pt>
                <c:pt idx="55">
                  <c:v>Artvin</c:v>
                </c:pt>
                <c:pt idx="56">
                  <c:v>Gümüşhane</c:v>
                </c:pt>
                <c:pt idx="57">
                  <c:v>Erzurum</c:v>
                </c:pt>
                <c:pt idx="58">
                  <c:v>Erzincan</c:v>
                </c:pt>
                <c:pt idx="59">
                  <c:v>Bayburt</c:v>
                </c:pt>
                <c:pt idx="60">
                  <c:v>Ağrı</c:v>
                </c:pt>
                <c:pt idx="61">
                  <c:v>Kars</c:v>
                </c:pt>
                <c:pt idx="62">
                  <c:v>Iğdır</c:v>
                </c:pt>
                <c:pt idx="63">
                  <c:v>Ardahan</c:v>
                </c:pt>
                <c:pt idx="64">
                  <c:v>Malatya</c:v>
                </c:pt>
                <c:pt idx="65">
                  <c:v>Elazığ</c:v>
                </c:pt>
                <c:pt idx="66">
                  <c:v>Bingöl</c:v>
                </c:pt>
                <c:pt idx="67">
                  <c:v>Tunceli</c:v>
                </c:pt>
                <c:pt idx="68">
                  <c:v>Van</c:v>
                </c:pt>
                <c:pt idx="69">
                  <c:v>Muş</c:v>
                </c:pt>
                <c:pt idx="70">
                  <c:v>Bitlis</c:v>
                </c:pt>
                <c:pt idx="71">
                  <c:v>Hakkari</c:v>
                </c:pt>
                <c:pt idx="72">
                  <c:v>Gaziantep</c:v>
                </c:pt>
                <c:pt idx="73">
                  <c:v>Adıyaman</c:v>
                </c:pt>
                <c:pt idx="74">
                  <c:v>Kilis</c:v>
                </c:pt>
                <c:pt idx="75">
                  <c:v>Şanlıurfa</c:v>
                </c:pt>
                <c:pt idx="76">
                  <c:v>Diyarbakır</c:v>
                </c:pt>
                <c:pt idx="77">
                  <c:v>Mardin</c:v>
                </c:pt>
                <c:pt idx="78">
                  <c:v>Batman</c:v>
                </c:pt>
                <c:pt idx="79">
                  <c:v>Şırnak</c:v>
                </c:pt>
                <c:pt idx="80">
                  <c:v>Siirt</c:v>
                </c:pt>
              </c:strCache>
            </c:strRef>
          </c:cat>
          <c:val>
            <c:numRef>
              <c:f>Sayfa1!$D$4:$D$84</c:f>
              <c:numCache>
                <c:formatCode>#,##0</c:formatCode>
                <c:ptCount val="81"/>
                <c:pt idx="0">
                  <c:v>600</c:v>
                </c:pt>
                <c:pt idx="1">
                  <c:v>16070</c:v>
                </c:pt>
                <c:pt idx="2">
                  <c:v>58498</c:v>
                </c:pt>
                <c:pt idx="3">
                  <c:v>10190</c:v>
                </c:pt>
                <c:pt idx="4">
                  <c:v>39745</c:v>
                </c:pt>
                <c:pt idx="5">
                  <c:v>14022</c:v>
                </c:pt>
                <c:pt idx="6">
                  <c:v>54691</c:v>
                </c:pt>
                <c:pt idx="7">
                  <c:v>29262</c:v>
                </c:pt>
                <c:pt idx="8">
                  <c:v>9678</c:v>
                </c:pt>
                <c:pt idx="9">
                  <c:v>28198</c:v>
                </c:pt>
                <c:pt idx="10">
                  <c:v>82258</c:v>
                </c:pt>
                <c:pt idx="11">
                  <c:v>44301</c:v>
                </c:pt>
                <c:pt idx="12">
                  <c:v>9004</c:v>
                </c:pt>
                <c:pt idx="13">
                  <c:v>1437</c:v>
                </c:pt>
                <c:pt idx="14">
                  <c:v>15533</c:v>
                </c:pt>
                <c:pt idx="15">
                  <c:v>36905</c:v>
                </c:pt>
                <c:pt idx="16">
                  <c:v>2810</c:v>
                </c:pt>
                <c:pt idx="17">
                  <c:v>10039</c:v>
                </c:pt>
                <c:pt idx="18">
                  <c:v>16123</c:v>
                </c:pt>
                <c:pt idx="19">
                  <c:v>678</c:v>
                </c:pt>
                <c:pt idx="20">
                  <c:v>3676</c:v>
                </c:pt>
                <c:pt idx="21">
                  <c:v>3947</c:v>
                </c:pt>
                <c:pt idx="22">
                  <c:v>6345</c:v>
                </c:pt>
                <c:pt idx="23">
                  <c:v>210614</c:v>
                </c:pt>
                <c:pt idx="24">
                  <c:v>17568</c:v>
                </c:pt>
                <c:pt idx="25">
                  <c:v>45378</c:v>
                </c:pt>
                <c:pt idx="26">
                  <c:v>16467</c:v>
                </c:pt>
                <c:pt idx="27">
                  <c:v>24159</c:v>
                </c:pt>
                <c:pt idx="28">
                  <c:v>140868</c:v>
                </c:pt>
                <c:pt idx="29">
                  <c:v>34634</c:v>
                </c:pt>
                <c:pt idx="30">
                  <c:v>11079</c:v>
                </c:pt>
                <c:pt idx="31">
                  <c:v>4979</c:v>
                </c:pt>
                <c:pt idx="32">
                  <c:v>60630</c:v>
                </c:pt>
                <c:pt idx="33">
                  <c:v>3141</c:v>
                </c:pt>
                <c:pt idx="34">
                  <c:v>9104</c:v>
                </c:pt>
                <c:pt idx="35">
                  <c:v>5138</c:v>
                </c:pt>
                <c:pt idx="36">
                  <c:v>1894</c:v>
                </c:pt>
                <c:pt idx="37">
                  <c:v>2128</c:v>
                </c:pt>
                <c:pt idx="38">
                  <c:v>8868</c:v>
                </c:pt>
                <c:pt idx="39">
                  <c:v>7670</c:v>
                </c:pt>
                <c:pt idx="40">
                  <c:v>5979</c:v>
                </c:pt>
                <c:pt idx="41">
                  <c:v>575</c:v>
                </c:pt>
                <c:pt idx="42">
                  <c:v>69</c:v>
                </c:pt>
                <c:pt idx="43">
                  <c:v>52</c:v>
                </c:pt>
                <c:pt idx="44">
                  <c:v>5098</c:v>
                </c:pt>
                <c:pt idx="45">
                  <c:v>1164</c:v>
                </c:pt>
                <c:pt idx="46">
                  <c:v>680</c:v>
                </c:pt>
                <c:pt idx="47">
                  <c:v>54120</c:v>
                </c:pt>
                <c:pt idx="48">
                  <c:v>11515</c:v>
                </c:pt>
                <c:pt idx="49">
                  <c:v>4987</c:v>
                </c:pt>
                <c:pt idx="50">
                  <c:v>1934</c:v>
                </c:pt>
                <c:pt idx="51">
                  <c:v>2139</c:v>
                </c:pt>
                <c:pt idx="52">
                  <c:v>24</c:v>
                </c:pt>
                <c:pt idx="53">
                  <c:v>4361</c:v>
                </c:pt>
                <c:pt idx="54">
                  <c:v>1304</c:v>
                </c:pt>
                <c:pt idx="55">
                  <c:v>503</c:v>
                </c:pt>
                <c:pt idx="56">
                  <c:v>949</c:v>
                </c:pt>
                <c:pt idx="57">
                  <c:v>8142</c:v>
                </c:pt>
                <c:pt idx="58">
                  <c:v>4619</c:v>
                </c:pt>
                <c:pt idx="59">
                  <c:v>1826</c:v>
                </c:pt>
                <c:pt idx="60">
                  <c:v>1866</c:v>
                </c:pt>
                <c:pt idx="61">
                  <c:v>757</c:v>
                </c:pt>
                <c:pt idx="62">
                  <c:v>70736</c:v>
                </c:pt>
                <c:pt idx="63">
                  <c:v>184</c:v>
                </c:pt>
                <c:pt idx="64">
                  <c:v>1013</c:v>
                </c:pt>
                <c:pt idx="65">
                  <c:v>3708</c:v>
                </c:pt>
                <c:pt idx="66">
                  <c:v>8432</c:v>
                </c:pt>
                <c:pt idx="67">
                  <c:v>1005</c:v>
                </c:pt>
                <c:pt idx="68">
                  <c:v>230</c:v>
                </c:pt>
                <c:pt idx="69">
                  <c:v>1205</c:v>
                </c:pt>
                <c:pt idx="70">
                  <c:v>713</c:v>
                </c:pt>
                <c:pt idx="71">
                  <c:v>163</c:v>
                </c:pt>
                <c:pt idx="72">
                  <c:v>4006</c:v>
                </c:pt>
                <c:pt idx="73">
                  <c:v>945</c:v>
                </c:pt>
                <c:pt idx="74">
                  <c:v>10</c:v>
                </c:pt>
                <c:pt idx="75">
                  <c:v>5580</c:v>
                </c:pt>
                <c:pt idx="76">
                  <c:v>582</c:v>
                </c:pt>
                <c:pt idx="77">
                  <c:v>18</c:v>
                </c:pt>
                <c:pt idx="78">
                  <c:v>278</c:v>
                </c:pt>
                <c:pt idx="80">
                  <c:v>25</c:v>
                </c:pt>
              </c:numCache>
            </c:numRef>
          </c:val>
        </c:ser>
        <c:ser>
          <c:idx val="1"/>
          <c:order val="1"/>
          <c:tx>
            <c:strRef>
              <c:f>Sayfa1!$E$3</c:f>
              <c:strCache>
                <c:ptCount val="1"/>
                <c:pt idx="0">
                  <c:v>2014</c:v>
                </c:pt>
              </c:strCache>
            </c:strRef>
          </c:tx>
          <c:invertIfNegative val="0"/>
          <c:dLbls>
            <c:txPr>
              <a:bodyPr rot="-5400000" vert="horz"/>
              <a:lstStyle/>
              <a:p>
                <a:pPr>
                  <a:defRPr sz="800" b="1">
                    <a:solidFill>
                      <a:srgbClr val="C00000"/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Sayfa1!$A$4:$A$84</c:f>
              <c:strCache>
                <c:ptCount val="81"/>
                <c:pt idx="0">
                  <c:v>İstanbul</c:v>
                </c:pt>
                <c:pt idx="1">
                  <c:v>Tekirdağ</c:v>
                </c:pt>
                <c:pt idx="2">
                  <c:v>Edirne</c:v>
                </c:pt>
                <c:pt idx="3">
                  <c:v>Kırklareli</c:v>
                </c:pt>
                <c:pt idx="4">
                  <c:v>Balıkesir</c:v>
                </c:pt>
                <c:pt idx="5">
                  <c:v>Çanakkale</c:v>
                </c:pt>
                <c:pt idx="6">
                  <c:v>İzmir</c:v>
                </c:pt>
                <c:pt idx="7">
                  <c:v>Aydın</c:v>
                </c:pt>
                <c:pt idx="8">
                  <c:v>Denizli</c:v>
                </c:pt>
                <c:pt idx="9">
                  <c:v>Muğla</c:v>
                </c:pt>
                <c:pt idx="10">
                  <c:v>Manisa</c:v>
                </c:pt>
                <c:pt idx="11">
                  <c:v>Afyonkarahisar</c:v>
                </c:pt>
                <c:pt idx="12">
                  <c:v>Kütahya</c:v>
                </c:pt>
                <c:pt idx="13">
                  <c:v>Uşak</c:v>
                </c:pt>
                <c:pt idx="14">
                  <c:v>Bursa</c:v>
                </c:pt>
                <c:pt idx="15">
                  <c:v>Eskişehir</c:v>
                </c:pt>
                <c:pt idx="16">
                  <c:v>Bilecik</c:v>
                </c:pt>
                <c:pt idx="17">
                  <c:v>Kocaeli</c:v>
                </c:pt>
                <c:pt idx="18">
                  <c:v>Sakarya</c:v>
                </c:pt>
                <c:pt idx="19">
                  <c:v>Düzce</c:v>
                </c:pt>
                <c:pt idx="20">
                  <c:v>Bolu</c:v>
                </c:pt>
                <c:pt idx="21">
                  <c:v>Yalova</c:v>
                </c:pt>
                <c:pt idx="22">
                  <c:v>Ankara</c:v>
                </c:pt>
                <c:pt idx="23">
                  <c:v>Konya</c:v>
                </c:pt>
                <c:pt idx="24">
                  <c:v>Karaman</c:v>
                </c:pt>
                <c:pt idx="25">
                  <c:v>Antalya</c:v>
                </c:pt>
                <c:pt idx="26">
                  <c:v>Isparta</c:v>
                </c:pt>
                <c:pt idx="27">
                  <c:v>Burdur</c:v>
                </c:pt>
                <c:pt idx="28">
                  <c:v>Adana</c:v>
                </c:pt>
                <c:pt idx="29">
                  <c:v>Mersin</c:v>
                </c:pt>
                <c:pt idx="30">
                  <c:v>Hatay</c:v>
                </c:pt>
                <c:pt idx="31">
                  <c:v>Kahramanmaraş</c:v>
                </c:pt>
                <c:pt idx="32">
                  <c:v>Osmaniye</c:v>
                </c:pt>
                <c:pt idx="33">
                  <c:v>Kırıkkale</c:v>
                </c:pt>
                <c:pt idx="34">
                  <c:v>Aksaray</c:v>
                </c:pt>
                <c:pt idx="35">
                  <c:v>Niğde</c:v>
                </c:pt>
                <c:pt idx="36">
                  <c:v>Nevşehir</c:v>
                </c:pt>
                <c:pt idx="37">
                  <c:v>Kırşehir</c:v>
                </c:pt>
                <c:pt idx="38">
                  <c:v>Kayseri</c:v>
                </c:pt>
                <c:pt idx="39">
                  <c:v>Sivas</c:v>
                </c:pt>
                <c:pt idx="40">
                  <c:v>Yozgat</c:v>
                </c:pt>
                <c:pt idx="41">
                  <c:v>Zonguldak</c:v>
                </c:pt>
                <c:pt idx="42">
                  <c:v>Karabük</c:v>
                </c:pt>
                <c:pt idx="43">
                  <c:v>Bartın</c:v>
                </c:pt>
                <c:pt idx="44">
                  <c:v>Kastamonu</c:v>
                </c:pt>
                <c:pt idx="45">
                  <c:v>Çankırı</c:v>
                </c:pt>
                <c:pt idx="46">
                  <c:v>Sinop</c:v>
                </c:pt>
                <c:pt idx="47">
                  <c:v>Samsun</c:v>
                </c:pt>
                <c:pt idx="48">
                  <c:v>Tokat</c:v>
                </c:pt>
                <c:pt idx="49">
                  <c:v>Çorum</c:v>
                </c:pt>
                <c:pt idx="50">
                  <c:v>Amasya</c:v>
                </c:pt>
                <c:pt idx="51">
                  <c:v>Trabzon</c:v>
                </c:pt>
                <c:pt idx="52">
                  <c:v>Ordu</c:v>
                </c:pt>
                <c:pt idx="53">
                  <c:v>Giresun</c:v>
                </c:pt>
                <c:pt idx="54">
                  <c:v>Rize</c:v>
                </c:pt>
                <c:pt idx="55">
                  <c:v>Artvin</c:v>
                </c:pt>
                <c:pt idx="56">
                  <c:v>Gümüşhane</c:v>
                </c:pt>
                <c:pt idx="57">
                  <c:v>Erzurum</c:v>
                </c:pt>
                <c:pt idx="58">
                  <c:v>Erzincan</c:v>
                </c:pt>
                <c:pt idx="59">
                  <c:v>Bayburt</c:v>
                </c:pt>
                <c:pt idx="60">
                  <c:v>Ağrı</c:v>
                </c:pt>
                <c:pt idx="61">
                  <c:v>Kars</c:v>
                </c:pt>
                <c:pt idx="62">
                  <c:v>Iğdır</c:v>
                </c:pt>
                <c:pt idx="63">
                  <c:v>Ardahan</c:v>
                </c:pt>
                <c:pt idx="64">
                  <c:v>Malatya</c:v>
                </c:pt>
                <c:pt idx="65">
                  <c:v>Elazığ</c:v>
                </c:pt>
                <c:pt idx="66">
                  <c:v>Bingöl</c:v>
                </c:pt>
                <c:pt idx="67">
                  <c:v>Tunceli</c:v>
                </c:pt>
                <c:pt idx="68">
                  <c:v>Van</c:v>
                </c:pt>
                <c:pt idx="69">
                  <c:v>Muş</c:v>
                </c:pt>
                <c:pt idx="70">
                  <c:v>Bitlis</c:v>
                </c:pt>
                <c:pt idx="71">
                  <c:v>Hakkari</c:v>
                </c:pt>
                <c:pt idx="72">
                  <c:v>Gaziantep</c:v>
                </c:pt>
                <c:pt idx="73">
                  <c:v>Adıyaman</c:v>
                </c:pt>
                <c:pt idx="74">
                  <c:v>Kilis</c:v>
                </c:pt>
                <c:pt idx="75">
                  <c:v>Şanlıurfa</c:v>
                </c:pt>
                <c:pt idx="76">
                  <c:v>Diyarbakır</c:v>
                </c:pt>
                <c:pt idx="77">
                  <c:v>Mardin</c:v>
                </c:pt>
                <c:pt idx="78">
                  <c:v>Batman</c:v>
                </c:pt>
                <c:pt idx="79">
                  <c:v>Şırnak</c:v>
                </c:pt>
                <c:pt idx="80">
                  <c:v>Siirt</c:v>
                </c:pt>
              </c:strCache>
            </c:strRef>
          </c:cat>
          <c:val>
            <c:numRef>
              <c:f>Sayfa1!$E$4:$E$84</c:f>
              <c:numCache>
                <c:formatCode>#,##0</c:formatCode>
                <c:ptCount val="81"/>
                <c:pt idx="0">
                  <c:v>600</c:v>
                </c:pt>
                <c:pt idx="1">
                  <c:v>16070</c:v>
                </c:pt>
                <c:pt idx="2">
                  <c:v>58498</c:v>
                </c:pt>
                <c:pt idx="3">
                  <c:v>10190</c:v>
                </c:pt>
                <c:pt idx="4">
                  <c:v>39832</c:v>
                </c:pt>
                <c:pt idx="5">
                  <c:v>16672</c:v>
                </c:pt>
                <c:pt idx="6">
                  <c:v>54491</c:v>
                </c:pt>
                <c:pt idx="7">
                  <c:v>34109</c:v>
                </c:pt>
                <c:pt idx="8">
                  <c:v>9678</c:v>
                </c:pt>
                <c:pt idx="9">
                  <c:v>29895</c:v>
                </c:pt>
                <c:pt idx="10">
                  <c:v>82608</c:v>
                </c:pt>
                <c:pt idx="11">
                  <c:v>44301</c:v>
                </c:pt>
                <c:pt idx="12">
                  <c:v>10004</c:v>
                </c:pt>
                <c:pt idx="13">
                  <c:v>4065</c:v>
                </c:pt>
                <c:pt idx="14">
                  <c:v>15533</c:v>
                </c:pt>
                <c:pt idx="15">
                  <c:v>36905</c:v>
                </c:pt>
                <c:pt idx="16">
                  <c:v>2810</c:v>
                </c:pt>
                <c:pt idx="17">
                  <c:v>10039</c:v>
                </c:pt>
                <c:pt idx="18">
                  <c:v>16123</c:v>
                </c:pt>
                <c:pt idx="19">
                  <c:v>4098</c:v>
                </c:pt>
                <c:pt idx="20">
                  <c:v>3676</c:v>
                </c:pt>
                <c:pt idx="21">
                  <c:v>3947</c:v>
                </c:pt>
                <c:pt idx="22">
                  <c:v>6345</c:v>
                </c:pt>
                <c:pt idx="23">
                  <c:v>210622</c:v>
                </c:pt>
                <c:pt idx="24">
                  <c:v>17568</c:v>
                </c:pt>
                <c:pt idx="25">
                  <c:v>47700</c:v>
                </c:pt>
                <c:pt idx="26">
                  <c:v>16467</c:v>
                </c:pt>
                <c:pt idx="27">
                  <c:v>24159</c:v>
                </c:pt>
                <c:pt idx="28">
                  <c:v>133968</c:v>
                </c:pt>
                <c:pt idx="29">
                  <c:v>35149</c:v>
                </c:pt>
                <c:pt idx="30">
                  <c:v>14769</c:v>
                </c:pt>
                <c:pt idx="31">
                  <c:v>17394</c:v>
                </c:pt>
                <c:pt idx="32">
                  <c:v>86480</c:v>
                </c:pt>
                <c:pt idx="33">
                  <c:v>3141</c:v>
                </c:pt>
                <c:pt idx="34">
                  <c:v>9104</c:v>
                </c:pt>
                <c:pt idx="35">
                  <c:v>5138</c:v>
                </c:pt>
                <c:pt idx="36">
                  <c:v>1894</c:v>
                </c:pt>
                <c:pt idx="37">
                  <c:v>2128</c:v>
                </c:pt>
                <c:pt idx="38">
                  <c:v>8868</c:v>
                </c:pt>
                <c:pt idx="39">
                  <c:v>7670</c:v>
                </c:pt>
                <c:pt idx="40">
                  <c:v>5979</c:v>
                </c:pt>
                <c:pt idx="41">
                  <c:v>575</c:v>
                </c:pt>
                <c:pt idx="42">
                  <c:v>79</c:v>
                </c:pt>
                <c:pt idx="43">
                  <c:v>52</c:v>
                </c:pt>
                <c:pt idx="44">
                  <c:v>5098</c:v>
                </c:pt>
                <c:pt idx="45">
                  <c:v>1226</c:v>
                </c:pt>
                <c:pt idx="46">
                  <c:v>680</c:v>
                </c:pt>
                <c:pt idx="47">
                  <c:v>54123</c:v>
                </c:pt>
                <c:pt idx="48">
                  <c:v>11515</c:v>
                </c:pt>
                <c:pt idx="49">
                  <c:v>4987</c:v>
                </c:pt>
                <c:pt idx="50">
                  <c:v>1989</c:v>
                </c:pt>
                <c:pt idx="51">
                  <c:v>2139</c:v>
                </c:pt>
                <c:pt idx="52">
                  <c:v>24</c:v>
                </c:pt>
                <c:pt idx="53">
                  <c:v>4010</c:v>
                </c:pt>
                <c:pt idx="54">
                  <c:v>1304</c:v>
                </c:pt>
                <c:pt idx="55">
                  <c:v>512</c:v>
                </c:pt>
                <c:pt idx="56">
                  <c:v>971</c:v>
                </c:pt>
                <c:pt idx="57">
                  <c:v>9040</c:v>
                </c:pt>
                <c:pt idx="58">
                  <c:v>4670</c:v>
                </c:pt>
                <c:pt idx="59">
                  <c:v>1786</c:v>
                </c:pt>
                <c:pt idx="60">
                  <c:v>1866</c:v>
                </c:pt>
                <c:pt idx="61">
                  <c:v>757</c:v>
                </c:pt>
                <c:pt idx="62">
                  <c:v>70736</c:v>
                </c:pt>
                <c:pt idx="63">
                  <c:v>184</c:v>
                </c:pt>
                <c:pt idx="64">
                  <c:v>1027</c:v>
                </c:pt>
                <c:pt idx="65">
                  <c:v>4120</c:v>
                </c:pt>
                <c:pt idx="66">
                  <c:v>8675</c:v>
                </c:pt>
                <c:pt idx="67">
                  <c:v>1005</c:v>
                </c:pt>
                <c:pt idx="68">
                  <c:v>230</c:v>
                </c:pt>
                <c:pt idx="69">
                  <c:v>1205</c:v>
                </c:pt>
                <c:pt idx="70">
                  <c:v>713</c:v>
                </c:pt>
                <c:pt idx="71">
                  <c:v>163</c:v>
                </c:pt>
                <c:pt idx="72">
                  <c:v>4013</c:v>
                </c:pt>
                <c:pt idx="73">
                  <c:v>2118</c:v>
                </c:pt>
                <c:pt idx="74">
                  <c:v>10</c:v>
                </c:pt>
                <c:pt idx="75">
                  <c:v>5580</c:v>
                </c:pt>
                <c:pt idx="76">
                  <c:v>582</c:v>
                </c:pt>
                <c:pt idx="77">
                  <c:v>18</c:v>
                </c:pt>
                <c:pt idx="78">
                  <c:v>278</c:v>
                </c:pt>
                <c:pt idx="80">
                  <c:v>36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7"/>
        <c:overlap val="-38"/>
        <c:axId val="134723584"/>
        <c:axId val="152752064"/>
      </c:barChart>
      <c:catAx>
        <c:axId val="134723584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</c:majorGridlines>
        <c:majorTickMark val="out"/>
        <c:minorTickMark val="none"/>
        <c:tickLblPos val="nextTo"/>
        <c:crossAx val="152752064"/>
        <c:crosses val="autoZero"/>
        <c:auto val="1"/>
        <c:lblAlgn val="ctr"/>
        <c:lblOffset val="100"/>
        <c:noMultiLvlLbl val="0"/>
      </c:catAx>
      <c:valAx>
        <c:axId val="152752064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1"/>
        <c:majorTickMark val="out"/>
        <c:minorTickMark val="none"/>
        <c:tickLblPos val="nextTo"/>
        <c:crossAx val="134723584"/>
        <c:crosses val="autoZero"/>
        <c:crossBetween val="between"/>
      </c:valAx>
      <c:spPr>
        <a:noFill/>
        <a:ln>
          <a:solidFill>
            <a:schemeClr val="accent1">
              <a:lumMod val="20000"/>
              <a:lumOff val="80000"/>
            </a:schemeClr>
          </a:solidFill>
        </a:ln>
      </c:spPr>
    </c:plotArea>
    <c:legend>
      <c:legendPos val="t"/>
      <c:legendEntry>
        <c:idx val="0"/>
        <c:txPr>
          <a:bodyPr/>
          <a:lstStyle/>
          <a:p>
            <a:pPr>
              <a:defRPr sz="1200" b="1">
                <a:solidFill>
                  <a:schemeClr val="accent1">
                    <a:lumMod val="75000"/>
                  </a:schemeClr>
                </a:solidFill>
              </a:defRPr>
            </a:pPr>
            <a:endParaRPr lang="tr-TR"/>
          </a:p>
        </c:txPr>
      </c:legendEntry>
      <c:layout>
        <c:manualLayout>
          <c:xMode val="edge"/>
          <c:yMode val="edge"/>
          <c:x val="0.27871573726749604"/>
          <c:y val="0.10625008638685308"/>
          <c:w val="0.45004105313869369"/>
          <c:h val="4.4707605566681206E-2"/>
        </c:manualLayout>
      </c:layout>
      <c:overlay val="0"/>
      <c:txPr>
        <a:bodyPr/>
        <a:lstStyle/>
        <a:p>
          <a:pPr>
            <a:defRPr sz="1200" b="1">
              <a:solidFill>
                <a:srgbClr val="C00000"/>
              </a:solidFill>
            </a:defRPr>
          </a:pPr>
          <a:endParaRPr lang="tr-TR"/>
        </a:p>
      </c:txPr>
    </c:legend>
    <c:plotVisOnly val="1"/>
    <c:dispBlanksAs val="gap"/>
    <c:showDLblsOverMax val="0"/>
  </c:chart>
  <c:spPr>
    <a:ln>
      <a:solidFill>
        <a:srgbClr val="00B050"/>
      </a:solidFill>
    </a:ln>
  </c:spPr>
  <c:printSettings>
    <c:headerFooter/>
    <c:pageMargins b="0.75" l="0.7" r="0.7" t="0.75" header="0.3" footer="0.3"/>
    <c:pageSetup orientation="portrait"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Sayfa1!$G$3</c:f>
              <c:strCache>
                <c:ptCount val="1"/>
                <c:pt idx="0">
                  <c:v>Türkiye </c:v>
                </c:pt>
              </c:strCache>
            </c:strRef>
          </c:tx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>
                <c:manualLayout>
                  <c:x val="-6.2713014382513831E-3"/>
                  <c:y val="1.38763161330749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#,##0" sourceLinked="0"/>
            <c:txPr>
              <a:bodyPr/>
              <a:lstStyle/>
              <a:p>
                <a:pPr>
                  <a:defRPr sz="1050" b="1">
                    <a:solidFill>
                      <a:schemeClr val="accent1">
                        <a:lumMod val="75000"/>
                      </a:schemeClr>
                    </a:solidFill>
                  </a:defRPr>
                </a:pPr>
                <a:endParaRPr lang="tr-T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Ref>
              <c:f>Sayfa1!$H$2:$I$2</c:f>
              <c:numCache>
                <c:formatCode>General</c:formatCode>
                <c:ptCount val="2"/>
                <c:pt idx="0">
                  <c:v>2013</c:v>
                </c:pt>
                <c:pt idx="1">
                  <c:v>2014</c:v>
                </c:pt>
              </c:numCache>
            </c:numRef>
          </c:cat>
          <c:val>
            <c:numRef>
              <c:f>Sayfa1!$H$3:$I$3</c:f>
              <c:numCache>
                <c:formatCode>General</c:formatCode>
                <c:ptCount val="2"/>
                <c:pt idx="0">
                  <c:v>6744</c:v>
                </c:pt>
                <c:pt idx="1">
                  <c:v>7022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6"/>
        <c:axId val="134721536"/>
        <c:axId val="152755520"/>
      </c:barChart>
      <c:catAx>
        <c:axId val="134721536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crossAx val="152755520"/>
        <c:crosses val="autoZero"/>
        <c:auto val="1"/>
        <c:lblAlgn val="ctr"/>
        <c:lblOffset val="100"/>
        <c:noMultiLvlLbl val="0"/>
      </c:catAx>
      <c:valAx>
        <c:axId val="152755520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0"/>
        <c:majorTickMark val="out"/>
        <c:minorTickMark val="none"/>
        <c:tickLblPos val="nextTo"/>
        <c:crossAx val="13472153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Sayfa1!$M$3</c:f>
              <c:strCache>
                <c:ptCount val="1"/>
                <c:pt idx="0">
                  <c:v>Türkiye </c:v>
                </c:pt>
              </c:strCache>
            </c:strRef>
          </c:tx>
          <c:invertIfNegative val="0"/>
          <c:dLbls>
            <c:numFmt formatCode="#,##0" sourceLinked="0"/>
            <c:txPr>
              <a:bodyPr/>
              <a:lstStyle/>
              <a:p>
                <a:pPr>
                  <a:defRPr sz="1050" b="1">
                    <a:solidFill>
                      <a:schemeClr val="accent1">
                        <a:lumMod val="75000"/>
                      </a:schemeClr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Sayfa1!$N$2:$O$2</c:f>
              <c:numCache>
                <c:formatCode>General</c:formatCode>
                <c:ptCount val="2"/>
                <c:pt idx="0">
                  <c:v>2013</c:v>
                </c:pt>
                <c:pt idx="1">
                  <c:v>2014</c:v>
                </c:pt>
              </c:numCache>
            </c:numRef>
          </c:cat>
          <c:val>
            <c:numRef>
              <c:f>Sayfa1!$N$3:$O$3</c:f>
              <c:numCache>
                <c:formatCode>General</c:formatCode>
                <c:ptCount val="2"/>
                <c:pt idx="0">
                  <c:v>1309825</c:v>
                </c:pt>
                <c:pt idx="1">
                  <c:v>1366783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46"/>
        <c:axId val="119908352"/>
        <c:axId val="134415488"/>
      </c:barChart>
      <c:catAx>
        <c:axId val="119908352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crossAx val="134415488"/>
        <c:crosses val="autoZero"/>
        <c:auto val="1"/>
        <c:lblAlgn val="ctr"/>
        <c:lblOffset val="100"/>
        <c:noMultiLvlLbl val="0"/>
      </c:catAx>
      <c:valAx>
        <c:axId val="134415488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0"/>
        <c:majorTickMark val="out"/>
        <c:minorTickMark val="none"/>
        <c:tickLblPos val="nextTo"/>
        <c:crossAx val="11990835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2.2.7.İllere Göre İşletmedeki Taşkın Koruma Tesisleri,Adet</a:t>
            </a:r>
            <a:r>
              <a:rPr lang="tr-TR" baseline="0"/>
              <a:t> 2013-2014</a:t>
            </a:r>
            <a:endParaRPr lang="tr-TR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4215498503237547E-2"/>
          <c:y val="0.11839047717311825"/>
          <c:w val="0.96821380505170518"/>
          <c:h val="0.718096549708764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Sayfa1!$B$3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dLbls>
            <c:txPr>
              <a:bodyPr rot="-5400000" vert="horz"/>
              <a:lstStyle/>
              <a:p>
                <a:pPr>
                  <a:defRPr sz="900" b="0">
                    <a:solidFill>
                      <a:schemeClr val="accent1">
                        <a:lumMod val="75000"/>
                      </a:schemeClr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Sayfa1!$A$4:$A$84</c:f>
              <c:strCache>
                <c:ptCount val="81"/>
                <c:pt idx="0">
                  <c:v>İstanbul</c:v>
                </c:pt>
                <c:pt idx="1">
                  <c:v>Tekirdağ</c:v>
                </c:pt>
                <c:pt idx="2">
                  <c:v>Edirne</c:v>
                </c:pt>
                <c:pt idx="3">
                  <c:v>Kırklareli</c:v>
                </c:pt>
                <c:pt idx="4">
                  <c:v>Balıkesir</c:v>
                </c:pt>
                <c:pt idx="5">
                  <c:v>Çanakkale</c:v>
                </c:pt>
                <c:pt idx="6">
                  <c:v>İzmir</c:v>
                </c:pt>
                <c:pt idx="7">
                  <c:v>Aydın</c:v>
                </c:pt>
                <c:pt idx="8">
                  <c:v>Denizli</c:v>
                </c:pt>
                <c:pt idx="9">
                  <c:v>Muğla</c:v>
                </c:pt>
                <c:pt idx="10">
                  <c:v>Manisa</c:v>
                </c:pt>
                <c:pt idx="11">
                  <c:v>Afyonkarahisar</c:v>
                </c:pt>
                <c:pt idx="12">
                  <c:v>Kütahya</c:v>
                </c:pt>
                <c:pt idx="13">
                  <c:v>Uşak</c:v>
                </c:pt>
                <c:pt idx="14">
                  <c:v>Bursa</c:v>
                </c:pt>
                <c:pt idx="15">
                  <c:v>Eskişehir</c:v>
                </c:pt>
                <c:pt idx="16">
                  <c:v>Bilecik</c:v>
                </c:pt>
                <c:pt idx="17">
                  <c:v>Kocaeli</c:v>
                </c:pt>
                <c:pt idx="18">
                  <c:v>Sakarya</c:v>
                </c:pt>
                <c:pt idx="19">
                  <c:v>Düzce</c:v>
                </c:pt>
                <c:pt idx="20">
                  <c:v>Bolu</c:v>
                </c:pt>
                <c:pt idx="21">
                  <c:v>Yalova</c:v>
                </c:pt>
                <c:pt idx="22">
                  <c:v>Ankara</c:v>
                </c:pt>
                <c:pt idx="23">
                  <c:v>Konya</c:v>
                </c:pt>
                <c:pt idx="24">
                  <c:v>Karaman</c:v>
                </c:pt>
                <c:pt idx="25">
                  <c:v>Antalya</c:v>
                </c:pt>
                <c:pt idx="26">
                  <c:v>Isparta</c:v>
                </c:pt>
                <c:pt idx="27">
                  <c:v>Burdur</c:v>
                </c:pt>
                <c:pt idx="28">
                  <c:v>Adana</c:v>
                </c:pt>
                <c:pt idx="29">
                  <c:v>Mersin</c:v>
                </c:pt>
                <c:pt idx="30">
                  <c:v>Hatay</c:v>
                </c:pt>
                <c:pt idx="31">
                  <c:v>Kahramanmaraş</c:v>
                </c:pt>
                <c:pt idx="32">
                  <c:v>Osmaniye</c:v>
                </c:pt>
                <c:pt idx="33">
                  <c:v>Kırıkkale</c:v>
                </c:pt>
                <c:pt idx="34">
                  <c:v>Aksaray</c:v>
                </c:pt>
                <c:pt idx="35">
                  <c:v>Niğde</c:v>
                </c:pt>
                <c:pt idx="36">
                  <c:v>Nevşehir</c:v>
                </c:pt>
                <c:pt idx="37">
                  <c:v>Kırşehir</c:v>
                </c:pt>
                <c:pt idx="38">
                  <c:v>Kayseri</c:v>
                </c:pt>
                <c:pt idx="39">
                  <c:v>Sivas</c:v>
                </c:pt>
                <c:pt idx="40">
                  <c:v>Yozgat</c:v>
                </c:pt>
                <c:pt idx="41">
                  <c:v>Zonguldak</c:v>
                </c:pt>
                <c:pt idx="42">
                  <c:v>Karabük</c:v>
                </c:pt>
                <c:pt idx="43">
                  <c:v>Bartın</c:v>
                </c:pt>
                <c:pt idx="44">
                  <c:v>Kastamonu</c:v>
                </c:pt>
                <c:pt idx="45">
                  <c:v>Çankırı</c:v>
                </c:pt>
                <c:pt idx="46">
                  <c:v>Sinop</c:v>
                </c:pt>
                <c:pt idx="47">
                  <c:v>Samsun</c:v>
                </c:pt>
                <c:pt idx="48">
                  <c:v>Tokat</c:v>
                </c:pt>
                <c:pt idx="49">
                  <c:v>Çorum</c:v>
                </c:pt>
                <c:pt idx="50">
                  <c:v>Amasya</c:v>
                </c:pt>
                <c:pt idx="51">
                  <c:v>Trabzon</c:v>
                </c:pt>
                <c:pt idx="52">
                  <c:v>Ordu</c:v>
                </c:pt>
                <c:pt idx="53">
                  <c:v>Giresun</c:v>
                </c:pt>
                <c:pt idx="54">
                  <c:v>Rize</c:v>
                </c:pt>
                <c:pt idx="55">
                  <c:v>Artvin</c:v>
                </c:pt>
                <c:pt idx="56">
                  <c:v>Gümüşhane</c:v>
                </c:pt>
                <c:pt idx="57">
                  <c:v>Erzurum</c:v>
                </c:pt>
                <c:pt idx="58">
                  <c:v>Erzincan</c:v>
                </c:pt>
                <c:pt idx="59">
                  <c:v>Bayburt</c:v>
                </c:pt>
                <c:pt idx="60">
                  <c:v>Ağrı</c:v>
                </c:pt>
                <c:pt idx="61">
                  <c:v>Kars</c:v>
                </c:pt>
                <c:pt idx="62">
                  <c:v>Iğdır</c:v>
                </c:pt>
                <c:pt idx="63">
                  <c:v>Ardahan</c:v>
                </c:pt>
                <c:pt idx="64">
                  <c:v>Malatya</c:v>
                </c:pt>
                <c:pt idx="65">
                  <c:v>Elazığ</c:v>
                </c:pt>
                <c:pt idx="66">
                  <c:v>Bingöl</c:v>
                </c:pt>
                <c:pt idx="67">
                  <c:v>Tunceli</c:v>
                </c:pt>
                <c:pt idx="68">
                  <c:v>Van</c:v>
                </c:pt>
                <c:pt idx="69">
                  <c:v>Muş</c:v>
                </c:pt>
                <c:pt idx="70">
                  <c:v>Bitlis</c:v>
                </c:pt>
                <c:pt idx="71">
                  <c:v>Hakkari</c:v>
                </c:pt>
                <c:pt idx="72">
                  <c:v>Gaziantep</c:v>
                </c:pt>
                <c:pt idx="73">
                  <c:v>Adıyaman</c:v>
                </c:pt>
                <c:pt idx="74">
                  <c:v>Kilis</c:v>
                </c:pt>
                <c:pt idx="75">
                  <c:v>Şanlıurfa</c:v>
                </c:pt>
                <c:pt idx="76">
                  <c:v>Diyarbakır</c:v>
                </c:pt>
                <c:pt idx="77">
                  <c:v>Mardin</c:v>
                </c:pt>
                <c:pt idx="78">
                  <c:v>Batman</c:v>
                </c:pt>
                <c:pt idx="79">
                  <c:v>Şırnak</c:v>
                </c:pt>
                <c:pt idx="80">
                  <c:v>Siirt</c:v>
                </c:pt>
              </c:strCache>
            </c:strRef>
          </c:cat>
          <c:val>
            <c:numRef>
              <c:f>Sayfa1!$B$4:$B$84</c:f>
              <c:numCache>
                <c:formatCode>#,##0</c:formatCode>
                <c:ptCount val="81"/>
                <c:pt idx="0">
                  <c:v>23</c:v>
                </c:pt>
                <c:pt idx="1">
                  <c:v>111</c:v>
                </c:pt>
                <c:pt idx="2">
                  <c:v>187</c:v>
                </c:pt>
                <c:pt idx="3">
                  <c:v>82</c:v>
                </c:pt>
                <c:pt idx="4">
                  <c:v>96</c:v>
                </c:pt>
                <c:pt idx="5">
                  <c:v>131</c:v>
                </c:pt>
                <c:pt idx="6">
                  <c:v>170</c:v>
                </c:pt>
                <c:pt idx="7">
                  <c:v>114</c:v>
                </c:pt>
                <c:pt idx="8">
                  <c:v>90</c:v>
                </c:pt>
                <c:pt idx="9">
                  <c:v>99</c:v>
                </c:pt>
                <c:pt idx="10">
                  <c:v>113</c:v>
                </c:pt>
                <c:pt idx="11">
                  <c:v>163</c:v>
                </c:pt>
                <c:pt idx="12">
                  <c:v>131</c:v>
                </c:pt>
                <c:pt idx="13">
                  <c:v>31</c:v>
                </c:pt>
                <c:pt idx="14">
                  <c:v>214</c:v>
                </c:pt>
                <c:pt idx="15">
                  <c:v>95</c:v>
                </c:pt>
                <c:pt idx="16">
                  <c:v>49</c:v>
                </c:pt>
                <c:pt idx="17">
                  <c:v>91</c:v>
                </c:pt>
                <c:pt idx="18">
                  <c:v>103</c:v>
                </c:pt>
                <c:pt idx="19">
                  <c:v>65</c:v>
                </c:pt>
                <c:pt idx="20">
                  <c:v>95</c:v>
                </c:pt>
                <c:pt idx="21">
                  <c:v>36</c:v>
                </c:pt>
                <c:pt idx="22">
                  <c:v>191</c:v>
                </c:pt>
                <c:pt idx="23">
                  <c:v>149</c:v>
                </c:pt>
                <c:pt idx="24">
                  <c:v>15</c:v>
                </c:pt>
                <c:pt idx="25">
                  <c:v>128</c:v>
                </c:pt>
                <c:pt idx="26">
                  <c:v>129</c:v>
                </c:pt>
                <c:pt idx="27">
                  <c:v>84</c:v>
                </c:pt>
                <c:pt idx="28">
                  <c:v>82</c:v>
                </c:pt>
                <c:pt idx="29">
                  <c:v>48</c:v>
                </c:pt>
                <c:pt idx="30">
                  <c:v>77</c:v>
                </c:pt>
                <c:pt idx="31">
                  <c:v>76</c:v>
                </c:pt>
                <c:pt idx="32">
                  <c:v>36</c:v>
                </c:pt>
                <c:pt idx="33">
                  <c:v>80</c:v>
                </c:pt>
                <c:pt idx="34">
                  <c:v>20</c:v>
                </c:pt>
                <c:pt idx="35">
                  <c:v>33</c:v>
                </c:pt>
                <c:pt idx="36">
                  <c:v>41</c:v>
                </c:pt>
                <c:pt idx="37">
                  <c:v>34</c:v>
                </c:pt>
                <c:pt idx="38">
                  <c:v>135</c:v>
                </c:pt>
                <c:pt idx="39">
                  <c:v>182</c:v>
                </c:pt>
                <c:pt idx="40">
                  <c:v>86</c:v>
                </c:pt>
                <c:pt idx="41">
                  <c:v>64</c:v>
                </c:pt>
                <c:pt idx="42">
                  <c:v>33</c:v>
                </c:pt>
                <c:pt idx="43">
                  <c:v>26</c:v>
                </c:pt>
                <c:pt idx="44">
                  <c:v>112</c:v>
                </c:pt>
                <c:pt idx="45">
                  <c:v>88</c:v>
                </c:pt>
                <c:pt idx="46">
                  <c:v>35</c:v>
                </c:pt>
                <c:pt idx="47">
                  <c:v>95</c:v>
                </c:pt>
                <c:pt idx="48">
                  <c:v>128</c:v>
                </c:pt>
                <c:pt idx="49">
                  <c:v>161</c:v>
                </c:pt>
                <c:pt idx="50">
                  <c:v>115</c:v>
                </c:pt>
                <c:pt idx="51">
                  <c:v>135</c:v>
                </c:pt>
                <c:pt idx="52">
                  <c:v>58</c:v>
                </c:pt>
                <c:pt idx="53">
                  <c:v>85</c:v>
                </c:pt>
                <c:pt idx="54">
                  <c:v>71</c:v>
                </c:pt>
                <c:pt idx="55">
                  <c:v>91</c:v>
                </c:pt>
                <c:pt idx="56">
                  <c:v>68</c:v>
                </c:pt>
                <c:pt idx="57">
                  <c:v>301</c:v>
                </c:pt>
                <c:pt idx="58">
                  <c:v>127</c:v>
                </c:pt>
                <c:pt idx="59">
                  <c:v>74</c:v>
                </c:pt>
                <c:pt idx="60">
                  <c:v>82</c:v>
                </c:pt>
                <c:pt idx="61">
                  <c:v>62</c:v>
                </c:pt>
                <c:pt idx="62">
                  <c:v>14</c:v>
                </c:pt>
                <c:pt idx="63">
                  <c:v>27</c:v>
                </c:pt>
                <c:pt idx="64">
                  <c:v>98</c:v>
                </c:pt>
                <c:pt idx="65">
                  <c:v>79</c:v>
                </c:pt>
                <c:pt idx="66">
                  <c:v>73</c:v>
                </c:pt>
                <c:pt idx="67">
                  <c:v>73</c:v>
                </c:pt>
                <c:pt idx="68">
                  <c:v>91</c:v>
                </c:pt>
                <c:pt idx="69">
                  <c:v>56</c:v>
                </c:pt>
                <c:pt idx="70">
                  <c:v>35</c:v>
                </c:pt>
                <c:pt idx="71">
                  <c:v>15</c:v>
                </c:pt>
                <c:pt idx="72">
                  <c:v>36</c:v>
                </c:pt>
                <c:pt idx="73">
                  <c:v>40</c:v>
                </c:pt>
                <c:pt idx="74">
                  <c:v>4</c:v>
                </c:pt>
                <c:pt idx="75">
                  <c:v>9</c:v>
                </c:pt>
                <c:pt idx="76">
                  <c:v>74</c:v>
                </c:pt>
                <c:pt idx="77">
                  <c:v>30</c:v>
                </c:pt>
                <c:pt idx="78">
                  <c:v>22</c:v>
                </c:pt>
                <c:pt idx="79">
                  <c:v>17</c:v>
                </c:pt>
                <c:pt idx="80">
                  <c:v>25</c:v>
                </c:pt>
              </c:numCache>
            </c:numRef>
          </c:val>
        </c:ser>
        <c:ser>
          <c:idx val="1"/>
          <c:order val="1"/>
          <c:tx>
            <c:strRef>
              <c:f>Sayfa1!$C$3</c:f>
              <c:strCache>
                <c:ptCount val="1"/>
                <c:pt idx="0">
                  <c:v>2014</c:v>
                </c:pt>
              </c:strCache>
            </c:strRef>
          </c:tx>
          <c:invertIfNegative val="0"/>
          <c:dLbls>
            <c:txPr>
              <a:bodyPr rot="-5400000" vert="horz"/>
              <a:lstStyle/>
              <a:p>
                <a:pPr>
                  <a:defRPr sz="900">
                    <a:solidFill>
                      <a:srgbClr val="C00000"/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Sayfa1!$A$4:$A$84</c:f>
              <c:strCache>
                <c:ptCount val="81"/>
                <c:pt idx="0">
                  <c:v>İstanbul</c:v>
                </c:pt>
                <c:pt idx="1">
                  <c:v>Tekirdağ</c:v>
                </c:pt>
                <c:pt idx="2">
                  <c:v>Edirne</c:v>
                </c:pt>
                <c:pt idx="3">
                  <c:v>Kırklareli</c:v>
                </c:pt>
                <c:pt idx="4">
                  <c:v>Balıkesir</c:v>
                </c:pt>
                <c:pt idx="5">
                  <c:v>Çanakkale</c:v>
                </c:pt>
                <c:pt idx="6">
                  <c:v>İzmir</c:v>
                </c:pt>
                <c:pt idx="7">
                  <c:v>Aydın</c:v>
                </c:pt>
                <c:pt idx="8">
                  <c:v>Denizli</c:v>
                </c:pt>
                <c:pt idx="9">
                  <c:v>Muğla</c:v>
                </c:pt>
                <c:pt idx="10">
                  <c:v>Manisa</c:v>
                </c:pt>
                <c:pt idx="11">
                  <c:v>Afyonkarahisar</c:v>
                </c:pt>
                <c:pt idx="12">
                  <c:v>Kütahya</c:v>
                </c:pt>
                <c:pt idx="13">
                  <c:v>Uşak</c:v>
                </c:pt>
                <c:pt idx="14">
                  <c:v>Bursa</c:v>
                </c:pt>
                <c:pt idx="15">
                  <c:v>Eskişehir</c:v>
                </c:pt>
                <c:pt idx="16">
                  <c:v>Bilecik</c:v>
                </c:pt>
                <c:pt idx="17">
                  <c:v>Kocaeli</c:v>
                </c:pt>
                <c:pt idx="18">
                  <c:v>Sakarya</c:v>
                </c:pt>
                <c:pt idx="19">
                  <c:v>Düzce</c:v>
                </c:pt>
                <c:pt idx="20">
                  <c:v>Bolu</c:v>
                </c:pt>
                <c:pt idx="21">
                  <c:v>Yalova</c:v>
                </c:pt>
                <c:pt idx="22">
                  <c:v>Ankara</c:v>
                </c:pt>
                <c:pt idx="23">
                  <c:v>Konya</c:v>
                </c:pt>
                <c:pt idx="24">
                  <c:v>Karaman</c:v>
                </c:pt>
                <c:pt idx="25">
                  <c:v>Antalya</c:v>
                </c:pt>
                <c:pt idx="26">
                  <c:v>Isparta</c:v>
                </c:pt>
                <c:pt idx="27">
                  <c:v>Burdur</c:v>
                </c:pt>
                <c:pt idx="28">
                  <c:v>Adana</c:v>
                </c:pt>
                <c:pt idx="29">
                  <c:v>Mersin</c:v>
                </c:pt>
                <c:pt idx="30">
                  <c:v>Hatay</c:v>
                </c:pt>
                <c:pt idx="31">
                  <c:v>Kahramanmaraş</c:v>
                </c:pt>
                <c:pt idx="32">
                  <c:v>Osmaniye</c:v>
                </c:pt>
                <c:pt idx="33">
                  <c:v>Kırıkkale</c:v>
                </c:pt>
                <c:pt idx="34">
                  <c:v>Aksaray</c:v>
                </c:pt>
                <c:pt idx="35">
                  <c:v>Niğde</c:v>
                </c:pt>
                <c:pt idx="36">
                  <c:v>Nevşehir</c:v>
                </c:pt>
                <c:pt idx="37">
                  <c:v>Kırşehir</c:v>
                </c:pt>
                <c:pt idx="38">
                  <c:v>Kayseri</c:v>
                </c:pt>
                <c:pt idx="39">
                  <c:v>Sivas</c:v>
                </c:pt>
                <c:pt idx="40">
                  <c:v>Yozgat</c:v>
                </c:pt>
                <c:pt idx="41">
                  <c:v>Zonguldak</c:v>
                </c:pt>
                <c:pt idx="42">
                  <c:v>Karabük</c:v>
                </c:pt>
                <c:pt idx="43">
                  <c:v>Bartın</c:v>
                </c:pt>
                <c:pt idx="44">
                  <c:v>Kastamonu</c:v>
                </c:pt>
                <c:pt idx="45">
                  <c:v>Çankırı</c:v>
                </c:pt>
                <c:pt idx="46">
                  <c:v>Sinop</c:v>
                </c:pt>
                <c:pt idx="47">
                  <c:v>Samsun</c:v>
                </c:pt>
                <c:pt idx="48">
                  <c:v>Tokat</c:v>
                </c:pt>
                <c:pt idx="49">
                  <c:v>Çorum</c:v>
                </c:pt>
                <c:pt idx="50">
                  <c:v>Amasya</c:v>
                </c:pt>
                <c:pt idx="51">
                  <c:v>Trabzon</c:v>
                </c:pt>
                <c:pt idx="52">
                  <c:v>Ordu</c:v>
                </c:pt>
                <c:pt idx="53">
                  <c:v>Giresun</c:v>
                </c:pt>
                <c:pt idx="54">
                  <c:v>Rize</c:v>
                </c:pt>
                <c:pt idx="55">
                  <c:v>Artvin</c:v>
                </c:pt>
                <c:pt idx="56">
                  <c:v>Gümüşhane</c:v>
                </c:pt>
                <c:pt idx="57">
                  <c:v>Erzurum</c:v>
                </c:pt>
                <c:pt idx="58">
                  <c:v>Erzincan</c:v>
                </c:pt>
                <c:pt idx="59">
                  <c:v>Bayburt</c:v>
                </c:pt>
                <c:pt idx="60">
                  <c:v>Ağrı</c:v>
                </c:pt>
                <c:pt idx="61">
                  <c:v>Kars</c:v>
                </c:pt>
                <c:pt idx="62">
                  <c:v>Iğdır</c:v>
                </c:pt>
                <c:pt idx="63">
                  <c:v>Ardahan</c:v>
                </c:pt>
                <c:pt idx="64">
                  <c:v>Malatya</c:v>
                </c:pt>
                <c:pt idx="65">
                  <c:v>Elazığ</c:v>
                </c:pt>
                <c:pt idx="66">
                  <c:v>Bingöl</c:v>
                </c:pt>
                <c:pt idx="67">
                  <c:v>Tunceli</c:v>
                </c:pt>
                <c:pt idx="68">
                  <c:v>Van</c:v>
                </c:pt>
                <c:pt idx="69">
                  <c:v>Muş</c:v>
                </c:pt>
                <c:pt idx="70">
                  <c:v>Bitlis</c:v>
                </c:pt>
                <c:pt idx="71">
                  <c:v>Hakkari</c:v>
                </c:pt>
                <c:pt idx="72">
                  <c:v>Gaziantep</c:v>
                </c:pt>
                <c:pt idx="73">
                  <c:v>Adıyaman</c:v>
                </c:pt>
                <c:pt idx="74">
                  <c:v>Kilis</c:v>
                </c:pt>
                <c:pt idx="75">
                  <c:v>Şanlıurfa</c:v>
                </c:pt>
                <c:pt idx="76">
                  <c:v>Diyarbakır</c:v>
                </c:pt>
                <c:pt idx="77">
                  <c:v>Mardin</c:v>
                </c:pt>
                <c:pt idx="78">
                  <c:v>Batman</c:v>
                </c:pt>
                <c:pt idx="79">
                  <c:v>Şırnak</c:v>
                </c:pt>
                <c:pt idx="80">
                  <c:v>Siirt</c:v>
                </c:pt>
              </c:strCache>
            </c:strRef>
          </c:cat>
          <c:val>
            <c:numRef>
              <c:f>Sayfa1!$C$4:$C$84</c:f>
              <c:numCache>
                <c:formatCode>#,##0</c:formatCode>
                <c:ptCount val="81"/>
                <c:pt idx="0">
                  <c:v>23</c:v>
                </c:pt>
                <c:pt idx="1">
                  <c:v>111</c:v>
                </c:pt>
                <c:pt idx="2">
                  <c:v>187</c:v>
                </c:pt>
                <c:pt idx="3">
                  <c:v>82</c:v>
                </c:pt>
                <c:pt idx="4">
                  <c:v>101</c:v>
                </c:pt>
                <c:pt idx="5">
                  <c:v>136</c:v>
                </c:pt>
                <c:pt idx="6">
                  <c:v>172</c:v>
                </c:pt>
                <c:pt idx="7">
                  <c:v>131</c:v>
                </c:pt>
                <c:pt idx="8">
                  <c:v>89</c:v>
                </c:pt>
                <c:pt idx="9">
                  <c:v>107</c:v>
                </c:pt>
                <c:pt idx="10">
                  <c:v>116</c:v>
                </c:pt>
                <c:pt idx="11">
                  <c:v>173</c:v>
                </c:pt>
                <c:pt idx="12">
                  <c:v>139</c:v>
                </c:pt>
                <c:pt idx="13">
                  <c:v>41</c:v>
                </c:pt>
                <c:pt idx="14">
                  <c:v>214</c:v>
                </c:pt>
                <c:pt idx="15">
                  <c:v>95</c:v>
                </c:pt>
                <c:pt idx="16">
                  <c:v>50</c:v>
                </c:pt>
                <c:pt idx="17">
                  <c:v>91</c:v>
                </c:pt>
                <c:pt idx="18">
                  <c:v>104</c:v>
                </c:pt>
                <c:pt idx="19">
                  <c:v>68</c:v>
                </c:pt>
                <c:pt idx="20">
                  <c:v>97</c:v>
                </c:pt>
                <c:pt idx="21">
                  <c:v>36</c:v>
                </c:pt>
                <c:pt idx="22">
                  <c:v>193</c:v>
                </c:pt>
                <c:pt idx="23">
                  <c:v>152</c:v>
                </c:pt>
                <c:pt idx="24">
                  <c:v>15</c:v>
                </c:pt>
                <c:pt idx="25">
                  <c:v>130</c:v>
                </c:pt>
                <c:pt idx="26">
                  <c:v>143</c:v>
                </c:pt>
                <c:pt idx="27">
                  <c:v>96</c:v>
                </c:pt>
                <c:pt idx="28">
                  <c:v>78</c:v>
                </c:pt>
                <c:pt idx="29">
                  <c:v>49</c:v>
                </c:pt>
                <c:pt idx="30">
                  <c:v>79</c:v>
                </c:pt>
                <c:pt idx="31">
                  <c:v>84</c:v>
                </c:pt>
                <c:pt idx="32">
                  <c:v>37</c:v>
                </c:pt>
                <c:pt idx="33">
                  <c:v>80</c:v>
                </c:pt>
                <c:pt idx="34">
                  <c:v>20</c:v>
                </c:pt>
                <c:pt idx="35">
                  <c:v>35</c:v>
                </c:pt>
                <c:pt idx="36">
                  <c:v>41</c:v>
                </c:pt>
                <c:pt idx="37">
                  <c:v>34</c:v>
                </c:pt>
                <c:pt idx="38">
                  <c:v>135</c:v>
                </c:pt>
                <c:pt idx="39">
                  <c:v>185</c:v>
                </c:pt>
                <c:pt idx="40">
                  <c:v>88</c:v>
                </c:pt>
                <c:pt idx="41">
                  <c:v>65</c:v>
                </c:pt>
                <c:pt idx="42">
                  <c:v>35</c:v>
                </c:pt>
                <c:pt idx="43">
                  <c:v>28</c:v>
                </c:pt>
                <c:pt idx="44">
                  <c:v>115</c:v>
                </c:pt>
                <c:pt idx="45">
                  <c:v>94</c:v>
                </c:pt>
                <c:pt idx="46">
                  <c:v>36</c:v>
                </c:pt>
                <c:pt idx="47">
                  <c:v>98</c:v>
                </c:pt>
                <c:pt idx="48">
                  <c:v>141</c:v>
                </c:pt>
                <c:pt idx="49">
                  <c:v>164</c:v>
                </c:pt>
                <c:pt idx="50">
                  <c:v>117</c:v>
                </c:pt>
                <c:pt idx="51">
                  <c:v>135</c:v>
                </c:pt>
                <c:pt idx="52">
                  <c:v>59</c:v>
                </c:pt>
                <c:pt idx="53">
                  <c:v>82</c:v>
                </c:pt>
                <c:pt idx="54">
                  <c:v>83</c:v>
                </c:pt>
                <c:pt idx="55">
                  <c:v>97</c:v>
                </c:pt>
                <c:pt idx="56">
                  <c:v>73</c:v>
                </c:pt>
                <c:pt idx="57">
                  <c:v>321</c:v>
                </c:pt>
                <c:pt idx="58">
                  <c:v>130</c:v>
                </c:pt>
                <c:pt idx="59">
                  <c:v>77</c:v>
                </c:pt>
                <c:pt idx="60">
                  <c:v>85</c:v>
                </c:pt>
                <c:pt idx="61">
                  <c:v>62</c:v>
                </c:pt>
                <c:pt idx="62">
                  <c:v>14</c:v>
                </c:pt>
                <c:pt idx="63">
                  <c:v>25</c:v>
                </c:pt>
                <c:pt idx="64">
                  <c:v>100</c:v>
                </c:pt>
                <c:pt idx="65">
                  <c:v>88</c:v>
                </c:pt>
                <c:pt idx="66">
                  <c:v>95</c:v>
                </c:pt>
                <c:pt idx="67">
                  <c:v>74</c:v>
                </c:pt>
                <c:pt idx="68">
                  <c:v>100</c:v>
                </c:pt>
                <c:pt idx="69">
                  <c:v>65</c:v>
                </c:pt>
                <c:pt idx="70">
                  <c:v>38</c:v>
                </c:pt>
                <c:pt idx="71">
                  <c:v>15</c:v>
                </c:pt>
                <c:pt idx="72">
                  <c:v>42</c:v>
                </c:pt>
                <c:pt idx="73">
                  <c:v>45</c:v>
                </c:pt>
                <c:pt idx="74">
                  <c:v>4</c:v>
                </c:pt>
                <c:pt idx="75">
                  <c:v>9</c:v>
                </c:pt>
                <c:pt idx="76">
                  <c:v>74</c:v>
                </c:pt>
                <c:pt idx="77">
                  <c:v>30</c:v>
                </c:pt>
                <c:pt idx="78">
                  <c:v>22</c:v>
                </c:pt>
                <c:pt idx="79">
                  <c:v>17</c:v>
                </c:pt>
                <c:pt idx="80">
                  <c:v>31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8"/>
        <c:overlap val="-42"/>
        <c:axId val="134135808"/>
        <c:axId val="134417216"/>
      </c:barChart>
      <c:catAx>
        <c:axId val="134135808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</c:majorGridlines>
        <c:majorTickMark val="out"/>
        <c:minorTickMark val="none"/>
        <c:tickLblPos val="nextTo"/>
        <c:crossAx val="134417216"/>
        <c:crosses val="autoZero"/>
        <c:auto val="1"/>
        <c:lblAlgn val="ctr"/>
        <c:lblOffset val="100"/>
        <c:noMultiLvlLbl val="0"/>
      </c:catAx>
      <c:valAx>
        <c:axId val="134417216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1"/>
        <c:majorTickMark val="out"/>
        <c:minorTickMark val="none"/>
        <c:tickLblPos val="nextTo"/>
        <c:crossAx val="134135808"/>
        <c:crosses val="autoZero"/>
        <c:crossBetween val="between"/>
      </c:valAx>
    </c:plotArea>
    <c:legend>
      <c:legendPos val="t"/>
      <c:legendEntry>
        <c:idx val="0"/>
        <c:txPr>
          <a:bodyPr/>
          <a:lstStyle/>
          <a:p>
            <a:pPr>
              <a:defRPr sz="1100" b="0">
                <a:solidFill>
                  <a:schemeClr val="accent1">
                    <a:lumMod val="75000"/>
                  </a:schemeClr>
                </a:solidFill>
              </a:defRPr>
            </a:pPr>
            <a:endParaRPr lang="tr-TR"/>
          </a:p>
        </c:txPr>
      </c:legendEntry>
      <c:legendEntry>
        <c:idx val="1"/>
        <c:txPr>
          <a:bodyPr/>
          <a:lstStyle/>
          <a:p>
            <a:pPr>
              <a:defRPr sz="1100" b="0">
                <a:solidFill>
                  <a:srgbClr val="FF0000"/>
                </a:solidFill>
              </a:defRPr>
            </a:pPr>
            <a:endParaRPr lang="tr-TR"/>
          </a:p>
        </c:txPr>
      </c:legendEntry>
      <c:layout/>
      <c:overlay val="0"/>
      <c:txPr>
        <a:bodyPr/>
        <a:lstStyle/>
        <a:p>
          <a:pPr>
            <a:defRPr sz="1100" b="0"/>
          </a:pPr>
          <a:endParaRPr lang="tr-T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layout/>
      <c:overlay val="0"/>
    </c:title>
    <c:autoTitleDeleted val="0"/>
    <c:plotArea>
      <c:layout>
        <c:manualLayout>
          <c:layoutTarget val="inner"/>
          <c:xMode val="edge"/>
          <c:yMode val="edge"/>
          <c:x val="5.3683998637816394E-2"/>
          <c:y val="0.126468406162074"/>
          <c:w val="0.86871853496688445"/>
          <c:h val="0.6887769757946923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Sayfa1!$D$3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dLbls>
            <c:txPr>
              <a:bodyPr rot="-5400000" vert="horz"/>
              <a:lstStyle/>
              <a:p>
                <a:pPr>
                  <a:defRPr sz="800" b="1">
                    <a:solidFill>
                      <a:schemeClr val="accent1">
                        <a:lumMod val="75000"/>
                      </a:schemeClr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Sayfa1!$A$4:$A$84</c:f>
              <c:strCache>
                <c:ptCount val="81"/>
                <c:pt idx="0">
                  <c:v>İstanbul</c:v>
                </c:pt>
                <c:pt idx="1">
                  <c:v>Tekirdağ</c:v>
                </c:pt>
                <c:pt idx="2">
                  <c:v>Edirne</c:v>
                </c:pt>
                <c:pt idx="3">
                  <c:v>Kırklareli</c:v>
                </c:pt>
                <c:pt idx="4">
                  <c:v>Balıkesir</c:v>
                </c:pt>
                <c:pt idx="5">
                  <c:v>Çanakkale</c:v>
                </c:pt>
                <c:pt idx="6">
                  <c:v>İzmir</c:v>
                </c:pt>
                <c:pt idx="7">
                  <c:v>Aydın</c:v>
                </c:pt>
                <c:pt idx="8">
                  <c:v>Denizli</c:v>
                </c:pt>
                <c:pt idx="9">
                  <c:v>Muğla</c:v>
                </c:pt>
                <c:pt idx="10">
                  <c:v>Manisa</c:v>
                </c:pt>
                <c:pt idx="11">
                  <c:v>Afyonkarahisar</c:v>
                </c:pt>
                <c:pt idx="12">
                  <c:v>Kütahya</c:v>
                </c:pt>
                <c:pt idx="13">
                  <c:v>Uşak</c:v>
                </c:pt>
                <c:pt idx="14">
                  <c:v>Bursa</c:v>
                </c:pt>
                <c:pt idx="15">
                  <c:v>Eskişehir</c:v>
                </c:pt>
                <c:pt idx="16">
                  <c:v>Bilecik</c:v>
                </c:pt>
                <c:pt idx="17">
                  <c:v>Kocaeli</c:v>
                </c:pt>
                <c:pt idx="18">
                  <c:v>Sakarya</c:v>
                </c:pt>
                <c:pt idx="19">
                  <c:v>Düzce</c:v>
                </c:pt>
                <c:pt idx="20">
                  <c:v>Bolu</c:v>
                </c:pt>
                <c:pt idx="21">
                  <c:v>Yalova</c:v>
                </c:pt>
                <c:pt idx="22">
                  <c:v>Ankara</c:v>
                </c:pt>
                <c:pt idx="23">
                  <c:v>Konya</c:v>
                </c:pt>
                <c:pt idx="24">
                  <c:v>Karaman</c:v>
                </c:pt>
                <c:pt idx="25">
                  <c:v>Antalya</c:v>
                </c:pt>
                <c:pt idx="26">
                  <c:v>Isparta</c:v>
                </c:pt>
                <c:pt idx="27">
                  <c:v>Burdur</c:v>
                </c:pt>
                <c:pt idx="28">
                  <c:v>Adana</c:v>
                </c:pt>
                <c:pt idx="29">
                  <c:v>Mersin</c:v>
                </c:pt>
                <c:pt idx="30">
                  <c:v>Hatay</c:v>
                </c:pt>
                <c:pt idx="31">
                  <c:v>Kahramanmaraş</c:v>
                </c:pt>
                <c:pt idx="32">
                  <c:v>Osmaniye</c:v>
                </c:pt>
                <c:pt idx="33">
                  <c:v>Kırıkkale</c:v>
                </c:pt>
                <c:pt idx="34">
                  <c:v>Aksaray</c:v>
                </c:pt>
                <c:pt idx="35">
                  <c:v>Niğde</c:v>
                </c:pt>
                <c:pt idx="36">
                  <c:v>Nevşehir</c:v>
                </c:pt>
                <c:pt idx="37">
                  <c:v>Kırşehir</c:v>
                </c:pt>
                <c:pt idx="38">
                  <c:v>Kayseri</c:v>
                </c:pt>
                <c:pt idx="39">
                  <c:v>Sivas</c:v>
                </c:pt>
                <c:pt idx="40">
                  <c:v>Yozgat</c:v>
                </c:pt>
                <c:pt idx="41">
                  <c:v>Zonguldak</c:v>
                </c:pt>
                <c:pt idx="42">
                  <c:v>Karabük</c:v>
                </c:pt>
                <c:pt idx="43">
                  <c:v>Bartın</c:v>
                </c:pt>
                <c:pt idx="44">
                  <c:v>Kastamonu</c:v>
                </c:pt>
                <c:pt idx="45">
                  <c:v>Çankırı</c:v>
                </c:pt>
                <c:pt idx="46">
                  <c:v>Sinop</c:v>
                </c:pt>
                <c:pt idx="47">
                  <c:v>Samsun</c:v>
                </c:pt>
                <c:pt idx="48">
                  <c:v>Tokat</c:v>
                </c:pt>
                <c:pt idx="49">
                  <c:v>Çorum</c:v>
                </c:pt>
                <c:pt idx="50">
                  <c:v>Amasya</c:v>
                </c:pt>
                <c:pt idx="51">
                  <c:v>Trabzon</c:v>
                </c:pt>
                <c:pt idx="52">
                  <c:v>Ordu</c:v>
                </c:pt>
                <c:pt idx="53">
                  <c:v>Giresun</c:v>
                </c:pt>
                <c:pt idx="54">
                  <c:v>Rize</c:v>
                </c:pt>
                <c:pt idx="55">
                  <c:v>Artvin</c:v>
                </c:pt>
                <c:pt idx="56">
                  <c:v>Gümüşhane</c:v>
                </c:pt>
                <c:pt idx="57">
                  <c:v>Erzurum</c:v>
                </c:pt>
                <c:pt idx="58">
                  <c:v>Erzincan</c:v>
                </c:pt>
                <c:pt idx="59">
                  <c:v>Bayburt</c:v>
                </c:pt>
                <c:pt idx="60">
                  <c:v>Ağrı</c:v>
                </c:pt>
                <c:pt idx="61">
                  <c:v>Kars</c:v>
                </c:pt>
                <c:pt idx="62">
                  <c:v>Iğdır</c:v>
                </c:pt>
                <c:pt idx="63">
                  <c:v>Ardahan</c:v>
                </c:pt>
                <c:pt idx="64">
                  <c:v>Malatya</c:v>
                </c:pt>
                <c:pt idx="65">
                  <c:v>Elazığ</c:v>
                </c:pt>
                <c:pt idx="66">
                  <c:v>Bingöl</c:v>
                </c:pt>
                <c:pt idx="67">
                  <c:v>Tunceli</c:v>
                </c:pt>
                <c:pt idx="68">
                  <c:v>Van</c:v>
                </c:pt>
                <c:pt idx="69">
                  <c:v>Muş</c:v>
                </c:pt>
                <c:pt idx="70">
                  <c:v>Bitlis</c:v>
                </c:pt>
                <c:pt idx="71">
                  <c:v>Hakkari</c:v>
                </c:pt>
                <c:pt idx="72">
                  <c:v>Gaziantep</c:v>
                </c:pt>
                <c:pt idx="73">
                  <c:v>Adıyaman</c:v>
                </c:pt>
                <c:pt idx="74">
                  <c:v>Kilis</c:v>
                </c:pt>
                <c:pt idx="75">
                  <c:v>Şanlıurfa</c:v>
                </c:pt>
                <c:pt idx="76">
                  <c:v>Diyarbakır</c:v>
                </c:pt>
                <c:pt idx="77">
                  <c:v>Mardin</c:v>
                </c:pt>
                <c:pt idx="78">
                  <c:v>Batman</c:v>
                </c:pt>
                <c:pt idx="79">
                  <c:v>Şırnak</c:v>
                </c:pt>
                <c:pt idx="80">
                  <c:v>Siirt</c:v>
                </c:pt>
              </c:strCache>
            </c:strRef>
          </c:cat>
          <c:val>
            <c:numRef>
              <c:f>Sayfa1!$D$4:$D$84</c:f>
              <c:numCache>
                <c:formatCode>#,##0</c:formatCode>
                <c:ptCount val="81"/>
                <c:pt idx="0">
                  <c:v>600</c:v>
                </c:pt>
                <c:pt idx="1">
                  <c:v>16070</c:v>
                </c:pt>
                <c:pt idx="2">
                  <c:v>58498</c:v>
                </c:pt>
                <c:pt idx="3">
                  <c:v>10190</c:v>
                </c:pt>
                <c:pt idx="4">
                  <c:v>39745</c:v>
                </c:pt>
                <c:pt idx="5">
                  <c:v>14022</c:v>
                </c:pt>
                <c:pt idx="6">
                  <c:v>54691</c:v>
                </c:pt>
                <c:pt idx="7">
                  <c:v>29262</c:v>
                </c:pt>
                <c:pt idx="8">
                  <c:v>9678</c:v>
                </c:pt>
                <c:pt idx="9">
                  <c:v>28198</c:v>
                </c:pt>
                <c:pt idx="10">
                  <c:v>82258</c:v>
                </c:pt>
                <c:pt idx="11">
                  <c:v>44301</c:v>
                </c:pt>
                <c:pt idx="12">
                  <c:v>9004</c:v>
                </c:pt>
                <c:pt idx="13">
                  <c:v>1437</c:v>
                </c:pt>
                <c:pt idx="14">
                  <c:v>15533</c:v>
                </c:pt>
                <c:pt idx="15">
                  <c:v>36905</c:v>
                </c:pt>
                <c:pt idx="16">
                  <c:v>2810</c:v>
                </c:pt>
                <c:pt idx="17">
                  <c:v>10039</c:v>
                </c:pt>
                <c:pt idx="18">
                  <c:v>16123</c:v>
                </c:pt>
                <c:pt idx="19">
                  <c:v>678</c:v>
                </c:pt>
                <c:pt idx="20">
                  <c:v>3676</c:v>
                </c:pt>
                <c:pt idx="21">
                  <c:v>3947</c:v>
                </c:pt>
                <c:pt idx="22">
                  <c:v>6345</c:v>
                </c:pt>
                <c:pt idx="23">
                  <c:v>210614</c:v>
                </c:pt>
                <c:pt idx="24">
                  <c:v>17568</c:v>
                </c:pt>
                <c:pt idx="25">
                  <c:v>45378</c:v>
                </c:pt>
                <c:pt idx="26">
                  <c:v>16467</c:v>
                </c:pt>
                <c:pt idx="27">
                  <c:v>24159</c:v>
                </c:pt>
                <c:pt idx="28">
                  <c:v>140868</c:v>
                </c:pt>
                <c:pt idx="29">
                  <c:v>34634</c:v>
                </c:pt>
                <c:pt idx="30">
                  <c:v>11079</c:v>
                </c:pt>
                <c:pt idx="31">
                  <c:v>4979</c:v>
                </c:pt>
                <c:pt idx="32">
                  <c:v>60630</c:v>
                </c:pt>
                <c:pt idx="33">
                  <c:v>3141</c:v>
                </c:pt>
                <c:pt idx="34">
                  <c:v>9104</c:v>
                </c:pt>
                <c:pt idx="35">
                  <c:v>5138</c:v>
                </c:pt>
                <c:pt idx="36">
                  <c:v>1894</c:v>
                </c:pt>
                <c:pt idx="37">
                  <c:v>2128</c:v>
                </c:pt>
                <c:pt idx="38">
                  <c:v>8868</c:v>
                </c:pt>
                <c:pt idx="39">
                  <c:v>7670</c:v>
                </c:pt>
                <c:pt idx="40">
                  <c:v>5979</c:v>
                </c:pt>
                <c:pt idx="41">
                  <c:v>575</c:v>
                </c:pt>
                <c:pt idx="42">
                  <c:v>69</c:v>
                </c:pt>
                <c:pt idx="43">
                  <c:v>52</c:v>
                </c:pt>
                <c:pt idx="44">
                  <c:v>5098</c:v>
                </c:pt>
                <c:pt idx="45">
                  <c:v>1164</c:v>
                </c:pt>
                <c:pt idx="46">
                  <c:v>680</c:v>
                </c:pt>
                <c:pt idx="47">
                  <c:v>54120</c:v>
                </c:pt>
                <c:pt idx="48">
                  <c:v>11515</c:v>
                </c:pt>
                <c:pt idx="49">
                  <c:v>4987</c:v>
                </c:pt>
                <c:pt idx="50">
                  <c:v>1934</c:v>
                </c:pt>
                <c:pt idx="51">
                  <c:v>2139</c:v>
                </c:pt>
                <c:pt idx="52">
                  <c:v>24</c:v>
                </c:pt>
                <c:pt idx="53">
                  <c:v>4361</c:v>
                </c:pt>
                <c:pt idx="54">
                  <c:v>1304</c:v>
                </c:pt>
                <c:pt idx="55">
                  <c:v>503</c:v>
                </c:pt>
                <c:pt idx="56">
                  <c:v>949</c:v>
                </c:pt>
                <c:pt idx="57">
                  <c:v>8142</c:v>
                </c:pt>
                <c:pt idx="58">
                  <c:v>4619</c:v>
                </c:pt>
                <c:pt idx="59">
                  <c:v>1826</c:v>
                </c:pt>
                <c:pt idx="60">
                  <c:v>1866</c:v>
                </c:pt>
                <c:pt idx="61">
                  <c:v>757</c:v>
                </c:pt>
                <c:pt idx="62">
                  <c:v>70736</c:v>
                </c:pt>
                <c:pt idx="63">
                  <c:v>184</c:v>
                </c:pt>
                <c:pt idx="64">
                  <c:v>1013</c:v>
                </c:pt>
                <c:pt idx="65">
                  <c:v>3708</c:v>
                </c:pt>
                <c:pt idx="66">
                  <c:v>8432</c:v>
                </c:pt>
                <c:pt idx="67">
                  <c:v>1005</c:v>
                </c:pt>
                <c:pt idx="68">
                  <c:v>230</c:v>
                </c:pt>
                <c:pt idx="69">
                  <c:v>1205</c:v>
                </c:pt>
                <c:pt idx="70">
                  <c:v>713</c:v>
                </c:pt>
                <c:pt idx="71">
                  <c:v>163</c:v>
                </c:pt>
                <c:pt idx="72">
                  <c:v>4006</c:v>
                </c:pt>
                <c:pt idx="73">
                  <c:v>945</c:v>
                </c:pt>
                <c:pt idx="74">
                  <c:v>10</c:v>
                </c:pt>
                <c:pt idx="75">
                  <c:v>5580</c:v>
                </c:pt>
                <c:pt idx="76">
                  <c:v>582</c:v>
                </c:pt>
                <c:pt idx="77">
                  <c:v>18</c:v>
                </c:pt>
                <c:pt idx="78">
                  <c:v>278</c:v>
                </c:pt>
                <c:pt idx="80">
                  <c:v>25</c:v>
                </c:pt>
              </c:numCache>
            </c:numRef>
          </c:val>
        </c:ser>
        <c:ser>
          <c:idx val="1"/>
          <c:order val="1"/>
          <c:tx>
            <c:strRef>
              <c:f>Sayfa1!$E$3</c:f>
              <c:strCache>
                <c:ptCount val="1"/>
                <c:pt idx="0">
                  <c:v>2014</c:v>
                </c:pt>
              </c:strCache>
            </c:strRef>
          </c:tx>
          <c:invertIfNegative val="0"/>
          <c:dLbls>
            <c:txPr>
              <a:bodyPr rot="-5400000" vert="horz"/>
              <a:lstStyle/>
              <a:p>
                <a:pPr>
                  <a:defRPr sz="800" b="1">
                    <a:solidFill>
                      <a:srgbClr val="C00000"/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Sayfa1!$A$4:$A$84</c:f>
              <c:strCache>
                <c:ptCount val="81"/>
                <c:pt idx="0">
                  <c:v>İstanbul</c:v>
                </c:pt>
                <c:pt idx="1">
                  <c:v>Tekirdağ</c:v>
                </c:pt>
                <c:pt idx="2">
                  <c:v>Edirne</c:v>
                </c:pt>
                <c:pt idx="3">
                  <c:v>Kırklareli</c:v>
                </c:pt>
                <c:pt idx="4">
                  <c:v>Balıkesir</c:v>
                </c:pt>
                <c:pt idx="5">
                  <c:v>Çanakkale</c:v>
                </c:pt>
                <c:pt idx="6">
                  <c:v>İzmir</c:v>
                </c:pt>
                <c:pt idx="7">
                  <c:v>Aydın</c:v>
                </c:pt>
                <c:pt idx="8">
                  <c:v>Denizli</c:v>
                </c:pt>
                <c:pt idx="9">
                  <c:v>Muğla</c:v>
                </c:pt>
                <c:pt idx="10">
                  <c:v>Manisa</c:v>
                </c:pt>
                <c:pt idx="11">
                  <c:v>Afyonkarahisar</c:v>
                </c:pt>
                <c:pt idx="12">
                  <c:v>Kütahya</c:v>
                </c:pt>
                <c:pt idx="13">
                  <c:v>Uşak</c:v>
                </c:pt>
                <c:pt idx="14">
                  <c:v>Bursa</c:v>
                </c:pt>
                <c:pt idx="15">
                  <c:v>Eskişehir</c:v>
                </c:pt>
                <c:pt idx="16">
                  <c:v>Bilecik</c:v>
                </c:pt>
                <c:pt idx="17">
                  <c:v>Kocaeli</c:v>
                </c:pt>
                <c:pt idx="18">
                  <c:v>Sakarya</c:v>
                </c:pt>
                <c:pt idx="19">
                  <c:v>Düzce</c:v>
                </c:pt>
                <c:pt idx="20">
                  <c:v>Bolu</c:v>
                </c:pt>
                <c:pt idx="21">
                  <c:v>Yalova</c:v>
                </c:pt>
                <c:pt idx="22">
                  <c:v>Ankara</c:v>
                </c:pt>
                <c:pt idx="23">
                  <c:v>Konya</c:v>
                </c:pt>
                <c:pt idx="24">
                  <c:v>Karaman</c:v>
                </c:pt>
                <c:pt idx="25">
                  <c:v>Antalya</c:v>
                </c:pt>
                <c:pt idx="26">
                  <c:v>Isparta</c:v>
                </c:pt>
                <c:pt idx="27">
                  <c:v>Burdur</c:v>
                </c:pt>
                <c:pt idx="28">
                  <c:v>Adana</c:v>
                </c:pt>
                <c:pt idx="29">
                  <c:v>Mersin</c:v>
                </c:pt>
                <c:pt idx="30">
                  <c:v>Hatay</c:v>
                </c:pt>
                <c:pt idx="31">
                  <c:v>Kahramanmaraş</c:v>
                </c:pt>
                <c:pt idx="32">
                  <c:v>Osmaniye</c:v>
                </c:pt>
                <c:pt idx="33">
                  <c:v>Kırıkkale</c:v>
                </c:pt>
                <c:pt idx="34">
                  <c:v>Aksaray</c:v>
                </c:pt>
                <c:pt idx="35">
                  <c:v>Niğde</c:v>
                </c:pt>
                <c:pt idx="36">
                  <c:v>Nevşehir</c:v>
                </c:pt>
                <c:pt idx="37">
                  <c:v>Kırşehir</c:v>
                </c:pt>
                <c:pt idx="38">
                  <c:v>Kayseri</c:v>
                </c:pt>
                <c:pt idx="39">
                  <c:v>Sivas</c:v>
                </c:pt>
                <c:pt idx="40">
                  <c:v>Yozgat</c:v>
                </c:pt>
                <c:pt idx="41">
                  <c:v>Zonguldak</c:v>
                </c:pt>
                <c:pt idx="42">
                  <c:v>Karabük</c:v>
                </c:pt>
                <c:pt idx="43">
                  <c:v>Bartın</c:v>
                </c:pt>
                <c:pt idx="44">
                  <c:v>Kastamonu</c:v>
                </c:pt>
                <c:pt idx="45">
                  <c:v>Çankırı</c:v>
                </c:pt>
                <c:pt idx="46">
                  <c:v>Sinop</c:v>
                </c:pt>
                <c:pt idx="47">
                  <c:v>Samsun</c:v>
                </c:pt>
                <c:pt idx="48">
                  <c:v>Tokat</c:v>
                </c:pt>
                <c:pt idx="49">
                  <c:v>Çorum</c:v>
                </c:pt>
                <c:pt idx="50">
                  <c:v>Amasya</c:v>
                </c:pt>
                <c:pt idx="51">
                  <c:v>Trabzon</c:v>
                </c:pt>
                <c:pt idx="52">
                  <c:v>Ordu</c:v>
                </c:pt>
                <c:pt idx="53">
                  <c:v>Giresun</c:v>
                </c:pt>
                <c:pt idx="54">
                  <c:v>Rize</c:v>
                </c:pt>
                <c:pt idx="55">
                  <c:v>Artvin</c:v>
                </c:pt>
                <c:pt idx="56">
                  <c:v>Gümüşhane</c:v>
                </c:pt>
                <c:pt idx="57">
                  <c:v>Erzurum</c:v>
                </c:pt>
                <c:pt idx="58">
                  <c:v>Erzincan</c:v>
                </c:pt>
                <c:pt idx="59">
                  <c:v>Bayburt</c:v>
                </c:pt>
                <c:pt idx="60">
                  <c:v>Ağrı</c:v>
                </c:pt>
                <c:pt idx="61">
                  <c:v>Kars</c:v>
                </c:pt>
                <c:pt idx="62">
                  <c:v>Iğdır</c:v>
                </c:pt>
                <c:pt idx="63">
                  <c:v>Ardahan</c:v>
                </c:pt>
                <c:pt idx="64">
                  <c:v>Malatya</c:v>
                </c:pt>
                <c:pt idx="65">
                  <c:v>Elazığ</c:v>
                </c:pt>
                <c:pt idx="66">
                  <c:v>Bingöl</c:v>
                </c:pt>
                <c:pt idx="67">
                  <c:v>Tunceli</c:v>
                </c:pt>
                <c:pt idx="68">
                  <c:v>Van</c:v>
                </c:pt>
                <c:pt idx="69">
                  <c:v>Muş</c:v>
                </c:pt>
                <c:pt idx="70">
                  <c:v>Bitlis</c:v>
                </c:pt>
                <c:pt idx="71">
                  <c:v>Hakkari</c:v>
                </c:pt>
                <c:pt idx="72">
                  <c:v>Gaziantep</c:v>
                </c:pt>
                <c:pt idx="73">
                  <c:v>Adıyaman</c:v>
                </c:pt>
                <c:pt idx="74">
                  <c:v>Kilis</c:v>
                </c:pt>
                <c:pt idx="75">
                  <c:v>Şanlıurfa</c:v>
                </c:pt>
                <c:pt idx="76">
                  <c:v>Diyarbakır</c:v>
                </c:pt>
                <c:pt idx="77">
                  <c:v>Mardin</c:v>
                </c:pt>
                <c:pt idx="78">
                  <c:v>Batman</c:v>
                </c:pt>
                <c:pt idx="79">
                  <c:v>Şırnak</c:v>
                </c:pt>
                <c:pt idx="80">
                  <c:v>Siirt</c:v>
                </c:pt>
              </c:strCache>
            </c:strRef>
          </c:cat>
          <c:val>
            <c:numRef>
              <c:f>Sayfa1!$E$4:$E$84</c:f>
              <c:numCache>
                <c:formatCode>#,##0</c:formatCode>
                <c:ptCount val="81"/>
                <c:pt idx="0">
                  <c:v>600</c:v>
                </c:pt>
                <c:pt idx="1">
                  <c:v>16070</c:v>
                </c:pt>
                <c:pt idx="2">
                  <c:v>58498</c:v>
                </c:pt>
                <c:pt idx="3">
                  <c:v>10190</c:v>
                </c:pt>
                <c:pt idx="4">
                  <c:v>39832</c:v>
                </c:pt>
                <c:pt idx="5">
                  <c:v>16672</c:v>
                </c:pt>
                <c:pt idx="6">
                  <c:v>54491</c:v>
                </c:pt>
                <c:pt idx="7">
                  <c:v>34109</c:v>
                </c:pt>
                <c:pt idx="8">
                  <c:v>9678</c:v>
                </c:pt>
                <c:pt idx="9">
                  <c:v>29895</c:v>
                </c:pt>
                <c:pt idx="10">
                  <c:v>82608</c:v>
                </c:pt>
                <c:pt idx="11">
                  <c:v>44301</c:v>
                </c:pt>
                <c:pt idx="12">
                  <c:v>10004</c:v>
                </c:pt>
                <c:pt idx="13">
                  <c:v>4065</c:v>
                </c:pt>
                <c:pt idx="14">
                  <c:v>15533</c:v>
                </c:pt>
                <c:pt idx="15">
                  <c:v>36905</c:v>
                </c:pt>
                <c:pt idx="16">
                  <c:v>2810</c:v>
                </c:pt>
                <c:pt idx="17">
                  <c:v>10039</c:v>
                </c:pt>
                <c:pt idx="18">
                  <c:v>16123</c:v>
                </c:pt>
                <c:pt idx="19">
                  <c:v>4098</c:v>
                </c:pt>
                <c:pt idx="20">
                  <c:v>3676</c:v>
                </c:pt>
                <c:pt idx="21">
                  <c:v>3947</c:v>
                </c:pt>
                <c:pt idx="22">
                  <c:v>6345</c:v>
                </c:pt>
                <c:pt idx="23">
                  <c:v>210622</c:v>
                </c:pt>
                <c:pt idx="24">
                  <c:v>17568</c:v>
                </c:pt>
                <c:pt idx="25">
                  <c:v>47700</c:v>
                </c:pt>
                <c:pt idx="26">
                  <c:v>16467</c:v>
                </c:pt>
                <c:pt idx="27">
                  <c:v>24159</c:v>
                </c:pt>
                <c:pt idx="28">
                  <c:v>133968</c:v>
                </c:pt>
                <c:pt idx="29">
                  <c:v>35149</c:v>
                </c:pt>
                <c:pt idx="30">
                  <c:v>14769</c:v>
                </c:pt>
                <c:pt idx="31">
                  <c:v>17394</c:v>
                </c:pt>
                <c:pt idx="32">
                  <c:v>86480</c:v>
                </c:pt>
                <c:pt idx="33">
                  <c:v>3141</c:v>
                </c:pt>
                <c:pt idx="34">
                  <c:v>9104</c:v>
                </c:pt>
                <c:pt idx="35">
                  <c:v>5138</c:v>
                </c:pt>
                <c:pt idx="36">
                  <c:v>1894</c:v>
                </c:pt>
                <c:pt idx="37">
                  <c:v>2128</c:v>
                </c:pt>
                <c:pt idx="38">
                  <c:v>8868</c:v>
                </c:pt>
                <c:pt idx="39">
                  <c:v>7670</c:v>
                </c:pt>
                <c:pt idx="40">
                  <c:v>5979</c:v>
                </c:pt>
                <c:pt idx="41">
                  <c:v>575</c:v>
                </c:pt>
                <c:pt idx="42">
                  <c:v>79</c:v>
                </c:pt>
                <c:pt idx="43">
                  <c:v>52</c:v>
                </c:pt>
                <c:pt idx="44">
                  <c:v>5098</c:v>
                </c:pt>
                <c:pt idx="45">
                  <c:v>1226</c:v>
                </c:pt>
                <c:pt idx="46">
                  <c:v>680</c:v>
                </c:pt>
                <c:pt idx="47">
                  <c:v>54123</c:v>
                </c:pt>
                <c:pt idx="48">
                  <c:v>11515</c:v>
                </c:pt>
                <c:pt idx="49">
                  <c:v>4987</c:v>
                </c:pt>
                <c:pt idx="50">
                  <c:v>1989</c:v>
                </c:pt>
                <c:pt idx="51">
                  <c:v>2139</c:v>
                </c:pt>
                <c:pt idx="52">
                  <c:v>24</c:v>
                </c:pt>
                <c:pt idx="53">
                  <c:v>4010</c:v>
                </c:pt>
                <c:pt idx="54">
                  <c:v>1304</c:v>
                </c:pt>
                <c:pt idx="55">
                  <c:v>512</c:v>
                </c:pt>
                <c:pt idx="56">
                  <c:v>971</c:v>
                </c:pt>
                <c:pt idx="57">
                  <c:v>9040</c:v>
                </c:pt>
                <c:pt idx="58">
                  <c:v>4670</c:v>
                </c:pt>
                <c:pt idx="59">
                  <c:v>1786</c:v>
                </c:pt>
                <c:pt idx="60">
                  <c:v>1866</c:v>
                </c:pt>
                <c:pt idx="61">
                  <c:v>757</c:v>
                </c:pt>
                <c:pt idx="62">
                  <c:v>70736</c:v>
                </c:pt>
                <c:pt idx="63">
                  <c:v>184</c:v>
                </c:pt>
                <c:pt idx="64">
                  <c:v>1027</c:v>
                </c:pt>
                <c:pt idx="65">
                  <c:v>4120</c:v>
                </c:pt>
                <c:pt idx="66">
                  <c:v>8675</c:v>
                </c:pt>
                <c:pt idx="67">
                  <c:v>1005</c:v>
                </c:pt>
                <c:pt idx="68">
                  <c:v>230</c:v>
                </c:pt>
                <c:pt idx="69">
                  <c:v>1205</c:v>
                </c:pt>
                <c:pt idx="70">
                  <c:v>713</c:v>
                </c:pt>
                <c:pt idx="71">
                  <c:v>163</c:v>
                </c:pt>
                <c:pt idx="72">
                  <c:v>4013</c:v>
                </c:pt>
                <c:pt idx="73">
                  <c:v>2118</c:v>
                </c:pt>
                <c:pt idx="74">
                  <c:v>10</c:v>
                </c:pt>
                <c:pt idx="75">
                  <c:v>5580</c:v>
                </c:pt>
                <c:pt idx="76">
                  <c:v>582</c:v>
                </c:pt>
                <c:pt idx="77">
                  <c:v>18</c:v>
                </c:pt>
                <c:pt idx="78">
                  <c:v>278</c:v>
                </c:pt>
                <c:pt idx="80">
                  <c:v>36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7"/>
        <c:overlap val="-38"/>
        <c:axId val="119906304"/>
        <c:axId val="134420096"/>
      </c:barChart>
      <c:catAx>
        <c:axId val="119906304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</c:majorGridlines>
        <c:majorTickMark val="out"/>
        <c:minorTickMark val="none"/>
        <c:tickLblPos val="nextTo"/>
        <c:crossAx val="134420096"/>
        <c:crosses val="autoZero"/>
        <c:auto val="1"/>
        <c:lblAlgn val="ctr"/>
        <c:lblOffset val="100"/>
        <c:noMultiLvlLbl val="0"/>
      </c:catAx>
      <c:valAx>
        <c:axId val="134420096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1"/>
        <c:majorTickMark val="out"/>
        <c:minorTickMark val="none"/>
        <c:tickLblPos val="nextTo"/>
        <c:crossAx val="119906304"/>
        <c:crosses val="autoZero"/>
        <c:crossBetween val="between"/>
      </c:valAx>
      <c:spPr>
        <a:noFill/>
        <a:ln>
          <a:solidFill>
            <a:schemeClr val="accent1">
              <a:lumMod val="20000"/>
              <a:lumOff val="80000"/>
            </a:schemeClr>
          </a:solidFill>
        </a:ln>
      </c:spPr>
    </c:plotArea>
    <c:legend>
      <c:legendPos val="t"/>
      <c:layout>
        <c:manualLayout>
          <c:xMode val="edge"/>
          <c:yMode val="edge"/>
          <c:x val="0.2787157372674961"/>
          <c:y val="9.141588198202881E-2"/>
          <c:w val="0.45004105313869369"/>
          <c:h val="4.4707605566681206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353578</xdr:colOff>
      <xdr:row>1</xdr:row>
      <xdr:rowOff>76680</xdr:rowOff>
    </xdr:from>
    <xdr:to>
      <xdr:col>5</xdr:col>
      <xdr:colOff>737464</xdr:colOff>
      <xdr:row>1</xdr:row>
      <xdr:rowOff>362430</xdr:rowOff>
    </xdr:to>
    <xdr:pic>
      <xdr:nvPicPr>
        <xdr:cNvPr id="5" name="Resi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5033" y="656839"/>
          <a:ext cx="383886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238125</xdr:colOff>
      <xdr:row>90</xdr:row>
      <xdr:rowOff>0</xdr:rowOff>
    </xdr:from>
    <xdr:to>
      <xdr:col>19</xdr:col>
      <xdr:colOff>210449</xdr:colOff>
      <xdr:row>114</xdr:row>
      <xdr:rowOff>111040</xdr:rowOff>
    </xdr:to>
    <xdr:graphicFrame macro="">
      <xdr:nvGraphicFramePr>
        <xdr:cNvPr id="3" name="Grafik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459441</xdr:colOff>
      <xdr:row>67</xdr:row>
      <xdr:rowOff>123265</xdr:rowOff>
    </xdr:from>
    <xdr:to>
      <xdr:col>12</xdr:col>
      <xdr:colOff>392205</xdr:colOff>
      <xdr:row>87</xdr:row>
      <xdr:rowOff>52620</xdr:rowOff>
    </xdr:to>
    <xdr:graphicFrame macro="">
      <xdr:nvGraphicFramePr>
        <xdr:cNvPr id="4" name="Grafik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515470</xdr:colOff>
      <xdr:row>67</xdr:row>
      <xdr:rowOff>123265</xdr:rowOff>
    </xdr:from>
    <xdr:to>
      <xdr:col>20</xdr:col>
      <xdr:colOff>313765</xdr:colOff>
      <xdr:row>87</xdr:row>
      <xdr:rowOff>56029</xdr:rowOff>
    </xdr:to>
    <xdr:graphicFrame macro="">
      <xdr:nvGraphicFramePr>
        <xdr:cNvPr id="6" name="Grafik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254000</xdr:colOff>
      <xdr:row>116</xdr:row>
      <xdr:rowOff>0</xdr:rowOff>
    </xdr:from>
    <xdr:to>
      <xdr:col>19</xdr:col>
      <xdr:colOff>254000</xdr:colOff>
      <xdr:row>140</xdr:row>
      <xdr:rowOff>172571</xdr:rowOff>
    </xdr:to>
    <xdr:graphicFrame macro="">
      <xdr:nvGraphicFramePr>
        <xdr:cNvPr id="7" name="Grafik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0.00259</cdr:x>
      <cdr:y>0.01353</cdr:y>
    </cdr:from>
    <cdr:to>
      <cdr:x>0.04795</cdr:x>
      <cdr:y>0.0754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/>
        <a:stretch xmlns:a="http://schemas.openxmlformats.org/drawingml/2006/main">
          <a:fillRect/>
        </a:stretch>
      </cdr:blipFill>
      <cdr:spPr bwMode="auto">
        <a:xfrm xmlns:a="http://schemas.openxmlformats.org/drawingml/2006/main">
          <a:off x="39595" y="84419"/>
          <a:ext cx="693776" cy="38623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cdr:spPr>
    </cdr:pic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0.00944</cdr:x>
      <cdr:y>0.01354</cdr:y>
    </cdr:from>
    <cdr:to>
      <cdr:x>0.08081</cdr:x>
      <cdr:y>0.08973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/>
        <a:stretch xmlns:a="http://schemas.openxmlformats.org/drawingml/2006/main">
          <a:fillRect/>
        </a:stretch>
      </cdr:blipFill>
      <cdr:spPr bwMode="auto">
        <a:xfrm xmlns:a="http://schemas.openxmlformats.org/drawingml/2006/main">
          <a:off x="50800" y="50800"/>
          <a:ext cx="383886" cy="2857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cdr:spPr>
    </cdr:pic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0.00884</cdr:x>
      <cdr:y>0.01398</cdr:y>
    </cdr:from>
    <cdr:to>
      <cdr:x>0.07562</cdr:x>
      <cdr:y>0.09264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/>
        <a:stretch xmlns:a="http://schemas.openxmlformats.org/drawingml/2006/main">
          <a:fillRect/>
        </a:stretch>
      </cdr:blipFill>
      <cdr:spPr bwMode="auto">
        <a:xfrm xmlns:a="http://schemas.openxmlformats.org/drawingml/2006/main">
          <a:off x="50800" y="50800"/>
          <a:ext cx="383886" cy="2857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cdr:spPr>
    </cdr:pic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0.00332</cdr:x>
      <cdr:y>0.00989</cdr:y>
    </cdr:from>
    <cdr:to>
      <cdr:x>0.04859</cdr:x>
      <cdr:y>0.08519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/>
        <a:stretch xmlns:a="http://schemas.openxmlformats.org/drawingml/2006/main">
          <a:fillRect/>
        </a:stretch>
      </cdr:blipFill>
      <cdr:spPr bwMode="auto">
        <a:xfrm xmlns:a="http://schemas.openxmlformats.org/drawingml/2006/main">
          <a:off x="50800" y="50800"/>
          <a:ext cx="692488" cy="38680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cdr:spPr>
    </cdr:pic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571987</xdr:colOff>
      <xdr:row>7</xdr:row>
      <xdr:rowOff>25823</xdr:rowOff>
    </xdr:from>
    <xdr:to>
      <xdr:col>14</xdr:col>
      <xdr:colOff>331791</xdr:colOff>
      <xdr:row>26</xdr:row>
      <xdr:rowOff>67237</xdr:rowOff>
    </xdr:to>
    <xdr:graphicFrame macro="">
      <xdr:nvGraphicFramePr>
        <xdr:cNvPr id="4" name="Grafik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438976</xdr:colOff>
      <xdr:row>6</xdr:row>
      <xdr:rowOff>177246</xdr:rowOff>
    </xdr:from>
    <xdr:to>
      <xdr:col>22</xdr:col>
      <xdr:colOff>74055</xdr:colOff>
      <xdr:row>25</xdr:row>
      <xdr:rowOff>190499</xdr:rowOff>
    </xdr:to>
    <xdr:graphicFrame macro="">
      <xdr:nvGraphicFramePr>
        <xdr:cNvPr id="2" name="Grafik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-1</xdr:colOff>
      <xdr:row>38</xdr:row>
      <xdr:rowOff>22412</xdr:rowOff>
    </xdr:from>
    <xdr:to>
      <xdr:col>32</xdr:col>
      <xdr:colOff>168087</xdr:colOff>
      <xdr:row>70</xdr:row>
      <xdr:rowOff>168088</xdr:rowOff>
    </xdr:to>
    <xdr:graphicFrame macro="">
      <xdr:nvGraphicFramePr>
        <xdr:cNvPr id="8" name="Grafik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235323</xdr:colOff>
      <xdr:row>74</xdr:row>
      <xdr:rowOff>62754</xdr:rowOff>
    </xdr:from>
    <xdr:to>
      <xdr:col>29</xdr:col>
      <xdr:colOff>403411</xdr:colOff>
      <xdr:row>100</xdr:row>
      <xdr:rowOff>89648</xdr:rowOff>
    </xdr:to>
    <xdr:graphicFrame macro="">
      <xdr:nvGraphicFramePr>
        <xdr:cNvPr id="3" name="Grafik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0.00259</cdr:x>
      <cdr:y>0.01353</cdr:y>
    </cdr:from>
    <cdr:to>
      <cdr:x>0.04795</cdr:x>
      <cdr:y>0.0754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/>
        <a:stretch xmlns:a="http://schemas.openxmlformats.org/drawingml/2006/main">
          <a:fillRect/>
        </a:stretch>
      </cdr:blipFill>
      <cdr:spPr bwMode="auto">
        <a:xfrm xmlns:a="http://schemas.openxmlformats.org/drawingml/2006/main">
          <a:off x="39595" y="84419"/>
          <a:ext cx="693776" cy="38623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cdr:spPr>
    </cdr:pic>
  </cdr:relSizeAnchor>
</c:userShape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25"/>
  <sheetViews>
    <sheetView tabSelected="1" zoomScale="85" zoomScaleNormal="85" workbookViewId="0">
      <pane ySplit="6" topLeftCell="A7" activePane="bottomLeft" state="frozen"/>
      <selection pane="bottomLeft" activeCell="G9" sqref="G9"/>
    </sheetView>
  </sheetViews>
  <sheetFormatPr defaultRowHeight="15" x14ac:dyDescent="0.25"/>
  <cols>
    <col min="1" max="1" width="9.42578125" style="4" customWidth="1"/>
    <col min="2" max="2" width="15.42578125" style="4" customWidth="1"/>
    <col min="3" max="3" width="9.140625" style="4" customWidth="1"/>
    <col min="4" max="4" width="12.28515625" style="4" customWidth="1"/>
    <col min="5" max="5" width="8.7109375" style="4" customWidth="1"/>
    <col min="6" max="6" width="12.5703125" style="4" customWidth="1"/>
    <col min="7" max="8" width="12.140625" style="4" customWidth="1"/>
    <col min="9" max="9" width="15.7109375" style="4" customWidth="1"/>
    <col min="10" max="10" width="23.5703125" style="4" customWidth="1"/>
    <col min="11" max="13" width="9.140625" style="4"/>
    <col min="14" max="14" width="12.85546875" style="4" customWidth="1"/>
    <col min="15" max="15" width="13" style="4" customWidth="1"/>
    <col min="16" max="16" width="18" style="4" customWidth="1"/>
    <col min="17" max="20" width="9.140625" style="4"/>
    <col min="21" max="21" width="13" style="4" customWidth="1"/>
    <col min="22" max="22" width="14.42578125" style="4" customWidth="1"/>
    <col min="23" max="23" width="1.7109375" style="4" hidden="1" customWidth="1"/>
    <col min="24" max="24" width="4.7109375" style="4" customWidth="1"/>
    <col min="25" max="25" width="11.28515625" style="4" customWidth="1"/>
    <col min="26" max="26" width="13.85546875" style="4" customWidth="1"/>
    <col min="27" max="16384" width="9.140625" style="4"/>
  </cols>
  <sheetData>
    <row r="1" spans="1:14" ht="10.5" customHeight="1" thickBot="1" x14ac:dyDescent="0.3"/>
    <row r="2" spans="1:14" ht="33" customHeight="1" thickBot="1" x14ac:dyDescent="0.3">
      <c r="A2" s="22" t="s">
        <v>170</v>
      </c>
      <c r="B2" s="23"/>
      <c r="C2" s="23"/>
      <c r="D2" s="23"/>
      <c r="E2" s="6"/>
      <c r="F2" s="7"/>
      <c r="G2" s="1"/>
    </row>
    <row r="3" spans="1:14" ht="27" customHeight="1" x14ac:dyDescent="0.25">
      <c r="A3" s="41" t="s">
        <v>0</v>
      </c>
      <c r="B3" s="38" t="s">
        <v>169</v>
      </c>
      <c r="C3" s="48">
        <v>2013</v>
      </c>
      <c r="D3" s="49"/>
      <c r="E3" s="44">
        <v>2014</v>
      </c>
      <c r="F3" s="45"/>
      <c r="G3" s="8"/>
    </row>
    <row r="4" spans="1:14" ht="27" customHeight="1" x14ac:dyDescent="0.25">
      <c r="A4" s="42"/>
      <c r="B4" s="39"/>
      <c r="C4" s="46" t="s">
        <v>166</v>
      </c>
      <c r="D4" s="50"/>
      <c r="E4" s="46" t="s">
        <v>166</v>
      </c>
      <c r="F4" s="47"/>
      <c r="G4" s="9"/>
      <c r="N4" s="5"/>
    </row>
    <row r="5" spans="1:14" ht="43.5" customHeight="1" thickBot="1" x14ac:dyDescent="0.3">
      <c r="A5" s="43"/>
      <c r="B5" s="40"/>
      <c r="C5" s="24" t="s">
        <v>168</v>
      </c>
      <c r="D5" s="26" t="s">
        <v>167</v>
      </c>
      <c r="E5" s="27" t="s">
        <v>168</v>
      </c>
      <c r="F5" s="25" t="s">
        <v>167</v>
      </c>
    </row>
    <row r="6" spans="1:14" ht="15.75" thickBot="1" x14ac:dyDescent="0.3">
      <c r="A6" s="10" t="s">
        <v>1</v>
      </c>
      <c r="B6" s="11" t="s">
        <v>2</v>
      </c>
      <c r="C6" s="28">
        <f>SUM(C7:C87)</f>
        <v>6744</v>
      </c>
      <c r="D6" s="28">
        <f>SUM(D7:D87)</f>
        <v>1309825</v>
      </c>
      <c r="E6" s="28">
        <f>SUM(E7:E87)</f>
        <v>7022</v>
      </c>
      <c r="F6" s="28">
        <f>SUM(F7:F87)</f>
        <v>1366783</v>
      </c>
      <c r="H6" s="5"/>
    </row>
    <row r="7" spans="1:14" x14ac:dyDescent="0.25">
      <c r="A7" s="12" t="s">
        <v>5</v>
      </c>
      <c r="B7" s="2" t="s">
        <v>6</v>
      </c>
      <c r="C7" s="29">
        <v>23</v>
      </c>
      <c r="D7" s="29">
        <v>600</v>
      </c>
      <c r="E7" s="30">
        <v>23</v>
      </c>
      <c r="F7" s="30">
        <v>600</v>
      </c>
      <c r="G7" s="34"/>
    </row>
    <row r="8" spans="1:14" x14ac:dyDescent="0.25">
      <c r="A8" s="13" t="s">
        <v>9</v>
      </c>
      <c r="B8" s="3" t="s">
        <v>10</v>
      </c>
      <c r="C8" s="31">
        <v>111</v>
      </c>
      <c r="D8" s="31">
        <v>16070</v>
      </c>
      <c r="E8" s="31">
        <v>111</v>
      </c>
      <c r="F8" s="31">
        <v>16070</v>
      </c>
      <c r="G8" s="34"/>
      <c r="N8" s="5"/>
    </row>
    <row r="9" spans="1:14" x14ac:dyDescent="0.25">
      <c r="A9" s="13" t="s">
        <v>13</v>
      </c>
      <c r="B9" s="3" t="s">
        <v>14</v>
      </c>
      <c r="C9" s="31">
        <v>187</v>
      </c>
      <c r="D9" s="31">
        <v>58498</v>
      </c>
      <c r="E9" s="31">
        <v>187</v>
      </c>
      <c r="F9" s="31">
        <v>58498</v>
      </c>
      <c r="G9" s="34"/>
    </row>
    <row r="10" spans="1:14" ht="15" customHeight="1" x14ac:dyDescent="0.25">
      <c r="A10" s="13" t="s">
        <v>17</v>
      </c>
      <c r="B10" s="3" t="s">
        <v>18</v>
      </c>
      <c r="C10" s="31">
        <v>82</v>
      </c>
      <c r="D10" s="31">
        <v>10190</v>
      </c>
      <c r="E10" s="31">
        <v>82</v>
      </c>
      <c r="F10" s="31">
        <v>10190</v>
      </c>
      <c r="G10" s="34"/>
    </row>
    <row r="11" spans="1:14" ht="15" customHeight="1" x14ac:dyDescent="0.25">
      <c r="A11" s="13" t="s">
        <v>21</v>
      </c>
      <c r="B11" s="3" t="s">
        <v>22</v>
      </c>
      <c r="C11" s="31">
        <v>96</v>
      </c>
      <c r="D11" s="31">
        <v>39745</v>
      </c>
      <c r="E11" s="31">
        <v>101</v>
      </c>
      <c r="F11" s="31">
        <v>39832</v>
      </c>
      <c r="G11" s="34"/>
      <c r="I11" s="14"/>
      <c r="J11" s="14"/>
      <c r="N11" s="5"/>
    </row>
    <row r="12" spans="1:14" ht="15" customHeight="1" x14ac:dyDescent="0.25">
      <c r="A12" s="13" t="s">
        <v>25</v>
      </c>
      <c r="B12" s="3" t="s">
        <v>26</v>
      </c>
      <c r="C12" s="31">
        <v>131</v>
      </c>
      <c r="D12" s="31">
        <v>14022</v>
      </c>
      <c r="E12" s="31">
        <v>136</v>
      </c>
      <c r="F12" s="31">
        <v>16672</v>
      </c>
      <c r="G12" s="34"/>
      <c r="H12" s="5"/>
    </row>
    <row r="13" spans="1:14" ht="15" customHeight="1" x14ac:dyDescent="0.25">
      <c r="A13" s="13" t="s">
        <v>29</v>
      </c>
      <c r="B13" s="3" t="s">
        <v>30</v>
      </c>
      <c r="C13" s="31">
        <f>144+26</f>
        <v>170</v>
      </c>
      <c r="D13" s="31">
        <v>54691</v>
      </c>
      <c r="E13" s="31">
        <f>146+26</f>
        <v>172</v>
      </c>
      <c r="F13" s="31">
        <f>46496+7995</f>
        <v>54491</v>
      </c>
      <c r="G13" s="34"/>
    </row>
    <row r="14" spans="1:14" ht="15" customHeight="1" x14ac:dyDescent="0.25">
      <c r="A14" s="13" t="s">
        <v>33</v>
      </c>
      <c r="B14" s="3" t="s">
        <v>34</v>
      </c>
      <c r="C14" s="31">
        <v>114</v>
      </c>
      <c r="D14" s="31">
        <v>29262</v>
      </c>
      <c r="E14" s="31">
        <v>131</v>
      </c>
      <c r="F14" s="31">
        <v>34109</v>
      </c>
      <c r="G14" s="34"/>
      <c r="N14" s="5"/>
    </row>
    <row r="15" spans="1:14" ht="15" customHeight="1" x14ac:dyDescent="0.25">
      <c r="A15" s="13" t="s">
        <v>37</v>
      </c>
      <c r="B15" s="3" t="s">
        <v>38</v>
      </c>
      <c r="C15" s="31">
        <v>90</v>
      </c>
      <c r="D15" s="31">
        <v>9678</v>
      </c>
      <c r="E15" s="31">
        <v>89</v>
      </c>
      <c r="F15" s="31">
        <v>9678</v>
      </c>
      <c r="G15" s="34"/>
    </row>
    <row r="16" spans="1:14" x14ac:dyDescent="0.25">
      <c r="A16" s="13" t="s">
        <v>41</v>
      </c>
      <c r="B16" s="3" t="s">
        <v>42</v>
      </c>
      <c r="C16" s="31">
        <v>99</v>
      </c>
      <c r="D16" s="31">
        <v>28198</v>
      </c>
      <c r="E16" s="31">
        <v>107</v>
      </c>
      <c r="F16" s="31">
        <v>29895</v>
      </c>
      <c r="G16" s="34"/>
    </row>
    <row r="17" spans="1:18" x14ac:dyDescent="0.25">
      <c r="A17" s="13" t="s">
        <v>45</v>
      </c>
      <c r="B17" s="3" t="s">
        <v>46</v>
      </c>
      <c r="C17" s="31">
        <v>113</v>
      </c>
      <c r="D17" s="31">
        <v>82258</v>
      </c>
      <c r="E17" s="31">
        <v>116</v>
      </c>
      <c r="F17" s="31">
        <v>82608</v>
      </c>
      <c r="G17" s="34"/>
    </row>
    <row r="18" spans="1:18" x14ac:dyDescent="0.25">
      <c r="A18" s="13" t="s">
        <v>49</v>
      </c>
      <c r="B18" s="3" t="s">
        <v>50</v>
      </c>
      <c r="C18" s="31">
        <v>163</v>
      </c>
      <c r="D18" s="31">
        <v>44301</v>
      </c>
      <c r="E18" s="31">
        <v>173</v>
      </c>
      <c r="F18" s="31">
        <v>44301</v>
      </c>
      <c r="G18" s="34"/>
      <c r="Q18" s="1"/>
      <c r="R18" s="1"/>
    </row>
    <row r="19" spans="1:18" x14ac:dyDescent="0.25">
      <c r="A19" s="13" t="s">
        <v>53</v>
      </c>
      <c r="B19" s="3" t="s">
        <v>54</v>
      </c>
      <c r="C19" s="31">
        <v>131</v>
      </c>
      <c r="D19" s="31">
        <v>9004</v>
      </c>
      <c r="E19" s="31">
        <v>139</v>
      </c>
      <c r="F19" s="31">
        <v>10004</v>
      </c>
      <c r="G19" s="34"/>
      <c r="H19" s="5"/>
    </row>
    <row r="20" spans="1:18" x14ac:dyDescent="0.25">
      <c r="A20" s="13" t="s">
        <v>57</v>
      </c>
      <c r="B20" s="3" t="s">
        <v>58</v>
      </c>
      <c r="C20" s="31">
        <v>31</v>
      </c>
      <c r="D20" s="31">
        <v>1437</v>
      </c>
      <c r="E20" s="31">
        <v>41</v>
      </c>
      <c r="F20" s="31">
        <v>4065</v>
      </c>
      <c r="G20" s="34"/>
    </row>
    <row r="21" spans="1:18" x14ac:dyDescent="0.25">
      <c r="A21" s="13" t="s">
        <v>61</v>
      </c>
      <c r="B21" s="3" t="s">
        <v>62</v>
      </c>
      <c r="C21" s="31">
        <v>214</v>
      </c>
      <c r="D21" s="31">
        <v>15533</v>
      </c>
      <c r="E21" s="31">
        <v>214</v>
      </c>
      <c r="F21" s="31">
        <v>15533</v>
      </c>
      <c r="G21" s="34"/>
      <c r="N21" s="5"/>
    </row>
    <row r="22" spans="1:18" x14ac:dyDescent="0.25">
      <c r="A22" s="13" t="s">
        <v>65</v>
      </c>
      <c r="B22" s="3" t="s">
        <v>66</v>
      </c>
      <c r="C22" s="31">
        <v>95</v>
      </c>
      <c r="D22" s="31">
        <v>36905</v>
      </c>
      <c r="E22" s="31">
        <v>95</v>
      </c>
      <c r="F22" s="31">
        <v>36905</v>
      </c>
      <c r="G22" s="34"/>
    </row>
    <row r="23" spans="1:18" x14ac:dyDescent="0.25">
      <c r="A23" s="13" t="s">
        <v>69</v>
      </c>
      <c r="B23" s="3" t="s">
        <v>70</v>
      </c>
      <c r="C23" s="31">
        <v>49</v>
      </c>
      <c r="D23" s="31">
        <v>2810</v>
      </c>
      <c r="E23" s="31">
        <v>50</v>
      </c>
      <c r="F23" s="31">
        <v>2810</v>
      </c>
      <c r="G23" s="34"/>
    </row>
    <row r="24" spans="1:18" x14ac:dyDescent="0.25">
      <c r="A24" s="13" t="s">
        <v>73</v>
      </c>
      <c r="B24" s="3" t="s">
        <v>74</v>
      </c>
      <c r="C24" s="31">
        <v>91</v>
      </c>
      <c r="D24" s="31">
        <v>10039</v>
      </c>
      <c r="E24" s="31">
        <v>91</v>
      </c>
      <c r="F24" s="31">
        <v>10039</v>
      </c>
      <c r="G24" s="34"/>
    </row>
    <row r="25" spans="1:18" x14ac:dyDescent="0.25">
      <c r="A25" s="13" t="s">
        <v>77</v>
      </c>
      <c r="B25" s="3" t="s">
        <v>78</v>
      </c>
      <c r="C25" s="31">
        <v>103</v>
      </c>
      <c r="D25" s="31">
        <v>16123</v>
      </c>
      <c r="E25" s="31">
        <v>104</v>
      </c>
      <c r="F25" s="31">
        <v>16123</v>
      </c>
      <c r="G25" s="34"/>
    </row>
    <row r="26" spans="1:18" x14ac:dyDescent="0.25">
      <c r="A26" s="13" t="s">
        <v>81</v>
      </c>
      <c r="B26" s="3" t="s">
        <v>82</v>
      </c>
      <c r="C26" s="31">
        <v>65</v>
      </c>
      <c r="D26" s="31">
        <v>678</v>
      </c>
      <c r="E26" s="31">
        <v>68</v>
      </c>
      <c r="F26" s="31">
        <v>4098</v>
      </c>
      <c r="G26" s="34"/>
      <c r="H26" s="5"/>
    </row>
    <row r="27" spans="1:18" x14ac:dyDescent="0.25">
      <c r="A27" s="13" t="s">
        <v>85</v>
      </c>
      <c r="B27" s="3" t="s">
        <v>86</v>
      </c>
      <c r="C27" s="31">
        <v>95</v>
      </c>
      <c r="D27" s="31">
        <v>3676</v>
      </c>
      <c r="E27" s="31">
        <v>97</v>
      </c>
      <c r="F27" s="31">
        <v>3676</v>
      </c>
      <c r="G27" s="34"/>
    </row>
    <row r="28" spans="1:18" x14ac:dyDescent="0.25">
      <c r="A28" s="13" t="s">
        <v>89</v>
      </c>
      <c r="B28" s="3" t="s">
        <v>90</v>
      </c>
      <c r="C28" s="31">
        <v>36</v>
      </c>
      <c r="D28" s="31">
        <v>3947</v>
      </c>
      <c r="E28" s="31">
        <v>36</v>
      </c>
      <c r="F28" s="31">
        <v>3947</v>
      </c>
      <c r="G28" s="34"/>
      <c r="N28" s="5"/>
    </row>
    <row r="29" spans="1:18" x14ac:dyDescent="0.25">
      <c r="A29" s="13" t="s">
        <v>93</v>
      </c>
      <c r="B29" s="3" t="s">
        <v>94</v>
      </c>
      <c r="C29" s="31">
        <v>191</v>
      </c>
      <c r="D29" s="31">
        <v>6345</v>
      </c>
      <c r="E29" s="31">
        <v>193</v>
      </c>
      <c r="F29" s="31">
        <v>6345</v>
      </c>
      <c r="G29" s="34"/>
    </row>
    <row r="30" spans="1:18" x14ac:dyDescent="0.25">
      <c r="A30" s="13" t="s">
        <v>97</v>
      </c>
      <c r="B30" s="3" t="s">
        <v>98</v>
      </c>
      <c r="C30" s="31">
        <v>149</v>
      </c>
      <c r="D30" s="31">
        <f>210614</f>
        <v>210614</v>
      </c>
      <c r="E30" s="31">
        <v>152</v>
      </c>
      <c r="F30" s="31">
        <f>210622</f>
        <v>210622</v>
      </c>
      <c r="G30" s="34"/>
    </row>
    <row r="31" spans="1:18" x14ac:dyDescent="0.25">
      <c r="A31" s="13" t="s">
        <v>101</v>
      </c>
      <c r="B31" s="3" t="s">
        <v>102</v>
      </c>
      <c r="C31" s="31">
        <v>15</v>
      </c>
      <c r="D31" s="31">
        <v>17568</v>
      </c>
      <c r="E31" s="31">
        <v>15</v>
      </c>
      <c r="F31" s="31">
        <v>17568</v>
      </c>
      <c r="G31" s="34"/>
      <c r="N31" s="5"/>
    </row>
    <row r="32" spans="1:18" x14ac:dyDescent="0.25">
      <c r="A32" s="13" t="s">
        <v>105</v>
      </c>
      <c r="B32" s="3" t="s">
        <v>106</v>
      </c>
      <c r="C32" s="31">
        <v>128</v>
      </c>
      <c r="D32" s="31">
        <v>45378</v>
      </c>
      <c r="E32" s="31">
        <v>130</v>
      </c>
      <c r="F32" s="31">
        <v>47700</v>
      </c>
      <c r="G32" s="34"/>
    </row>
    <row r="33" spans="1:17" x14ac:dyDescent="0.25">
      <c r="A33" s="13" t="s">
        <v>109</v>
      </c>
      <c r="B33" s="3" t="s">
        <v>110</v>
      </c>
      <c r="C33" s="31">
        <v>129</v>
      </c>
      <c r="D33" s="31">
        <v>16467</v>
      </c>
      <c r="E33" s="31">
        <v>143</v>
      </c>
      <c r="F33" s="31">
        <v>16467</v>
      </c>
      <c r="G33" s="34"/>
    </row>
    <row r="34" spans="1:17" x14ac:dyDescent="0.25">
      <c r="A34" s="13" t="s">
        <v>113</v>
      </c>
      <c r="B34" s="3" t="s">
        <v>114</v>
      </c>
      <c r="C34" s="31">
        <v>84</v>
      </c>
      <c r="D34" s="31">
        <v>24159</v>
      </c>
      <c r="E34" s="31">
        <v>96</v>
      </c>
      <c r="F34" s="31">
        <v>24159</v>
      </c>
      <c r="G34" s="34"/>
      <c r="H34" s="5"/>
    </row>
    <row r="35" spans="1:17" x14ac:dyDescent="0.25">
      <c r="A35" s="13" t="s">
        <v>117</v>
      </c>
      <c r="B35" s="3" t="s">
        <v>118</v>
      </c>
      <c r="C35" s="31">
        <v>82</v>
      </c>
      <c r="D35" s="31">
        <v>140868</v>
      </c>
      <c r="E35" s="31">
        <v>78</v>
      </c>
      <c r="F35" s="31">
        <v>133968</v>
      </c>
      <c r="G35" s="34"/>
    </row>
    <row r="36" spans="1:17" x14ac:dyDescent="0.25">
      <c r="A36" s="13" t="s">
        <v>121</v>
      </c>
      <c r="B36" s="3" t="s">
        <v>122</v>
      </c>
      <c r="C36" s="31">
        <v>48</v>
      </c>
      <c r="D36" s="31">
        <v>34634</v>
      </c>
      <c r="E36" s="31">
        <v>49</v>
      </c>
      <c r="F36" s="31">
        <f>8994+26155</f>
        <v>35149</v>
      </c>
      <c r="G36" s="34"/>
      <c r="Q36" s="5"/>
    </row>
    <row r="37" spans="1:17" x14ac:dyDescent="0.25">
      <c r="A37" s="13" t="s">
        <v>125</v>
      </c>
      <c r="B37" s="3" t="s">
        <v>126</v>
      </c>
      <c r="C37" s="31">
        <v>77</v>
      </c>
      <c r="D37" s="31">
        <v>11079</v>
      </c>
      <c r="E37" s="31">
        <v>79</v>
      </c>
      <c r="F37" s="31">
        <v>14769</v>
      </c>
      <c r="G37" s="34"/>
    </row>
    <row r="38" spans="1:17" x14ac:dyDescent="0.25">
      <c r="A38" s="13" t="s">
        <v>129</v>
      </c>
      <c r="B38" s="3" t="s">
        <v>130</v>
      </c>
      <c r="C38" s="31">
        <v>76</v>
      </c>
      <c r="D38" s="31">
        <v>4979</v>
      </c>
      <c r="E38" s="31">
        <v>84</v>
      </c>
      <c r="F38" s="31">
        <v>17394</v>
      </c>
      <c r="G38" s="34"/>
      <c r="N38" s="5"/>
    </row>
    <row r="39" spans="1:17" x14ac:dyDescent="0.25">
      <c r="A39" s="13" t="s">
        <v>133</v>
      </c>
      <c r="B39" s="3" t="s">
        <v>134</v>
      </c>
      <c r="C39" s="31">
        <v>36</v>
      </c>
      <c r="D39" s="31">
        <v>60630</v>
      </c>
      <c r="E39" s="31">
        <v>37</v>
      </c>
      <c r="F39" s="31">
        <v>86480</v>
      </c>
      <c r="G39" s="34"/>
    </row>
    <row r="40" spans="1:17" x14ac:dyDescent="0.25">
      <c r="A40" s="13" t="s">
        <v>137</v>
      </c>
      <c r="B40" s="3" t="s">
        <v>138</v>
      </c>
      <c r="C40" s="31">
        <v>80</v>
      </c>
      <c r="D40" s="31">
        <v>3141</v>
      </c>
      <c r="E40" s="31">
        <v>80</v>
      </c>
      <c r="F40" s="31">
        <v>3141</v>
      </c>
      <c r="G40" s="34"/>
    </row>
    <row r="41" spans="1:17" x14ac:dyDescent="0.25">
      <c r="A41" s="13" t="s">
        <v>141</v>
      </c>
      <c r="B41" s="3" t="s">
        <v>142</v>
      </c>
      <c r="C41" s="31">
        <v>20</v>
      </c>
      <c r="D41" s="31">
        <v>9104</v>
      </c>
      <c r="E41" s="31">
        <v>20</v>
      </c>
      <c r="F41" s="31">
        <v>9104</v>
      </c>
      <c r="G41" s="34"/>
      <c r="H41" s="5"/>
    </row>
    <row r="42" spans="1:17" x14ac:dyDescent="0.25">
      <c r="A42" s="13" t="s">
        <v>145</v>
      </c>
      <c r="B42" s="3" t="s">
        <v>146</v>
      </c>
      <c r="C42" s="31">
        <v>33</v>
      </c>
      <c r="D42" s="31">
        <v>5138</v>
      </c>
      <c r="E42" s="31">
        <v>35</v>
      </c>
      <c r="F42" s="31">
        <v>5138</v>
      </c>
      <c r="G42" s="34"/>
    </row>
    <row r="43" spans="1:17" x14ac:dyDescent="0.25">
      <c r="A43" s="13" t="s">
        <v>149</v>
      </c>
      <c r="B43" s="3" t="s">
        <v>150</v>
      </c>
      <c r="C43" s="31">
        <v>41</v>
      </c>
      <c r="D43" s="31">
        <v>1894</v>
      </c>
      <c r="E43" s="31">
        <v>41</v>
      </c>
      <c r="F43" s="31">
        <v>1894</v>
      </c>
      <c r="G43" s="34"/>
    </row>
    <row r="44" spans="1:17" x14ac:dyDescent="0.25">
      <c r="A44" s="13" t="s">
        <v>153</v>
      </c>
      <c r="B44" s="3" t="s">
        <v>154</v>
      </c>
      <c r="C44" s="31">
        <v>34</v>
      </c>
      <c r="D44" s="31">
        <v>2128</v>
      </c>
      <c r="E44" s="31">
        <v>34</v>
      </c>
      <c r="F44" s="31">
        <v>2128</v>
      </c>
      <c r="G44" s="34"/>
      <c r="N44" s="5"/>
    </row>
    <row r="45" spans="1:17" x14ac:dyDescent="0.25">
      <c r="A45" s="13" t="s">
        <v>157</v>
      </c>
      <c r="B45" s="3" t="s">
        <v>158</v>
      </c>
      <c r="C45" s="31">
        <v>135</v>
      </c>
      <c r="D45" s="31">
        <v>8868</v>
      </c>
      <c r="E45" s="31">
        <v>135</v>
      </c>
      <c r="F45" s="31">
        <v>8868</v>
      </c>
      <c r="G45" s="34"/>
    </row>
    <row r="46" spans="1:17" x14ac:dyDescent="0.25">
      <c r="A46" s="13" t="s">
        <v>161</v>
      </c>
      <c r="B46" s="3" t="s">
        <v>162</v>
      </c>
      <c r="C46" s="31">
        <v>182</v>
      </c>
      <c r="D46" s="31">
        <v>7670</v>
      </c>
      <c r="E46" s="31">
        <v>185</v>
      </c>
      <c r="F46" s="31">
        <v>7670</v>
      </c>
      <c r="G46" s="34"/>
    </row>
    <row r="47" spans="1:17" x14ac:dyDescent="0.25">
      <c r="A47" s="12" t="s">
        <v>3</v>
      </c>
      <c r="B47" s="2" t="s">
        <v>4</v>
      </c>
      <c r="C47" s="31">
        <v>86</v>
      </c>
      <c r="D47" s="31">
        <v>5979</v>
      </c>
      <c r="E47" s="31">
        <v>88</v>
      </c>
      <c r="F47" s="31">
        <v>5979</v>
      </c>
      <c r="G47" s="34"/>
    </row>
    <row r="48" spans="1:17" x14ac:dyDescent="0.25">
      <c r="A48" s="13" t="s">
        <v>7</v>
      </c>
      <c r="B48" s="3" t="s">
        <v>8</v>
      </c>
      <c r="C48" s="31">
        <v>64</v>
      </c>
      <c r="D48" s="31">
        <v>575</v>
      </c>
      <c r="E48" s="31">
        <v>65</v>
      </c>
      <c r="F48" s="31">
        <v>575</v>
      </c>
      <c r="G48" s="34"/>
      <c r="H48" s="5"/>
    </row>
    <row r="49" spans="1:14" x14ac:dyDescent="0.25">
      <c r="A49" s="13" t="s">
        <v>11</v>
      </c>
      <c r="B49" s="3" t="s">
        <v>12</v>
      </c>
      <c r="C49" s="31">
        <v>33</v>
      </c>
      <c r="D49" s="31">
        <v>69</v>
      </c>
      <c r="E49" s="31">
        <v>35</v>
      </c>
      <c r="F49" s="31">
        <v>79</v>
      </c>
      <c r="G49" s="34"/>
    </row>
    <row r="50" spans="1:14" x14ac:dyDescent="0.25">
      <c r="A50" s="13" t="s">
        <v>15</v>
      </c>
      <c r="B50" s="3" t="s">
        <v>16</v>
      </c>
      <c r="C50" s="31">
        <v>26</v>
      </c>
      <c r="D50" s="31">
        <v>52</v>
      </c>
      <c r="E50" s="31">
        <v>28</v>
      </c>
      <c r="F50" s="31">
        <v>52</v>
      </c>
      <c r="G50" s="34"/>
    </row>
    <row r="51" spans="1:14" x14ac:dyDescent="0.25">
      <c r="A51" s="13" t="s">
        <v>19</v>
      </c>
      <c r="B51" s="3" t="s">
        <v>20</v>
      </c>
      <c r="C51" s="31">
        <v>112</v>
      </c>
      <c r="D51" s="31">
        <v>5098</v>
      </c>
      <c r="E51" s="31">
        <v>115</v>
      </c>
      <c r="F51" s="31">
        <v>5098</v>
      </c>
      <c r="G51" s="34"/>
      <c r="N51" s="5"/>
    </row>
    <row r="52" spans="1:14" x14ac:dyDescent="0.25">
      <c r="A52" s="13" t="s">
        <v>23</v>
      </c>
      <c r="B52" s="3" t="s">
        <v>24</v>
      </c>
      <c r="C52" s="31">
        <v>88</v>
      </c>
      <c r="D52" s="31">
        <v>1164</v>
      </c>
      <c r="E52" s="31">
        <v>94</v>
      </c>
      <c r="F52" s="31">
        <v>1226</v>
      </c>
      <c r="G52" s="34"/>
    </row>
    <row r="53" spans="1:14" x14ac:dyDescent="0.25">
      <c r="A53" s="13" t="s">
        <v>27</v>
      </c>
      <c r="B53" s="3" t="s">
        <v>28</v>
      </c>
      <c r="C53" s="31">
        <v>35</v>
      </c>
      <c r="D53" s="31">
        <v>680</v>
      </c>
      <c r="E53" s="31">
        <v>36</v>
      </c>
      <c r="F53" s="31">
        <v>680</v>
      </c>
      <c r="G53" s="34"/>
    </row>
    <row r="54" spans="1:14" x14ac:dyDescent="0.25">
      <c r="A54" s="13" t="s">
        <v>31</v>
      </c>
      <c r="B54" s="3" t="s">
        <v>32</v>
      </c>
      <c r="C54" s="31">
        <v>95</v>
      </c>
      <c r="D54" s="31">
        <v>54120</v>
      </c>
      <c r="E54" s="31">
        <v>98</v>
      </c>
      <c r="F54" s="31">
        <v>54123</v>
      </c>
      <c r="G54" s="34"/>
      <c r="H54" s="5"/>
    </row>
    <row r="55" spans="1:14" x14ac:dyDescent="0.25">
      <c r="A55" s="13" t="s">
        <v>35</v>
      </c>
      <c r="B55" s="3" t="s">
        <v>36</v>
      </c>
      <c r="C55" s="31">
        <v>128</v>
      </c>
      <c r="D55" s="31">
        <v>11515</v>
      </c>
      <c r="E55" s="31">
        <v>141</v>
      </c>
      <c r="F55" s="31">
        <v>11515</v>
      </c>
      <c r="G55" s="34"/>
    </row>
    <row r="56" spans="1:14" x14ac:dyDescent="0.25">
      <c r="A56" s="13" t="s">
        <v>39</v>
      </c>
      <c r="B56" s="3" t="s">
        <v>40</v>
      </c>
      <c r="C56" s="31">
        <v>161</v>
      </c>
      <c r="D56" s="31">
        <v>4987</v>
      </c>
      <c r="E56" s="31">
        <v>164</v>
      </c>
      <c r="F56" s="31">
        <v>4987</v>
      </c>
      <c r="G56" s="34"/>
    </row>
    <row r="57" spans="1:14" x14ac:dyDescent="0.25">
      <c r="A57" s="13" t="s">
        <v>43</v>
      </c>
      <c r="B57" s="3" t="s">
        <v>44</v>
      </c>
      <c r="C57" s="31">
        <v>115</v>
      </c>
      <c r="D57" s="31">
        <v>1934</v>
      </c>
      <c r="E57" s="31">
        <v>117</v>
      </c>
      <c r="F57" s="31">
        <v>1989</v>
      </c>
      <c r="G57" s="34"/>
    </row>
    <row r="58" spans="1:14" x14ac:dyDescent="0.25">
      <c r="A58" s="13" t="s">
        <v>47</v>
      </c>
      <c r="B58" s="3" t="s">
        <v>48</v>
      </c>
      <c r="C58" s="31">
        <v>135</v>
      </c>
      <c r="D58" s="31">
        <v>2139</v>
      </c>
      <c r="E58" s="31">
        <v>135</v>
      </c>
      <c r="F58" s="31">
        <v>2139</v>
      </c>
      <c r="G58" s="34"/>
      <c r="N58" s="5"/>
    </row>
    <row r="59" spans="1:14" x14ac:dyDescent="0.25">
      <c r="A59" s="13" t="s">
        <v>51</v>
      </c>
      <c r="B59" s="3" t="s">
        <v>52</v>
      </c>
      <c r="C59" s="31">
        <v>58</v>
      </c>
      <c r="D59" s="31">
        <v>24</v>
      </c>
      <c r="E59" s="31">
        <v>59</v>
      </c>
      <c r="F59" s="31">
        <v>24</v>
      </c>
      <c r="G59" s="34"/>
    </row>
    <row r="60" spans="1:14" x14ac:dyDescent="0.25">
      <c r="A60" s="13" t="s">
        <v>55</v>
      </c>
      <c r="B60" s="3" t="s">
        <v>56</v>
      </c>
      <c r="C60" s="31">
        <v>85</v>
      </c>
      <c r="D60" s="31">
        <v>4361</v>
      </c>
      <c r="E60" s="31">
        <v>82</v>
      </c>
      <c r="F60" s="31">
        <v>4010</v>
      </c>
      <c r="G60" s="34"/>
    </row>
    <row r="61" spans="1:14" x14ac:dyDescent="0.25">
      <c r="A61" s="13" t="s">
        <v>59</v>
      </c>
      <c r="B61" s="3" t="s">
        <v>60</v>
      </c>
      <c r="C61" s="31">
        <v>71</v>
      </c>
      <c r="D61" s="31">
        <v>1304</v>
      </c>
      <c r="E61" s="31">
        <v>83</v>
      </c>
      <c r="F61" s="31">
        <v>1304</v>
      </c>
      <c r="G61" s="34"/>
    </row>
    <row r="62" spans="1:14" x14ac:dyDescent="0.25">
      <c r="A62" s="13" t="s">
        <v>63</v>
      </c>
      <c r="B62" s="3" t="s">
        <v>64</v>
      </c>
      <c r="C62" s="31">
        <v>91</v>
      </c>
      <c r="D62" s="31">
        <v>503</v>
      </c>
      <c r="E62" s="31">
        <v>97</v>
      </c>
      <c r="F62" s="31">
        <v>512</v>
      </c>
      <c r="G62" s="34"/>
      <c r="H62" s="5"/>
    </row>
    <row r="63" spans="1:14" x14ac:dyDescent="0.25">
      <c r="A63" s="13" t="s">
        <v>67</v>
      </c>
      <c r="B63" s="3" t="s">
        <v>68</v>
      </c>
      <c r="C63" s="31">
        <v>68</v>
      </c>
      <c r="D63" s="31">
        <v>949</v>
      </c>
      <c r="E63" s="31">
        <v>73</v>
      </c>
      <c r="F63" s="31">
        <v>971</v>
      </c>
      <c r="G63" s="34"/>
    </row>
    <row r="64" spans="1:14" x14ac:dyDescent="0.25">
      <c r="A64" s="13" t="s">
        <v>71</v>
      </c>
      <c r="B64" s="3" t="s">
        <v>72</v>
      </c>
      <c r="C64" s="31">
        <v>301</v>
      </c>
      <c r="D64" s="31">
        <v>8142</v>
      </c>
      <c r="E64" s="31">
        <v>321</v>
      </c>
      <c r="F64" s="31">
        <v>9040</v>
      </c>
      <c r="G64" s="34"/>
    </row>
    <row r="65" spans="1:21" x14ac:dyDescent="0.25">
      <c r="A65" s="13" t="s">
        <v>75</v>
      </c>
      <c r="B65" s="3" t="s">
        <v>76</v>
      </c>
      <c r="C65" s="31">
        <v>127</v>
      </c>
      <c r="D65" s="31">
        <v>4619</v>
      </c>
      <c r="E65" s="31">
        <v>130</v>
      </c>
      <c r="F65" s="31">
        <v>4670</v>
      </c>
      <c r="G65" s="34"/>
      <c r="N65" s="5"/>
    </row>
    <row r="66" spans="1:21" x14ac:dyDescent="0.25">
      <c r="A66" s="13" t="s">
        <v>79</v>
      </c>
      <c r="B66" s="3" t="s">
        <v>80</v>
      </c>
      <c r="C66" s="31">
        <v>74</v>
      </c>
      <c r="D66" s="31">
        <v>1826</v>
      </c>
      <c r="E66" s="31">
        <v>77</v>
      </c>
      <c r="F66" s="31">
        <v>1786</v>
      </c>
      <c r="G66" s="34"/>
      <c r="U66" s="15"/>
    </row>
    <row r="67" spans="1:21" x14ac:dyDescent="0.25">
      <c r="A67" s="13" t="s">
        <v>83</v>
      </c>
      <c r="B67" s="3" t="s">
        <v>84</v>
      </c>
      <c r="C67" s="31">
        <v>82</v>
      </c>
      <c r="D67" s="31">
        <v>1866</v>
      </c>
      <c r="E67" s="31">
        <v>85</v>
      </c>
      <c r="F67" s="31">
        <v>1866</v>
      </c>
      <c r="G67" s="34"/>
    </row>
    <row r="68" spans="1:21" x14ac:dyDescent="0.25">
      <c r="A68" s="13" t="s">
        <v>87</v>
      </c>
      <c r="B68" s="3" t="s">
        <v>88</v>
      </c>
      <c r="C68" s="31">
        <v>62</v>
      </c>
      <c r="D68" s="31">
        <v>757</v>
      </c>
      <c r="E68" s="31">
        <v>62</v>
      </c>
      <c r="F68" s="31">
        <v>757</v>
      </c>
      <c r="G68" s="34"/>
    </row>
    <row r="69" spans="1:21" x14ac:dyDescent="0.25">
      <c r="A69" s="13" t="s">
        <v>91</v>
      </c>
      <c r="B69" s="3" t="s">
        <v>92</v>
      </c>
      <c r="C69" s="31">
        <v>14</v>
      </c>
      <c r="D69" s="31">
        <v>70736</v>
      </c>
      <c r="E69" s="31">
        <v>14</v>
      </c>
      <c r="F69" s="31">
        <v>70736</v>
      </c>
      <c r="G69" s="34"/>
      <c r="H69" s="5"/>
    </row>
    <row r="70" spans="1:21" x14ac:dyDescent="0.25">
      <c r="A70" s="13" t="s">
        <v>95</v>
      </c>
      <c r="B70" s="3" t="s">
        <v>96</v>
      </c>
      <c r="C70" s="31">
        <v>27</v>
      </c>
      <c r="D70" s="31">
        <v>184</v>
      </c>
      <c r="E70" s="31">
        <v>25</v>
      </c>
      <c r="F70" s="31">
        <v>184</v>
      </c>
      <c r="G70" s="34"/>
      <c r="N70" s="5"/>
    </row>
    <row r="71" spans="1:21" x14ac:dyDescent="0.25">
      <c r="A71" s="13" t="s">
        <v>99</v>
      </c>
      <c r="B71" s="3" t="s">
        <v>100</v>
      </c>
      <c r="C71" s="31">
        <v>98</v>
      </c>
      <c r="D71" s="31">
        <v>1013</v>
      </c>
      <c r="E71" s="31">
        <v>100</v>
      </c>
      <c r="F71" s="31">
        <v>1027</v>
      </c>
      <c r="G71" s="34"/>
    </row>
    <row r="72" spans="1:21" x14ac:dyDescent="0.25">
      <c r="A72" s="13" t="s">
        <v>103</v>
      </c>
      <c r="B72" s="3" t="s">
        <v>104</v>
      </c>
      <c r="C72" s="31">
        <v>79</v>
      </c>
      <c r="D72" s="31">
        <v>3708</v>
      </c>
      <c r="E72" s="31">
        <v>88</v>
      </c>
      <c r="F72" s="31">
        <v>4120</v>
      </c>
      <c r="G72" s="34"/>
    </row>
    <row r="73" spans="1:21" x14ac:dyDescent="0.25">
      <c r="A73" s="13" t="s">
        <v>107</v>
      </c>
      <c r="B73" s="3" t="s">
        <v>108</v>
      </c>
      <c r="C73" s="31">
        <v>73</v>
      </c>
      <c r="D73" s="31">
        <v>8432</v>
      </c>
      <c r="E73" s="31">
        <v>95</v>
      </c>
      <c r="F73" s="31">
        <v>8675</v>
      </c>
      <c r="G73" s="34"/>
    </row>
    <row r="74" spans="1:21" x14ac:dyDescent="0.25">
      <c r="A74" s="13" t="s">
        <v>111</v>
      </c>
      <c r="B74" s="3" t="s">
        <v>112</v>
      </c>
      <c r="C74" s="31">
        <v>73</v>
      </c>
      <c r="D74" s="31">
        <v>1005</v>
      </c>
      <c r="E74" s="31">
        <v>74</v>
      </c>
      <c r="F74" s="31">
        <v>1005</v>
      </c>
      <c r="G74" s="34"/>
    </row>
    <row r="75" spans="1:21" x14ac:dyDescent="0.25">
      <c r="A75" s="13" t="s">
        <v>115</v>
      </c>
      <c r="B75" s="3" t="s">
        <v>116</v>
      </c>
      <c r="C75" s="31">
        <v>91</v>
      </c>
      <c r="D75" s="31">
        <v>230</v>
      </c>
      <c r="E75" s="31">
        <v>100</v>
      </c>
      <c r="F75" s="31">
        <v>230</v>
      </c>
      <c r="G75" s="34"/>
    </row>
    <row r="76" spans="1:21" x14ac:dyDescent="0.25">
      <c r="A76" s="13" t="s">
        <v>119</v>
      </c>
      <c r="B76" s="3" t="s">
        <v>120</v>
      </c>
      <c r="C76" s="31">
        <v>56</v>
      </c>
      <c r="D76" s="31">
        <v>1205</v>
      </c>
      <c r="E76" s="31">
        <v>65</v>
      </c>
      <c r="F76" s="31">
        <v>1205</v>
      </c>
      <c r="G76" s="34"/>
      <c r="H76" s="5"/>
    </row>
    <row r="77" spans="1:21" x14ac:dyDescent="0.25">
      <c r="A77" s="13" t="s">
        <v>123</v>
      </c>
      <c r="B77" s="3" t="s">
        <v>124</v>
      </c>
      <c r="C77" s="31">
        <v>35</v>
      </c>
      <c r="D77" s="31">
        <v>713</v>
      </c>
      <c r="E77" s="31">
        <v>38</v>
      </c>
      <c r="F77" s="31">
        <v>713</v>
      </c>
      <c r="G77" s="34"/>
    </row>
    <row r="78" spans="1:21" x14ac:dyDescent="0.25">
      <c r="A78" s="13" t="s">
        <v>127</v>
      </c>
      <c r="B78" s="3" t="s">
        <v>128</v>
      </c>
      <c r="C78" s="31">
        <v>15</v>
      </c>
      <c r="D78" s="31">
        <v>163</v>
      </c>
      <c r="E78" s="31">
        <v>15</v>
      </c>
      <c r="F78" s="31">
        <v>163</v>
      </c>
      <c r="G78" s="34"/>
    </row>
    <row r="79" spans="1:21" x14ac:dyDescent="0.25">
      <c r="A79" s="13" t="s">
        <v>131</v>
      </c>
      <c r="B79" s="3" t="s">
        <v>132</v>
      </c>
      <c r="C79" s="31">
        <v>36</v>
      </c>
      <c r="D79" s="31">
        <v>4006</v>
      </c>
      <c r="E79" s="31">
        <v>42</v>
      </c>
      <c r="F79" s="31">
        <v>4013</v>
      </c>
      <c r="G79" s="34"/>
    </row>
    <row r="80" spans="1:21" x14ac:dyDescent="0.25">
      <c r="A80" s="13" t="s">
        <v>135</v>
      </c>
      <c r="B80" s="3" t="s">
        <v>136</v>
      </c>
      <c r="C80" s="31">
        <v>40</v>
      </c>
      <c r="D80" s="31">
        <v>945</v>
      </c>
      <c r="E80" s="31">
        <v>45</v>
      </c>
      <c r="F80" s="31">
        <v>2118</v>
      </c>
      <c r="G80" s="34"/>
    </row>
    <row r="81" spans="1:27" x14ac:dyDescent="0.25">
      <c r="A81" s="13" t="s">
        <v>139</v>
      </c>
      <c r="B81" s="3" t="s">
        <v>140</v>
      </c>
      <c r="C81" s="31">
        <v>4</v>
      </c>
      <c r="D81" s="31">
        <v>10</v>
      </c>
      <c r="E81" s="31">
        <v>4</v>
      </c>
      <c r="F81" s="31">
        <v>10</v>
      </c>
      <c r="G81" s="34"/>
    </row>
    <row r="82" spans="1:27" x14ac:dyDescent="0.25">
      <c r="A82" s="13" t="s">
        <v>143</v>
      </c>
      <c r="B82" s="3" t="s">
        <v>144</v>
      </c>
      <c r="C82" s="31">
        <v>9</v>
      </c>
      <c r="D82" s="31">
        <v>5580</v>
      </c>
      <c r="E82" s="31">
        <v>9</v>
      </c>
      <c r="F82" s="31">
        <v>5580</v>
      </c>
      <c r="G82" s="34"/>
    </row>
    <row r="83" spans="1:27" x14ac:dyDescent="0.25">
      <c r="A83" s="13" t="s">
        <v>147</v>
      </c>
      <c r="B83" s="3" t="s">
        <v>148</v>
      </c>
      <c r="C83" s="31">
        <v>74</v>
      </c>
      <c r="D83" s="31">
        <v>582</v>
      </c>
      <c r="E83" s="31">
        <v>74</v>
      </c>
      <c r="F83" s="31">
        <v>582</v>
      </c>
      <c r="G83" s="34"/>
    </row>
    <row r="84" spans="1:27" x14ac:dyDescent="0.25">
      <c r="A84" s="13" t="s">
        <v>151</v>
      </c>
      <c r="B84" s="3" t="s">
        <v>152</v>
      </c>
      <c r="C84" s="31">
        <v>30</v>
      </c>
      <c r="D84" s="31">
        <v>18</v>
      </c>
      <c r="E84" s="31">
        <v>30</v>
      </c>
      <c r="F84" s="31">
        <v>18</v>
      </c>
      <c r="G84" s="34"/>
    </row>
    <row r="85" spans="1:27" x14ac:dyDescent="0.25">
      <c r="A85" s="13" t="s">
        <v>155</v>
      </c>
      <c r="B85" s="3" t="s">
        <v>156</v>
      </c>
      <c r="C85" s="31">
        <v>22</v>
      </c>
      <c r="D85" s="31">
        <v>278</v>
      </c>
      <c r="E85" s="31">
        <v>22</v>
      </c>
      <c r="F85" s="31">
        <v>278</v>
      </c>
      <c r="G85" s="34"/>
    </row>
    <row r="86" spans="1:27" x14ac:dyDescent="0.25">
      <c r="A86" s="13" t="s">
        <v>159</v>
      </c>
      <c r="B86" s="3" t="s">
        <v>160</v>
      </c>
      <c r="C86" s="31">
        <v>17</v>
      </c>
      <c r="D86" s="31"/>
      <c r="E86" s="31">
        <v>17</v>
      </c>
      <c r="F86" s="31"/>
      <c r="G86" s="34"/>
    </row>
    <row r="87" spans="1:27" ht="15.75" thickBot="1" x14ac:dyDescent="0.3">
      <c r="A87" s="16" t="s">
        <v>163</v>
      </c>
      <c r="B87" s="17" t="s">
        <v>164</v>
      </c>
      <c r="C87" s="32">
        <v>25</v>
      </c>
      <c r="D87" s="32">
        <v>25</v>
      </c>
      <c r="E87" s="32">
        <v>31</v>
      </c>
      <c r="F87" s="32">
        <v>36</v>
      </c>
      <c r="G87" s="34"/>
    </row>
    <row r="88" spans="1:27" x14ac:dyDescent="0.25">
      <c r="A88" s="18" t="s">
        <v>165</v>
      </c>
      <c r="G88" s="34"/>
    </row>
    <row r="89" spans="1:27" x14ac:dyDescent="0.25">
      <c r="A89" s="33" t="s">
        <v>0</v>
      </c>
      <c r="C89" s="5"/>
      <c r="D89" s="5"/>
      <c r="E89" s="5"/>
      <c r="F89" s="5"/>
      <c r="G89" s="34"/>
    </row>
    <row r="91" spans="1:27" x14ac:dyDescent="0.25"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x14ac:dyDescent="0.25"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x14ac:dyDescent="0.25"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x14ac:dyDescent="0.25">
      <c r="J94" s="1"/>
      <c r="K94" s="1"/>
      <c r="L94" s="19"/>
      <c r="M94" s="1"/>
      <c r="N94" s="1"/>
      <c r="O94" s="1"/>
      <c r="P94" s="1"/>
      <c r="Q94" s="1"/>
      <c r="R94" s="19"/>
      <c r="S94" s="1"/>
      <c r="T94" s="1"/>
      <c r="U94" s="1"/>
      <c r="V94" s="1"/>
      <c r="W94" s="1"/>
      <c r="X94" s="1"/>
      <c r="Y94" s="1"/>
      <c r="Z94" s="1"/>
      <c r="AA94" s="1"/>
    </row>
    <row r="95" spans="1:27" ht="21" x14ac:dyDescent="0.25">
      <c r="J95" s="1"/>
      <c r="K95" s="1"/>
      <c r="L95" s="36"/>
      <c r="M95" s="36"/>
      <c r="N95" s="36"/>
      <c r="O95" s="20"/>
      <c r="P95" s="20"/>
      <c r="Q95" s="1"/>
      <c r="R95" s="36"/>
      <c r="S95" s="36"/>
      <c r="T95" s="36"/>
      <c r="U95" s="20"/>
      <c r="V95" s="20"/>
      <c r="W95" s="1"/>
      <c r="X95" s="1"/>
      <c r="Y95" s="1"/>
      <c r="Z95" s="1"/>
      <c r="AA95" s="1"/>
    </row>
    <row r="96" spans="1:27" ht="21" x14ac:dyDescent="0.25">
      <c r="J96" s="1"/>
      <c r="K96" s="1"/>
      <c r="L96" s="36"/>
      <c r="M96" s="36"/>
      <c r="N96" s="36"/>
      <c r="O96" s="20"/>
      <c r="P96" s="20"/>
      <c r="Q96" s="1"/>
      <c r="R96" s="36"/>
      <c r="S96" s="36"/>
      <c r="T96" s="36"/>
      <c r="U96" s="20"/>
      <c r="V96" s="20"/>
      <c r="W96" s="1"/>
      <c r="X96" s="1"/>
      <c r="Y96" s="1"/>
      <c r="Z96" s="1"/>
      <c r="AA96" s="1"/>
    </row>
    <row r="97" spans="10:27" ht="21" x14ac:dyDescent="0.25">
      <c r="J97" s="1"/>
      <c r="K97" s="1"/>
      <c r="L97" s="36"/>
      <c r="M97" s="36"/>
      <c r="N97" s="36"/>
      <c r="O97" s="20"/>
      <c r="P97" s="20"/>
      <c r="Q97" s="1"/>
      <c r="R97" s="36"/>
      <c r="S97" s="36"/>
      <c r="T97" s="36"/>
      <c r="U97" s="20"/>
      <c r="V97" s="20"/>
      <c r="W97" s="1"/>
      <c r="X97" s="1"/>
      <c r="Y97" s="1"/>
      <c r="Z97" s="1"/>
      <c r="AA97" s="1"/>
    </row>
    <row r="98" spans="10:27" ht="21" x14ac:dyDescent="0.25">
      <c r="J98" s="1"/>
      <c r="K98" s="1"/>
      <c r="L98" s="36"/>
      <c r="M98" s="36"/>
      <c r="N98" s="36"/>
      <c r="O98" s="20"/>
      <c r="P98" s="20"/>
      <c r="Q98" s="1"/>
      <c r="R98" s="36"/>
      <c r="S98" s="36"/>
      <c r="T98" s="36"/>
      <c r="U98" s="20"/>
      <c r="V98" s="20"/>
      <c r="W98" s="1"/>
      <c r="X98" s="1"/>
      <c r="Y98" s="1"/>
      <c r="Z98" s="1"/>
      <c r="AA98" s="1"/>
    </row>
    <row r="99" spans="10:27" ht="21" x14ac:dyDescent="0.25">
      <c r="J99" s="1"/>
      <c r="K99" s="1"/>
      <c r="L99" s="36"/>
      <c r="M99" s="36"/>
      <c r="N99" s="36"/>
      <c r="O99" s="20"/>
      <c r="P99" s="20"/>
      <c r="Q99" s="1"/>
      <c r="R99" s="36"/>
      <c r="S99" s="36"/>
      <c r="T99" s="36"/>
      <c r="U99" s="20"/>
      <c r="V99" s="20"/>
      <c r="W99" s="1"/>
      <c r="X99" s="1"/>
      <c r="Y99" s="1"/>
      <c r="Z99" s="1"/>
      <c r="AA99" s="1"/>
    </row>
    <row r="100" spans="10:27" ht="21" x14ac:dyDescent="0.25">
      <c r="J100" s="1"/>
      <c r="K100" s="1"/>
      <c r="L100" s="36"/>
      <c r="M100" s="36"/>
      <c r="N100" s="36"/>
      <c r="O100" s="20"/>
      <c r="P100" s="20"/>
      <c r="Q100" s="1"/>
      <c r="R100" s="36"/>
      <c r="S100" s="36"/>
      <c r="T100" s="36"/>
      <c r="U100" s="20"/>
      <c r="V100" s="20"/>
      <c r="W100" s="1"/>
      <c r="X100" s="1"/>
      <c r="Y100" s="1"/>
      <c r="Z100" s="1"/>
      <c r="AA100" s="1"/>
    </row>
    <row r="101" spans="10:27" ht="21" x14ac:dyDescent="0.25">
      <c r="J101" s="1"/>
      <c r="K101" s="1"/>
      <c r="L101" s="36"/>
      <c r="M101" s="36"/>
      <c r="N101" s="36"/>
      <c r="O101" s="20"/>
      <c r="P101" s="20"/>
      <c r="Q101" s="1"/>
      <c r="R101" s="36"/>
      <c r="S101" s="36"/>
      <c r="T101" s="36"/>
      <c r="U101" s="20"/>
      <c r="V101" s="20"/>
      <c r="W101" s="1"/>
      <c r="X101" s="1"/>
      <c r="Y101" s="1"/>
      <c r="Z101" s="1"/>
      <c r="AA101" s="1"/>
    </row>
    <row r="102" spans="10:27" ht="21" x14ac:dyDescent="0.25">
      <c r="J102" s="1"/>
      <c r="K102" s="1"/>
      <c r="L102" s="36"/>
      <c r="M102" s="36"/>
      <c r="N102" s="36"/>
      <c r="O102" s="20"/>
      <c r="P102" s="20"/>
      <c r="Q102" s="1"/>
      <c r="R102" s="36"/>
      <c r="S102" s="36"/>
      <c r="T102" s="36"/>
      <c r="U102" s="20"/>
      <c r="V102" s="20"/>
      <c r="W102" s="1"/>
      <c r="X102" s="1"/>
      <c r="Y102" s="1"/>
      <c r="Z102" s="1"/>
      <c r="AA102" s="1"/>
    </row>
    <row r="103" spans="10:27" ht="21" x14ac:dyDescent="0.25">
      <c r="J103" s="1"/>
      <c r="K103" s="1"/>
      <c r="L103" s="36"/>
      <c r="M103" s="36"/>
      <c r="N103" s="36"/>
      <c r="O103" s="20"/>
      <c r="P103" s="20"/>
      <c r="Q103" s="1"/>
      <c r="R103" s="36"/>
      <c r="S103" s="36"/>
      <c r="T103" s="36"/>
      <c r="U103" s="20"/>
      <c r="V103" s="20"/>
      <c r="W103" s="1"/>
      <c r="X103" s="1"/>
      <c r="Y103" s="1"/>
      <c r="Z103" s="1"/>
      <c r="AA103" s="1"/>
    </row>
    <row r="104" spans="10:27" ht="21" x14ac:dyDescent="0.25">
      <c r="J104" s="1"/>
      <c r="K104" s="1"/>
      <c r="L104" s="36"/>
      <c r="M104" s="36"/>
      <c r="N104" s="36"/>
      <c r="O104" s="20"/>
      <c r="P104" s="20"/>
      <c r="Q104" s="1"/>
      <c r="R104" s="36"/>
      <c r="S104" s="36"/>
      <c r="T104" s="36"/>
      <c r="U104" s="20"/>
      <c r="V104" s="20"/>
      <c r="W104" s="1"/>
      <c r="X104" s="1"/>
      <c r="Y104" s="1"/>
      <c r="Z104" s="1"/>
      <c r="AA104" s="1"/>
    </row>
    <row r="105" spans="10:27" ht="21" x14ac:dyDescent="0.25">
      <c r="J105" s="1"/>
      <c r="K105" s="1"/>
      <c r="L105" s="36"/>
      <c r="M105" s="36"/>
      <c r="N105" s="36"/>
      <c r="O105" s="20"/>
      <c r="P105" s="20"/>
      <c r="Q105" s="1"/>
      <c r="R105" s="36"/>
      <c r="S105" s="36"/>
      <c r="T105" s="36"/>
      <c r="U105" s="20"/>
      <c r="V105" s="20"/>
      <c r="W105" s="1"/>
      <c r="X105" s="1"/>
      <c r="Y105" s="1"/>
      <c r="Z105" s="1"/>
      <c r="AA105" s="1"/>
    </row>
    <row r="106" spans="10:27" ht="21" x14ac:dyDescent="0.25">
      <c r="J106" s="1"/>
      <c r="K106" s="1"/>
      <c r="L106" s="36"/>
      <c r="M106" s="36"/>
      <c r="N106" s="36"/>
      <c r="O106" s="20"/>
      <c r="P106" s="20"/>
      <c r="Q106" s="1"/>
      <c r="R106" s="36"/>
      <c r="S106" s="36"/>
      <c r="T106" s="36"/>
      <c r="U106" s="20"/>
      <c r="V106" s="20"/>
      <c r="W106" s="1"/>
      <c r="X106" s="1"/>
      <c r="Y106" s="1"/>
      <c r="Z106" s="1"/>
      <c r="AA106" s="1"/>
    </row>
    <row r="107" spans="10:27" ht="21" x14ac:dyDescent="0.25">
      <c r="J107" s="1"/>
      <c r="K107" s="1"/>
      <c r="L107" s="36"/>
      <c r="M107" s="36"/>
      <c r="N107" s="36"/>
      <c r="O107" s="20"/>
      <c r="P107" s="20"/>
      <c r="Q107" s="1"/>
      <c r="R107" s="36"/>
      <c r="S107" s="36"/>
      <c r="T107" s="36"/>
      <c r="U107" s="20"/>
      <c r="V107" s="20"/>
      <c r="W107" s="1"/>
      <c r="X107" s="1"/>
      <c r="Y107" s="1"/>
      <c r="Z107" s="1"/>
      <c r="AA107" s="1"/>
    </row>
    <row r="108" spans="10:27" ht="21" x14ac:dyDescent="0.25">
      <c r="J108" s="1"/>
      <c r="K108" s="1"/>
      <c r="L108" s="36"/>
      <c r="M108" s="36"/>
      <c r="N108" s="36"/>
      <c r="O108" s="20"/>
      <c r="P108" s="20"/>
      <c r="Q108" s="1"/>
      <c r="R108" s="36"/>
      <c r="S108" s="36"/>
      <c r="T108" s="36"/>
      <c r="U108" s="20"/>
      <c r="V108" s="20"/>
      <c r="W108" s="1"/>
      <c r="X108" s="1"/>
      <c r="Y108" s="1"/>
      <c r="Z108" s="1"/>
      <c r="AA108" s="1"/>
    </row>
    <row r="109" spans="10:27" ht="21" x14ac:dyDescent="0.25">
      <c r="J109" s="1"/>
      <c r="K109" s="1"/>
      <c r="L109" s="36"/>
      <c r="M109" s="36"/>
      <c r="N109" s="36"/>
      <c r="O109" s="20"/>
      <c r="P109" s="20"/>
      <c r="Q109" s="1"/>
      <c r="R109" s="36"/>
      <c r="S109" s="36"/>
      <c r="T109" s="36"/>
      <c r="U109" s="20"/>
      <c r="V109" s="20"/>
      <c r="W109" s="1"/>
      <c r="X109" s="1"/>
      <c r="Y109" s="1"/>
      <c r="Z109" s="1"/>
      <c r="AA109" s="1"/>
    </row>
    <row r="110" spans="10:27" ht="21" x14ac:dyDescent="0.25">
      <c r="J110" s="1"/>
      <c r="K110" s="1"/>
      <c r="L110" s="36"/>
      <c r="M110" s="36"/>
      <c r="N110" s="36"/>
      <c r="O110" s="21"/>
      <c r="P110" s="21"/>
      <c r="Q110" s="1"/>
      <c r="R110" s="36"/>
      <c r="S110" s="36"/>
      <c r="T110" s="36"/>
      <c r="U110" s="21"/>
      <c r="V110" s="21"/>
      <c r="W110" s="1"/>
      <c r="X110" s="1"/>
      <c r="Y110" s="1"/>
      <c r="Z110" s="1"/>
      <c r="AA110" s="1"/>
    </row>
    <row r="111" spans="10:27" ht="21" x14ac:dyDescent="0.25">
      <c r="J111" s="1"/>
      <c r="K111" s="1"/>
      <c r="L111" s="36"/>
      <c r="M111" s="36"/>
      <c r="N111" s="36"/>
      <c r="O111" s="20"/>
      <c r="P111" s="20"/>
      <c r="Q111" s="1"/>
      <c r="R111" s="36"/>
      <c r="S111" s="36"/>
      <c r="T111" s="36"/>
      <c r="U111" s="20"/>
      <c r="V111" s="20"/>
      <c r="W111" s="1"/>
      <c r="X111" s="1"/>
      <c r="Y111" s="1"/>
      <c r="Z111" s="1"/>
      <c r="AA111" s="1"/>
    </row>
    <row r="112" spans="10:27" ht="21" x14ac:dyDescent="0.25">
      <c r="J112" s="1"/>
      <c r="K112" s="1"/>
      <c r="L112" s="36"/>
      <c r="M112" s="36"/>
      <c r="N112" s="36"/>
      <c r="O112" s="20"/>
      <c r="P112" s="20"/>
      <c r="Q112" s="1"/>
      <c r="R112" s="36"/>
      <c r="S112" s="36"/>
      <c r="T112" s="36"/>
      <c r="U112" s="20"/>
      <c r="V112" s="20"/>
      <c r="W112" s="1"/>
      <c r="X112" s="1"/>
      <c r="Y112" s="1"/>
      <c r="Z112" s="1"/>
      <c r="AA112" s="1"/>
    </row>
    <row r="113" spans="10:27" ht="21" x14ac:dyDescent="0.25">
      <c r="J113" s="1"/>
      <c r="K113" s="1"/>
      <c r="L113" s="36"/>
      <c r="M113" s="36"/>
      <c r="N113" s="36"/>
      <c r="O113" s="20"/>
      <c r="P113" s="20"/>
      <c r="Q113" s="1"/>
      <c r="R113" s="36"/>
      <c r="S113" s="36"/>
      <c r="T113" s="36"/>
      <c r="U113" s="20"/>
      <c r="V113" s="20"/>
      <c r="W113" s="1"/>
      <c r="X113" s="1"/>
      <c r="Y113" s="1"/>
      <c r="Z113" s="1"/>
      <c r="AA113" s="1"/>
    </row>
    <row r="114" spans="10:27" ht="21" x14ac:dyDescent="0.25">
      <c r="J114" s="1"/>
      <c r="K114" s="1"/>
      <c r="L114" s="36"/>
      <c r="M114" s="36"/>
      <c r="N114" s="36"/>
      <c r="O114" s="20"/>
      <c r="P114" s="20"/>
      <c r="Q114" s="1"/>
      <c r="R114" s="36"/>
      <c r="S114" s="36"/>
      <c r="T114" s="36"/>
      <c r="U114" s="20"/>
      <c r="V114" s="20"/>
      <c r="W114" s="1"/>
      <c r="X114" s="1"/>
      <c r="Y114" s="1"/>
      <c r="Z114" s="1"/>
      <c r="AA114" s="1"/>
    </row>
    <row r="115" spans="10:27" ht="21" x14ac:dyDescent="0.25">
      <c r="J115" s="1"/>
      <c r="K115" s="1"/>
      <c r="L115" s="36"/>
      <c r="M115" s="36"/>
      <c r="N115" s="36"/>
      <c r="O115" s="20"/>
      <c r="P115" s="20"/>
      <c r="Q115" s="1"/>
      <c r="R115" s="36"/>
      <c r="S115" s="36"/>
      <c r="T115" s="36"/>
      <c r="U115" s="20"/>
      <c r="V115" s="20"/>
      <c r="W115" s="1"/>
      <c r="X115" s="1"/>
      <c r="Y115" s="1"/>
      <c r="Z115" s="1"/>
      <c r="AA115" s="1"/>
    </row>
    <row r="116" spans="10:27" ht="21" x14ac:dyDescent="0.25">
      <c r="J116" s="1"/>
      <c r="K116" s="1"/>
      <c r="L116" s="36"/>
      <c r="M116" s="36"/>
      <c r="N116" s="36"/>
      <c r="O116" s="20"/>
      <c r="P116" s="20"/>
      <c r="Q116" s="1"/>
      <c r="R116" s="36"/>
      <c r="S116" s="36"/>
      <c r="T116" s="36"/>
      <c r="U116" s="20"/>
      <c r="V116" s="20"/>
      <c r="W116" s="1"/>
      <c r="X116" s="1"/>
      <c r="Y116" s="1"/>
      <c r="Z116" s="1"/>
      <c r="AA116" s="1"/>
    </row>
    <row r="117" spans="10:27" ht="21" x14ac:dyDescent="0.25">
      <c r="J117" s="1"/>
      <c r="K117" s="1"/>
      <c r="L117" s="36"/>
      <c r="M117" s="36"/>
      <c r="N117" s="36"/>
      <c r="O117" s="20"/>
      <c r="P117" s="20"/>
      <c r="Q117" s="1"/>
      <c r="R117" s="36"/>
      <c r="S117" s="36"/>
      <c r="T117" s="36"/>
      <c r="U117" s="20"/>
      <c r="V117" s="20"/>
      <c r="W117" s="1"/>
      <c r="X117" s="1"/>
      <c r="Y117" s="1"/>
      <c r="Z117" s="1"/>
      <c r="AA117" s="1"/>
    </row>
    <row r="118" spans="10:27" ht="21" x14ac:dyDescent="0.25">
      <c r="J118" s="1"/>
      <c r="K118" s="1"/>
      <c r="L118" s="36"/>
      <c r="M118" s="36"/>
      <c r="N118" s="36"/>
      <c r="O118" s="20"/>
      <c r="P118" s="20"/>
      <c r="Q118" s="1"/>
      <c r="R118" s="36"/>
      <c r="S118" s="36"/>
      <c r="T118" s="36"/>
      <c r="U118" s="20"/>
      <c r="V118" s="20"/>
      <c r="W118" s="1"/>
      <c r="X118" s="1"/>
      <c r="Y118" s="1"/>
      <c r="Z118" s="1"/>
      <c r="AA118" s="1"/>
    </row>
    <row r="119" spans="10:27" ht="21" x14ac:dyDescent="0.25">
      <c r="J119" s="1"/>
      <c r="K119" s="1"/>
      <c r="L119" s="36"/>
      <c r="M119" s="36"/>
      <c r="N119" s="36"/>
      <c r="O119" s="20"/>
      <c r="P119" s="20"/>
      <c r="Q119" s="1"/>
      <c r="R119" s="36"/>
      <c r="S119" s="36"/>
      <c r="T119" s="36"/>
      <c r="U119" s="20"/>
      <c r="V119" s="20"/>
      <c r="W119" s="1"/>
      <c r="X119" s="1"/>
      <c r="Y119" s="1"/>
      <c r="Z119" s="1"/>
      <c r="AA119" s="1"/>
    </row>
    <row r="120" spans="10:27" ht="21" x14ac:dyDescent="0.25">
      <c r="J120" s="1"/>
      <c r="K120" s="1"/>
      <c r="L120" s="36"/>
      <c r="M120" s="36"/>
      <c r="N120" s="36"/>
      <c r="O120" s="20"/>
      <c r="P120" s="20"/>
      <c r="Q120" s="1"/>
      <c r="R120" s="36"/>
      <c r="S120" s="36"/>
      <c r="T120" s="36"/>
      <c r="U120" s="20"/>
      <c r="V120" s="20"/>
      <c r="W120" s="1"/>
      <c r="X120" s="1"/>
      <c r="Y120" s="1"/>
      <c r="Z120" s="1"/>
      <c r="AA120" s="1"/>
    </row>
    <row r="121" spans="10:27" ht="21" x14ac:dyDescent="0.25">
      <c r="J121" s="1"/>
      <c r="K121" s="1"/>
      <c r="L121" s="37"/>
      <c r="M121" s="37"/>
      <c r="N121" s="37"/>
      <c r="O121" s="21"/>
      <c r="P121" s="20"/>
      <c r="Q121" s="1"/>
      <c r="R121" s="37"/>
      <c r="S121" s="37"/>
      <c r="T121" s="37"/>
      <c r="U121" s="21"/>
      <c r="V121" s="20"/>
      <c r="W121" s="1"/>
      <c r="X121" s="1"/>
      <c r="Y121" s="1"/>
      <c r="Z121" s="1"/>
      <c r="AA121" s="1"/>
    </row>
    <row r="122" spans="10:27" x14ac:dyDescent="0.25"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0:27" x14ac:dyDescent="0.25"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0:27" x14ac:dyDescent="0.25"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0:27" x14ac:dyDescent="0.25"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</sheetData>
  <mergeCells count="60">
    <mergeCell ref="B3:B5"/>
    <mergeCell ref="A3:A5"/>
    <mergeCell ref="R95:T95"/>
    <mergeCell ref="E3:F3"/>
    <mergeCell ref="E4:F4"/>
    <mergeCell ref="C3:D3"/>
    <mergeCell ref="C4:D4"/>
    <mergeCell ref="L95:N95"/>
    <mergeCell ref="R113:T113"/>
    <mergeCell ref="R114:T114"/>
    <mergeCell ref="R96:T96"/>
    <mergeCell ref="R97:T97"/>
    <mergeCell ref="R98:T98"/>
    <mergeCell ref="R99:T99"/>
    <mergeCell ref="R109:T109"/>
    <mergeCell ref="R105:T105"/>
    <mergeCell ref="R106:T106"/>
    <mergeCell ref="R107:T107"/>
    <mergeCell ref="R108:T108"/>
    <mergeCell ref="R100:T100"/>
    <mergeCell ref="R101:T101"/>
    <mergeCell ref="R102:T102"/>
    <mergeCell ref="R103:T103"/>
    <mergeCell ref="R104:T104"/>
    <mergeCell ref="R110:T110"/>
    <mergeCell ref="R111:T111"/>
    <mergeCell ref="R112:T112"/>
    <mergeCell ref="L108:N108"/>
    <mergeCell ref="L109:N109"/>
    <mergeCell ref="L110:N110"/>
    <mergeCell ref="L111:N111"/>
    <mergeCell ref="L112:N112"/>
    <mergeCell ref="L96:N96"/>
    <mergeCell ref="L97:N97"/>
    <mergeCell ref="L98:N98"/>
    <mergeCell ref="L99:N99"/>
    <mergeCell ref="L107:N107"/>
    <mergeCell ref="L100:N100"/>
    <mergeCell ref="L101:N101"/>
    <mergeCell ref="L102:N102"/>
    <mergeCell ref="L103:N103"/>
    <mergeCell ref="L104:N104"/>
    <mergeCell ref="L105:N105"/>
    <mergeCell ref="L106:N106"/>
    <mergeCell ref="L113:N113"/>
    <mergeCell ref="L114:N114"/>
    <mergeCell ref="L120:N120"/>
    <mergeCell ref="L121:N121"/>
    <mergeCell ref="R121:T121"/>
    <mergeCell ref="L115:N115"/>
    <mergeCell ref="L116:N116"/>
    <mergeCell ref="L117:N117"/>
    <mergeCell ref="L118:N118"/>
    <mergeCell ref="L119:N119"/>
    <mergeCell ref="R119:T119"/>
    <mergeCell ref="R120:T120"/>
    <mergeCell ref="R115:T115"/>
    <mergeCell ref="R116:T116"/>
    <mergeCell ref="R117:T117"/>
    <mergeCell ref="R118:T118"/>
  </mergeCells>
  <printOptions horizontalCentered="1"/>
  <pageMargins left="0.70866141732283472" right="0.70866141732283472" top="0.59055118110236227" bottom="0.39370078740157483" header="0.31496062992125984" footer="0.31496062992125984"/>
  <pageSetup paperSize="9" scale="55" fitToHeight="0" orientation="landscape" r:id="rId1"/>
  <rowBreaks count="1" manualBreakCount="1">
    <brk id="89" max="20" man="1"/>
  </rowBreaks>
  <colBreaks count="1" manualBreakCount="1">
    <brk id="20" max="141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8"/>
  <sheetViews>
    <sheetView topLeftCell="B67" zoomScale="85" zoomScaleNormal="85" workbookViewId="0">
      <selection activeCell="J109" sqref="J109"/>
    </sheetView>
  </sheetViews>
  <sheetFormatPr defaultRowHeight="15" x14ac:dyDescent="0.25"/>
  <sheetData>
    <row r="1" spans="1:15" ht="26.25" thickBot="1" x14ac:dyDescent="0.3">
      <c r="H1" s="24" t="s">
        <v>168</v>
      </c>
      <c r="I1" s="24" t="s">
        <v>168</v>
      </c>
      <c r="J1" s="26" t="s">
        <v>167</v>
      </c>
      <c r="K1" s="26" t="s">
        <v>167</v>
      </c>
      <c r="N1" s="26" t="s">
        <v>167</v>
      </c>
      <c r="O1" s="26" t="s">
        <v>167</v>
      </c>
    </row>
    <row r="2" spans="1:15" x14ac:dyDescent="0.25">
      <c r="H2">
        <v>2013</v>
      </c>
      <c r="I2">
        <v>2014</v>
      </c>
      <c r="J2">
        <v>2013</v>
      </c>
      <c r="K2">
        <v>2014</v>
      </c>
      <c r="N2">
        <v>2013</v>
      </c>
      <c r="O2">
        <v>2014</v>
      </c>
    </row>
    <row r="3" spans="1:15" x14ac:dyDescent="0.25">
      <c r="B3">
        <v>2013</v>
      </c>
      <c r="C3">
        <v>2014</v>
      </c>
      <c r="D3">
        <v>2013</v>
      </c>
      <c r="E3">
        <v>2014</v>
      </c>
      <c r="G3" t="s">
        <v>2</v>
      </c>
      <c r="H3">
        <v>6744</v>
      </c>
      <c r="I3">
        <v>7022</v>
      </c>
      <c r="J3">
        <v>1309825</v>
      </c>
      <c r="K3">
        <v>1366783</v>
      </c>
      <c r="M3" t="s">
        <v>2</v>
      </c>
      <c r="N3">
        <v>1309825</v>
      </c>
      <c r="O3">
        <v>1366783</v>
      </c>
    </row>
    <row r="4" spans="1:15" x14ac:dyDescent="0.25">
      <c r="A4" s="2" t="s">
        <v>6</v>
      </c>
      <c r="B4" s="29">
        <v>23</v>
      </c>
      <c r="C4" s="30">
        <v>23</v>
      </c>
      <c r="D4" s="29">
        <v>600</v>
      </c>
      <c r="E4" s="30">
        <v>600</v>
      </c>
      <c r="F4" s="35">
        <f>C4-B4</f>
        <v>0</v>
      </c>
      <c r="G4" s="35">
        <f>E4-D4</f>
        <v>0</v>
      </c>
    </row>
    <row r="5" spans="1:15" x14ac:dyDescent="0.25">
      <c r="A5" s="3" t="s">
        <v>10</v>
      </c>
      <c r="B5" s="31">
        <v>111</v>
      </c>
      <c r="C5" s="31">
        <v>111</v>
      </c>
      <c r="D5" s="31">
        <v>16070</v>
      </c>
      <c r="E5" s="31">
        <v>16070</v>
      </c>
      <c r="F5" s="35">
        <f t="shared" ref="F5:F68" si="0">C5-B5</f>
        <v>0</v>
      </c>
      <c r="G5" s="35">
        <f t="shared" ref="G5:G68" si="1">E5-D5</f>
        <v>0</v>
      </c>
    </row>
    <row r="6" spans="1:15" x14ac:dyDescent="0.25">
      <c r="A6" s="3" t="s">
        <v>14</v>
      </c>
      <c r="B6" s="31">
        <v>187</v>
      </c>
      <c r="C6" s="31">
        <v>187</v>
      </c>
      <c r="D6" s="31">
        <v>58498</v>
      </c>
      <c r="E6" s="31">
        <v>58498</v>
      </c>
      <c r="F6" s="35">
        <f t="shared" si="0"/>
        <v>0</v>
      </c>
      <c r="G6" s="35">
        <f t="shared" si="1"/>
        <v>0</v>
      </c>
    </row>
    <row r="7" spans="1:15" x14ac:dyDescent="0.25">
      <c r="A7" s="3" t="s">
        <v>18</v>
      </c>
      <c r="B7" s="31">
        <v>82</v>
      </c>
      <c r="C7" s="31">
        <v>82</v>
      </c>
      <c r="D7" s="31">
        <v>10190</v>
      </c>
      <c r="E7" s="31">
        <v>10190</v>
      </c>
      <c r="F7" s="35">
        <f t="shared" si="0"/>
        <v>0</v>
      </c>
      <c r="G7" s="35">
        <f t="shared" si="1"/>
        <v>0</v>
      </c>
    </row>
    <row r="8" spans="1:15" x14ac:dyDescent="0.25">
      <c r="A8" s="3" t="s">
        <v>22</v>
      </c>
      <c r="B8" s="31">
        <v>96</v>
      </c>
      <c r="C8" s="31">
        <v>101</v>
      </c>
      <c r="D8" s="31">
        <v>39745</v>
      </c>
      <c r="E8" s="31">
        <v>39832</v>
      </c>
      <c r="F8" s="35">
        <f t="shared" si="0"/>
        <v>5</v>
      </c>
      <c r="G8" s="35">
        <f t="shared" si="1"/>
        <v>87</v>
      </c>
    </row>
    <row r="9" spans="1:15" x14ac:dyDescent="0.25">
      <c r="A9" s="3" t="s">
        <v>26</v>
      </c>
      <c r="B9" s="31">
        <v>131</v>
      </c>
      <c r="C9" s="31">
        <v>136</v>
      </c>
      <c r="D9" s="31">
        <v>14022</v>
      </c>
      <c r="E9" s="31">
        <v>16672</v>
      </c>
      <c r="F9" s="35">
        <f t="shared" si="0"/>
        <v>5</v>
      </c>
      <c r="G9" s="35">
        <f t="shared" si="1"/>
        <v>2650</v>
      </c>
    </row>
    <row r="10" spans="1:15" x14ac:dyDescent="0.25">
      <c r="A10" s="3" t="s">
        <v>30</v>
      </c>
      <c r="B10" s="31">
        <f>144+26</f>
        <v>170</v>
      </c>
      <c r="C10" s="31">
        <f>146+26</f>
        <v>172</v>
      </c>
      <c r="D10" s="31">
        <v>54691</v>
      </c>
      <c r="E10" s="31">
        <f>46496+7995</f>
        <v>54491</v>
      </c>
      <c r="F10" s="35">
        <f t="shared" si="0"/>
        <v>2</v>
      </c>
      <c r="G10" s="35">
        <f t="shared" si="1"/>
        <v>-200</v>
      </c>
    </row>
    <row r="11" spans="1:15" x14ac:dyDescent="0.25">
      <c r="A11" s="3" t="s">
        <v>34</v>
      </c>
      <c r="B11" s="31">
        <v>114</v>
      </c>
      <c r="C11" s="31">
        <v>131</v>
      </c>
      <c r="D11" s="31">
        <v>29262</v>
      </c>
      <c r="E11" s="31">
        <v>34109</v>
      </c>
      <c r="F11" s="35">
        <f t="shared" si="0"/>
        <v>17</v>
      </c>
      <c r="G11" s="35">
        <f t="shared" si="1"/>
        <v>4847</v>
      </c>
    </row>
    <row r="12" spans="1:15" x14ac:dyDescent="0.25">
      <c r="A12" s="3" t="s">
        <v>38</v>
      </c>
      <c r="B12" s="31">
        <v>90</v>
      </c>
      <c r="C12" s="31">
        <v>89</v>
      </c>
      <c r="D12" s="31">
        <v>9678</v>
      </c>
      <c r="E12" s="31">
        <v>9678</v>
      </c>
      <c r="F12" s="35">
        <f t="shared" si="0"/>
        <v>-1</v>
      </c>
      <c r="G12" s="35">
        <f t="shared" si="1"/>
        <v>0</v>
      </c>
    </row>
    <row r="13" spans="1:15" x14ac:dyDescent="0.25">
      <c r="A13" s="3" t="s">
        <v>42</v>
      </c>
      <c r="B13" s="31">
        <v>99</v>
      </c>
      <c r="C13" s="31">
        <v>107</v>
      </c>
      <c r="D13" s="31">
        <v>28198</v>
      </c>
      <c r="E13" s="31">
        <v>29895</v>
      </c>
      <c r="F13" s="35">
        <f t="shared" si="0"/>
        <v>8</v>
      </c>
      <c r="G13" s="35">
        <f t="shared" si="1"/>
        <v>1697</v>
      </c>
    </row>
    <row r="14" spans="1:15" x14ac:dyDescent="0.25">
      <c r="A14" s="3" t="s">
        <v>46</v>
      </c>
      <c r="B14" s="31">
        <v>113</v>
      </c>
      <c r="C14" s="31">
        <v>116</v>
      </c>
      <c r="D14" s="31">
        <v>82258</v>
      </c>
      <c r="E14" s="31">
        <v>82608</v>
      </c>
      <c r="F14" s="35">
        <f t="shared" si="0"/>
        <v>3</v>
      </c>
      <c r="G14" s="35">
        <f t="shared" si="1"/>
        <v>350</v>
      </c>
    </row>
    <row r="15" spans="1:15" x14ac:dyDescent="0.25">
      <c r="A15" s="3" t="s">
        <v>50</v>
      </c>
      <c r="B15" s="31">
        <v>163</v>
      </c>
      <c r="C15" s="31">
        <v>173</v>
      </c>
      <c r="D15" s="31">
        <v>44301</v>
      </c>
      <c r="E15" s="31">
        <v>44301</v>
      </c>
      <c r="F15" s="35">
        <f t="shared" si="0"/>
        <v>10</v>
      </c>
      <c r="G15" s="35">
        <f t="shared" si="1"/>
        <v>0</v>
      </c>
    </row>
    <row r="16" spans="1:15" x14ac:dyDescent="0.25">
      <c r="A16" s="3" t="s">
        <v>54</v>
      </c>
      <c r="B16" s="31">
        <v>131</v>
      </c>
      <c r="C16" s="31">
        <v>139</v>
      </c>
      <c r="D16" s="31">
        <v>9004</v>
      </c>
      <c r="E16" s="31">
        <v>10004</v>
      </c>
      <c r="F16" s="35">
        <f t="shared" si="0"/>
        <v>8</v>
      </c>
      <c r="G16" s="35">
        <f t="shared" si="1"/>
        <v>1000</v>
      </c>
    </row>
    <row r="17" spans="1:7" x14ac:dyDescent="0.25">
      <c r="A17" s="3" t="s">
        <v>58</v>
      </c>
      <c r="B17" s="31">
        <v>31</v>
      </c>
      <c r="C17" s="31">
        <v>41</v>
      </c>
      <c r="D17" s="31">
        <v>1437</v>
      </c>
      <c r="E17" s="31">
        <v>4065</v>
      </c>
      <c r="F17" s="35">
        <f t="shared" si="0"/>
        <v>10</v>
      </c>
      <c r="G17" s="35">
        <f t="shared" si="1"/>
        <v>2628</v>
      </c>
    </row>
    <row r="18" spans="1:7" x14ac:dyDescent="0.25">
      <c r="A18" s="3" t="s">
        <v>62</v>
      </c>
      <c r="B18" s="31">
        <v>214</v>
      </c>
      <c r="C18" s="31">
        <v>214</v>
      </c>
      <c r="D18" s="31">
        <v>15533</v>
      </c>
      <c r="E18" s="31">
        <v>15533</v>
      </c>
      <c r="F18" s="35">
        <f t="shared" si="0"/>
        <v>0</v>
      </c>
      <c r="G18" s="35">
        <f t="shared" si="1"/>
        <v>0</v>
      </c>
    </row>
    <row r="19" spans="1:7" x14ac:dyDescent="0.25">
      <c r="A19" s="3" t="s">
        <v>66</v>
      </c>
      <c r="B19" s="31">
        <v>95</v>
      </c>
      <c r="C19" s="31">
        <v>95</v>
      </c>
      <c r="D19" s="31">
        <v>36905</v>
      </c>
      <c r="E19" s="31">
        <v>36905</v>
      </c>
      <c r="F19" s="35">
        <f t="shared" si="0"/>
        <v>0</v>
      </c>
      <c r="G19" s="35">
        <f t="shared" si="1"/>
        <v>0</v>
      </c>
    </row>
    <row r="20" spans="1:7" x14ac:dyDescent="0.25">
      <c r="A20" s="3" t="s">
        <v>70</v>
      </c>
      <c r="B20" s="31">
        <v>49</v>
      </c>
      <c r="C20" s="31">
        <v>50</v>
      </c>
      <c r="D20" s="31">
        <v>2810</v>
      </c>
      <c r="E20" s="31">
        <v>2810</v>
      </c>
      <c r="F20" s="35">
        <f t="shared" si="0"/>
        <v>1</v>
      </c>
      <c r="G20" s="35">
        <f t="shared" si="1"/>
        <v>0</v>
      </c>
    </row>
    <row r="21" spans="1:7" x14ac:dyDescent="0.25">
      <c r="A21" s="3" t="s">
        <v>74</v>
      </c>
      <c r="B21" s="31">
        <v>91</v>
      </c>
      <c r="C21" s="31">
        <v>91</v>
      </c>
      <c r="D21" s="31">
        <v>10039</v>
      </c>
      <c r="E21" s="31">
        <v>10039</v>
      </c>
      <c r="F21" s="35">
        <f t="shared" si="0"/>
        <v>0</v>
      </c>
      <c r="G21" s="35">
        <f t="shared" si="1"/>
        <v>0</v>
      </c>
    </row>
    <row r="22" spans="1:7" x14ac:dyDescent="0.25">
      <c r="A22" s="3" t="s">
        <v>78</v>
      </c>
      <c r="B22" s="31">
        <v>103</v>
      </c>
      <c r="C22" s="31">
        <v>104</v>
      </c>
      <c r="D22" s="31">
        <v>16123</v>
      </c>
      <c r="E22" s="31">
        <v>16123</v>
      </c>
      <c r="F22" s="35">
        <f t="shared" si="0"/>
        <v>1</v>
      </c>
      <c r="G22" s="35">
        <f t="shared" si="1"/>
        <v>0</v>
      </c>
    </row>
    <row r="23" spans="1:7" x14ac:dyDescent="0.25">
      <c r="A23" s="3" t="s">
        <v>82</v>
      </c>
      <c r="B23" s="31">
        <v>65</v>
      </c>
      <c r="C23" s="31">
        <v>68</v>
      </c>
      <c r="D23" s="31">
        <v>678</v>
      </c>
      <c r="E23" s="31">
        <v>4098</v>
      </c>
      <c r="F23" s="35">
        <f t="shared" si="0"/>
        <v>3</v>
      </c>
      <c r="G23" s="35">
        <f t="shared" si="1"/>
        <v>3420</v>
      </c>
    </row>
    <row r="24" spans="1:7" x14ac:dyDescent="0.25">
      <c r="A24" s="3" t="s">
        <v>86</v>
      </c>
      <c r="B24" s="31">
        <v>95</v>
      </c>
      <c r="C24" s="31">
        <v>97</v>
      </c>
      <c r="D24" s="31">
        <v>3676</v>
      </c>
      <c r="E24" s="31">
        <v>3676</v>
      </c>
      <c r="F24" s="35">
        <f t="shared" si="0"/>
        <v>2</v>
      </c>
      <c r="G24" s="35">
        <f t="shared" si="1"/>
        <v>0</v>
      </c>
    </row>
    <row r="25" spans="1:7" x14ac:dyDescent="0.25">
      <c r="A25" s="3" t="s">
        <v>90</v>
      </c>
      <c r="B25" s="31">
        <v>36</v>
      </c>
      <c r="C25" s="31">
        <v>36</v>
      </c>
      <c r="D25" s="31">
        <v>3947</v>
      </c>
      <c r="E25" s="31">
        <v>3947</v>
      </c>
      <c r="F25" s="35">
        <f t="shared" si="0"/>
        <v>0</v>
      </c>
      <c r="G25" s="35">
        <f t="shared" si="1"/>
        <v>0</v>
      </c>
    </row>
    <row r="26" spans="1:7" x14ac:dyDescent="0.25">
      <c r="A26" s="3" t="s">
        <v>94</v>
      </c>
      <c r="B26" s="31">
        <v>191</v>
      </c>
      <c r="C26" s="31">
        <v>193</v>
      </c>
      <c r="D26" s="31">
        <v>6345</v>
      </c>
      <c r="E26" s="31">
        <v>6345</v>
      </c>
      <c r="F26" s="35">
        <f t="shared" si="0"/>
        <v>2</v>
      </c>
      <c r="G26" s="35">
        <f t="shared" si="1"/>
        <v>0</v>
      </c>
    </row>
    <row r="27" spans="1:7" x14ac:dyDescent="0.25">
      <c r="A27" s="3" t="s">
        <v>98</v>
      </c>
      <c r="B27" s="31">
        <v>149</v>
      </c>
      <c r="C27" s="31">
        <v>152</v>
      </c>
      <c r="D27" s="31">
        <f>210614</f>
        <v>210614</v>
      </c>
      <c r="E27" s="31">
        <f>210622</f>
        <v>210622</v>
      </c>
      <c r="F27" s="35">
        <f t="shared" si="0"/>
        <v>3</v>
      </c>
      <c r="G27" s="35">
        <f t="shared" si="1"/>
        <v>8</v>
      </c>
    </row>
    <row r="28" spans="1:7" x14ac:dyDescent="0.25">
      <c r="A28" s="3" t="s">
        <v>102</v>
      </c>
      <c r="B28" s="31">
        <v>15</v>
      </c>
      <c r="C28" s="31">
        <v>15</v>
      </c>
      <c r="D28" s="31">
        <v>17568</v>
      </c>
      <c r="E28" s="31">
        <v>17568</v>
      </c>
      <c r="F28" s="35">
        <f t="shared" si="0"/>
        <v>0</v>
      </c>
      <c r="G28" s="35">
        <f t="shared" si="1"/>
        <v>0</v>
      </c>
    </row>
    <row r="29" spans="1:7" x14ac:dyDescent="0.25">
      <c r="A29" s="3" t="s">
        <v>106</v>
      </c>
      <c r="B29" s="31">
        <v>128</v>
      </c>
      <c r="C29" s="31">
        <v>130</v>
      </c>
      <c r="D29" s="31">
        <v>45378</v>
      </c>
      <c r="E29" s="31">
        <v>47700</v>
      </c>
      <c r="F29" s="35">
        <f t="shared" si="0"/>
        <v>2</v>
      </c>
      <c r="G29" s="35">
        <f t="shared" si="1"/>
        <v>2322</v>
      </c>
    </row>
    <row r="30" spans="1:7" x14ac:dyDescent="0.25">
      <c r="A30" s="3" t="s">
        <v>110</v>
      </c>
      <c r="B30" s="31">
        <v>129</v>
      </c>
      <c r="C30" s="31">
        <v>143</v>
      </c>
      <c r="D30" s="31">
        <v>16467</v>
      </c>
      <c r="E30" s="31">
        <v>16467</v>
      </c>
      <c r="F30" s="35">
        <f t="shared" si="0"/>
        <v>14</v>
      </c>
      <c r="G30" s="35">
        <f t="shared" si="1"/>
        <v>0</v>
      </c>
    </row>
    <row r="31" spans="1:7" x14ac:dyDescent="0.25">
      <c r="A31" s="3" t="s">
        <v>114</v>
      </c>
      <c r="B31" s="31">
        <v>84</v>
      </c>
      <c r="C31" s="31">
        <v>96</v>
      </c>
      <c r="D31" s="31">
        <v>24159</v>
      </c>
      <c r="E31" s="31">
        <v>24159</v>
      </c>
      <c r="F31" s="35">
        <f t="shared" si="0"/>
        <v>12</v>
      </c>
      <c r="G31" s="35">
        <f t="shared" si="1"/>
        <v>0</v>
      </c>
    </row>
    <row r="32" spans="1:7" x14ac:dyDescent="0.25">
      <c r="A32" s="3" t="s">
        <v>118</v>
      </c>
      <c r="B32" s="31">
        <v>82</v>
      </c>
      <c r="C32" s="31">
        <v>78</v>
      </c>
      <c r="D32" s="31">
        <v>140868</v>
      </c>
      <c r="E32" s="31">
        <v>133968</v>
      </c>
      <c r="F32" s="35">
        <f t="shared" si="0"/>
        <v>-4</v>
      </c>
      <c r="G32" s="35">
        <f t="shared" si="1"/>
        <v>-6900</v>
      </c>
    </row>
    <row r="33" spans="1:7" x14ac:dyDescent="0.25">
      <c r="A33" s="3" t="s">
        <v>122</v>
      </c>
      <c r="B33" s="31">
        <v>48</v>
      </c>
      <c r="C33" s="31">
        <v>49</v>
      </c>
      <c r="D33" s="31">
        <v>34634</v>
      </c>
      <c r="E33" s="31">
        <f>8994+26155</f>
        <v>35149</v>
      </c>
      <c r="F33" s="35">
        <f t="shared" si="0"/>
        <v>1</v>
      </c>
      <c r="G33" s="35">
        <f t="shared" si="1"/>
        <v>515</v>
      </c>
    </row>
    <row r="34" spans="1:7" x14ac:dyDescent="0.25">
      <c r="A34" s="3" t="s">
        <v>126</v>
      </c>
      <c r="B34" s="31">
        <v>77</v>
      </c>
      <c r="C34" s="31">
        <v>79</v>
      </c>
      <c r="D34" s="31">
        <v>11079</v>
      </c>
      <c r="E34" s="31">
        <v>14769</v>
      </c>
      <c r="F34" s="35">
        <f t="shared" si="0"/>
        <v>2</v>
      </c>
      <c r="G34" s="35">
        <f t="shared" si="1"/>
        <v>3690</v>
      </c>
    </row>
    <row r="35" spans="1:7" x14ac:dyDescent="0.25">
      <c r="A35" s="3" t="s">
        <v>130</v>
      </c>
      <c r="B35" s="31">
        <v>76</v>
      </c>
      <c r="C35" s="31">
        <v>84</v>
      </c>
      <c r="D35" s="31">
        <v>4979</v>
      </c>
      <c r="E35" s="31">
        <v>17394</v>
      </c>
      <c r="F35" s="35">
        <f t="shared" si="0"/>
        <v>8</v>
      </c>
      <c r="G35" s="35">
        <f t="shared" si="1"/>
        <v>12415</v>
      </c>
    </row>
    <row r="36" spans="1:7" x14ac:dyDescent="0.25">
      <c r="A36" s="3" t="s">
        <v>134</v>
      </c>
      <c r="B36" s="31">
        <v>36</v>
      </c>
      <c r="C36" s="31">
        <v>37</v>
      </c>
      <c r="D36" s="31">
        <v>60630</v>
      </c>
      <c r="E36" s="31">
        <v>86480</v>
      </c>
      <c r="F36" s="35">
        <f t="shared" si="0"/>
        <v>1</v>
      </c>
      <c r="G36" s="35">
        <f t="shared" si="1"/>
        <v>25850</v>
      </c>
    </row>
    <row r="37" spans="1:7" x14ac:dyDescent="0.25">
      <c r="A37" s="3" t="s">
        <v>138</v>
      </c>
      <c r="B37" s="31">
        <v>80</v>
      </c>
      <c r="C37" s="31">
        <v>80</v>
      </c>
      <c r="D37" s="31">
        <v>3141</v>
      </c>
      <c r="E37" s="31">
        <v>3141</v>
      </c>
      <c r="F37" s="35">
        <f t="shared" si="0"/>
        <v>0</v>
      </c>
      <c r="G37" s="35">
        <f t="shared" si="1"/>
        <v>0</v>
      </c>
    </row>
    <row r="38" spans="1:7" x14ac:dyDescent="0.25">
      <c r="A38" s="3" t="s">
        <v>142</v>
      </c>
      <c r="B38" s="31">
        <v>20</v>
      </c>
      <c r="C38" s="31">
        <v>20</v>
      </c>
      <c r="D38" s="31">
        <v>9104</v>
      </c>
      <c r="E38" s="31">
        <v>9104</v>
      </c>
      <c r="F38" s="35">
        <f t="shared" si="0"/>
        <v>0</v>
      </c>
      <c r="G38" s="35">
        <f t="shared" si="1"/>
        <v>0</v>
      </c>
    </row>
    <row r="39" spans="1:7" x14ac:dyDescent="0.25">
      <c r="A39" s="3" t="s">
        <v>146</v>
      </c>
      <c r="B39" s="31">
        <v>33</v>
      </c>
      <c r="C39" s="31">
        <v>35</v>
      </c>
      <c r="D39" s="31">
        <v>5138</v>
      </c>
      <c r="E39" s="31">
        <v>5138</v>
      </c>
      <c r="F39" s="35">
        <f t="shared" si="0"/>
        <v>2</v>
      </c>
      <c r="G39" s="35">
        <f t="shared" si="1"/>
        <v>0</v>
      </c>
    </row>
    <row r="40" spans="1:7" x14ac:dyDescent="0.25">
      <c r="A40" s="3" t="s">
        <v>150</v>
      </c>
      <c r="B40" s="31">
        <v>41</v>
      </c>
      <c r="C40" s="31">
        <v>41</v>
      </c>
      <c r="D40" s="31">
        <v>1894</v>
      </c>
      <c r="E40" s="31">
        <v>1894</v>
      </c>
      <c r="F40" s="35">
        <f t="shared" si="0"/>
        <v>0</v>
      </c>
      <c r="G40" s="35">
        <f t="shared" si="1"/>
        <v>0</v>
      </c>
    </row>
    <row r="41" spans="1:7" x14ac:dyDescent="0.25">
      <c r="A41" s="3" t="s">
        <v>154</v>
      </c>
      <c r="B41" s="31">
        <v>34</v>
      </c>
      <c r="C41" s="31">
        <v>34</v>
      </c>
      <c r="D41" s="31">
        <v>2128</v>
      </c>
      <c r="E41" s="31">
        <v>2128</v>
      </c>
      <c r="F41" s="35">
        <f t="shared" si="0"/>
        <v>0</v>
      </c>
      <c r="G41" s="35">
        <f t="shared" si="1"/>
        <v>0</v>
      </c>
    </row>
    <row r="42" spans="1:7" x14ac:dyDescent="0.25">
      <c r="A42" s="3" t="s">
        <v>158</v>
      </c>
      <c r="B42" s="31">
        <v>135</v>
      </c>
      <c r="C42" s="31">
        <v>135</v>
      </c>
      <c r="D42" s="31">
        <v>8868</v>
      </c>
      <c r="E42" s="31">
        <v>8868</v>
      </c>
      <c r="F42" s="35">
        <f t="shared" si="0"/>
        <v>0</v>
      </c>
      <c r="G42" s="35">
        <f t="shared" si="1"/>
        <v>0</v>
      </c>
    </row>
    <row r="43" spans="1:7" x14ac:dyDescent="0.25">
      <c r="A43" s="3" t="s">
        <v>162</v>
      </c>
      <c r="B43" s="31">
        <v>182</v>
      </c>
      <c r="C43" s="31">
        <v>185</v>
      </c>
      <c r="D43" s="31">
        <v>7670</v>
      </c>
      <c r="E43" s="31">
        <v>7670</v>
      </c>
      <c r="F43" s="35">
        <f t="shared" si="0"/>
        <v>3</v>
      </c>
      <c r="G43" s="35">
        <f t="shared" si="1"/>
        <v>0</v>
      </c>
    </row>
    <row r="44" spans="1:7" x14ac:dyDescent="0.25">
      <c r="A44" s="2" t="s">
        <v>4</v>
      </c>
      <c r="B44" s="31">
        <v>86</v>
      </c>
      <c r="C44" s="31">
        <v>88</v>
      </c>
      <c r="D44" s="31">
        <v>5979</v>
      </c>
      <c r="E44" s="31">
        <v>5979</v>
      </c>
      <c r="F44" s="35">
        <f t="shared" si="0"/>
        <v>2</v>
      </c>
      <c r="G44" s="35">
        <f t="shared" si="1"/>
        <v>0</v>
      </c>
    </row>
    <row r="45" spans="1:7" x14ac:dyDescent="0.25">
      <c r="A45" s="3" t="s">
        <v>8</v>
      </c>
      <c r="B45" s="31">
        <v>64</v>
      </c>
      <c r="C45" s="31">
        <v>65</v>
      </c>
      <c r="D45" s="31">
        <v>575</v>
      </c>
      <c r="E45" s="31">
        <v>575</v>
      </c>
      <c r="F45" s="35">
        <f t="shared" si="0"/>
        <v>1</v>
      </c>
      <c r="G45" s="35">
        <f t="shared" si="1"/>
        <v>0</v>
      </c>
    </row>
    <row r="46" spans="1:7" x14ac:dyDescent="0.25">
      <c r="A46" s="3" t="s">
        <v>12</v>
      </c>
      <c r="B46" s="31">
        <v>33</v>
      </c>
      <c r="C46" s="31">
        <v>35</v>
      </c>
      <c r="D46" s="31">
        <v>69</v>
      </c>
      <c r="E46" s="31">
        <v>79</v>
      </c>
      <c r="F46" s="35">
        <f t="shared" si="0"/>
        <v>2</v>
      </c>
      <c r="G46" s="35">
        <f t="shared" si="1"/>
        <v>10</v>
      </c>
    </row>
    <row r="47" spans="1:7" x14ac:dyDescent="0.25">
      <c r="A47" s="3" t="s">
        <v>16</v>
      </c>
      <c r="B47" s="31">
        <v>26</v>
      </c>
      <c r="C47" s="31">
        <v>28</v>
      </c>
      <c r="D47" s="31">
        <v>52</v>
      </c>
      <c r="E47" s="31">
        <v>52</v>
      </c>
      <c r="F47" s="35">
        <f t="shared" si="0"/>
        <v>2</v>
      </c>
      <c r="G47" s="35">
        <f t="shared" si="1"/>
        <v>0</v>
      </c>
    </row>
    <row r="48" spans="1:7" x14ac:dyDescent="0.25">
      <c r="A48" s="3" t="s">
        <v>20</v>
      </c>
      <c r="B48" s="31">
        <v>112</v>
      </c>
      <c r="C48" s="31">
        <v>115</v>
      </c>
      <c r="D48" s="31">
        <v>5098</v>
      </c>
      <c r="E48" s="31">
        <v>5098</v>
      </c>
      <c r="F48" s="35">
        <f t="shared" si="0"/>
        <v>3</v>
      </c>
      <c r="G48" s="35">
        <f t="shared" si="1"/>
        <v>0</v>
      </c>
    </row>
    <row r="49" spans="1:7" x14ac:dyDescent="0.25">
      <c r="A49" s="3" t="s">
        <v>24</v>
      </c>
      <c r="B49" s="31">
        <v>88</v>
      </c>
      <c r="C49" s="31">
        <v>94</v>
      </c>
      <c r="D49" s="31">
        <v>1164</v>
      </c>
      <c r="E49" s="31">
        <v>1226</v>
      </c>
      <c r="F49" s="35">
        <f t="shared" si="0"/>
        <v>6</v>
      </c>
      <c r="G49" s="35">
        <f t="shared" si="1"/>
        <v>62</v>
      </c>
    </row>
    <row r="50" spans="1:7" x14ac:dyDescent="0.25">
      <c r="A50" s="3" t="s">
        <v>28</v>
      </c>
      <c r="B50" s="31">
        <v>35</v>
      </c>
      <c r="C50" s="31">
        <v>36</v>
      </c>
      <c r="D50" s="31">
        <v>680</v>
      </c>
      <c r="E50" s="31">
        <v>680</v>
      </c>
      <c r="F50" s="35">
        <f t="shared" si="0"/>
        <v>1</v>
      </c>
      <c r="G50" s="35">
        <f t="shared" si="1"/>
        <v>0</v>
      </c>
    </row>
    <row r="51" spans="1:7" x14ac:dyDescent="0.25">
      <c r="A51" s="3" t="s">
        <v>32</v>
      </c>
      <c r="B51" s="31">
        <v>95</v>
      </c>
      <c r="C51" s="31">
        <v>98</v>
      </c>
      <c r="D51" s="31">
        <v>54120</v>
      </c>
      <c r="E51" s="31">
        <v>54123</v>
      </c>
      <c r="F51" s="35">
        <f t="shared" si="0"/>
        <v>3</v>
      </c>
      <c r="G51" s="35">
        <f t="shared" si="1"/>
        <v>3</v>
      </c>
    </row>
    <row r="52" spans="1:7" x14ac:dyDescent="0.25">
      <c r="A52" s="3" t="s">
        <v>36</v>
      </c>
      <c r="B52" s="31">
        <v>128</v>
      </c>
      <c r="C52" s="31">
        <v>141</v>
      </c>
      <c r="D52" s="31">
        <v>11515</v>
      </c>
      <c r="E52" s="31">
        <v>11515</v>
      </c>
      <c r="F52" s="35">
        <f t="shared" si="0"/>
        <v>13</v>
      </c>
      <c r="G52" s="35">
        <f t="shared" si="1"/>
        <v>0</v>
      </c>
    </row>
    <row r="53" spans="1:7" x14ac:dyDescent="0.25">
      <c r="A53" s="3" t="s">
        <v>40</v>
      </c>
      <c r="B53" s="31">
        <v>161</v>
      </c>
      <c r="C53" s="31">
        <v>164</v>
      </c>
      <c r="D53" s="31">
        <v>4987</v>
      </c>
      <c r="E53" s="31">
        <v>4987</v>
      </c>
      <c r="F53" s="35">
        <f t="shared" si="0"/>
        <v>3</v>
      </c>
      <c r="G53" s="35">
        <f t="shared" si="1"/>
        <v>0</v>
      </c>
    </row>
    <row r="54" spans="1:7" x14ac:dyDescent="0.25">
      <c r="A54" s="3" t="s">
        <v>44</v>
      </c>
      <c r="B54" s="31">
        <v>115</v>
      </c>
      <c r="C54" s="31">
        <v>117</v>
      </c>
      <c r="D54" s="31">
        <v>1934</v>
      </c>
      <c r="E54" s="31">
        <v>1989</v>
      </c>
      <c r="F54" s="35">
        <f t="shared" si="0"/>
        <v>2</v>
      </c>
      <c r="G54" s="35">
        <f t="shared" si="1"/>
        <v>55</v>
      </c>
    </row>
    <row r="55" spans="1:7" x14ac:dyDescent="0.25">
      <c r="A55" s="3" t="s">
        <v>48</v>
      </c>
      <c r="B55" s="31">
        <v>135</v>
      </c>
      <c r="C55" s="31">
        <v>135</v>
      </c>
      <c r="D55" s="31">
        <v>2139</v>
      </c>
      <c r="E55" s="31">
        <v>2139</v>
      </c>
      <c r="F55" s="35">
        <f t="shared" si="0"/>
        <v>0</v>
      </c>
      <c r="G55" s="35">
        <f t="shared" si="1"/>
        <v>0</v>
      </c>
    </row>
    <row r="56" spans="1:7" x14ac:dyDescent="0.25">
      <c r="A56" s="3" t="s">
        <v>52</v>
      </c>
      <c r="B56" s="31">
        <v>58</v>
      </c>
      <c r="C56" s="31">
        <v>59</v>
      </c>
      <c r="D56" s="31">
        <v>24</v>
      </c>
      <c r="E56" s="31">
        <v>24</v>
      </c>
      <c r="F56" s="35">
        <f t="shared" si="0"/>
        <v>1</v>
      </c>
      <c r="G56" s="35">
        <f t="shared" si="1"/>
        <v>0</v>
      </c>
    </row>
    <row r="57" spans="1:7" x14ac:dyDescent="0.25">
      <c r="A57" s="3" t="s">
        <v>56</v>
      </c>
      <c r="B57" s="31">
        <v>85</v>
      </c>
      <c r="C57" s="31">
        <v>82</v>
      </c>
      <c r="D57" s="31">
        <v>4361</v>
      </c>
      <c r="E57" s="31">
        <v>4010</v>
      </c>
      <c r="F57" s="35">
        <f t="shared" si="0"/>
        <v>-3</v>
      </c>
      <c r="G57" s="35">
        <f t="shared" si="1"/>
        <v>-351</v>
      </c>
    </row>
    <row r="58" spans="1:7" x14ac:dyDescent="0.25">
      <c r="A58" s="3" t="s">
        <v>60</v>
      </c>
      <c r="B58" s="31">
        <v>71</v>
      </c>
      <c r="C58" s="31">
        <v>83</v>
      </c>
      <c r="D58" s="31">
        <v>1304</v>
      </c>
      <c r="E58" s="31">
        <v>1304</v>
      </c>
      <c r="F58" s="35">
        <f t="shared" si="0"/>
        <v>12</v>
      </c>
      <c r="G58" s="35">
        <f t="shared" si="1"/>
        <v>0</v>
      </c>
    </row>
    <row r="59" spans="1:7" x14ac:dyDescent="0.25">
      <c r="A59" s="3" t="s">
        <v>64</v>
      </c>
      <c r="B59" s="31">
        <v>91</v>
      </c>
      <c r="C59" s="31">
        <v>97</v>
      </c>
      <c r="D59" s="31">
        <v>503</v>
      </c>
      <c r="E59" s="31">
        <v>512</v>
      </c>
      <c r="F59" s="35">
        <f t="shared" si="0"/>
        <v>6</v>
      </c>
      <c r="G59" s="35">
        <f t="shared" si="1"/>
        <v>9</v>
      </c>
    </row>
    <row r="60" spans="1:7" x14ac:dyDescent="0.25">
      <c r="A60" s="3" t="s">
        <v>68</v>
      </c>
      <c r="B60" s="31">
        <v>68</v>
      </c>
      <c r="C60" s="31">
        <v>73</v>
      </c>
      <c r="D60" s="31">
        <v>949</v>
      </c>
      <c r="E60" s="31">
        <v>971</v>
      </c>
      <c r="F60" s="35">
        <f t="shared" si="0"/>
        <v>5</v>
      </c>
      <c r="G60" s="35">
        <f t="shared" si="1"/>
        <v>22</v>
      </c>
    </row>
    <row r="61" spans="1:7" x14ac:dyDescent="0.25">
      <c r="A61" s="3" t="s">
        <v>72</v>
      </c>
      <c r="B61" s="31">
        <v>301</v>
      </c>
      <c r="C61" s="31">
        <v>321</v>
      </c>
      <c r="D61" s="31">
        <v>8142</v>
      </c>
      <c r="E61" s="31">
        <v>9040</v>
      </c>
      <c r="F61" s="35">
        <f t="shared" si="0"/>
        <v>20</v>
      </c>
      <c r="G61" s="35">
        <f t="shared" si="1"/>
        <v>898</v>
      </c>
    </row>
    <row r="62" spans="1:7" x14ac:dyDescent="0.25">
      <c r="A62" s="3" t="s">
        <v>76</v>
      </c>
      <c r="B62" s="31">
        <v>127</v>
      </c>
      <c r="C62" s="31">
        <v>130</v>
      </c>
      <c r="D62" s="31">
        <v>4619</v>
      </c>
      <c r="E62" s="31">
        <v>4670</v>
      </c>
      <c r="F62" s="35">
        <f t="shared" si="0"/>
        <v>3</v>
      </c>
      <c r="G62" s="35">
        <f t="shared" si="1"/>
        <v>51</v>
      </c>
    </row>
    <row r="63" spans="1:7" x14ac:dyDescent="0.25">
      <c r="A63" s="3" t="s">
        <v>80</v>
      </c>
      <c r="B63" s="31">
        <v>74</v>
      </c>
      <c r="C63" s="31">
        <v>77</v>
      </c>
      <c r="D63" s="31">
        <v>1826</v>
      </c>
      <c r="E63" s="31">
        <v>1786</v>
      </c>
      <c r="F63" s="35">
        <f t="shared" si="0"/>
        <v>3</v>
      </c>
      <c r="G63" s="35">
        <f t="shared" si="1"/>
        <v>-40</v>
      </c>
    </row>
    <row r="64" spans="1:7" x14ac:dyDescent="0.25">
      <c r="A64" s="3" t="s">
        <v>84</v>
      </c>
      <c r="B64" s="31">
        <v>82</v>
      </c>
      <c r="C64" s="31">
        <v>85</v>
      </c>
      <c r="D64" s="31">
        <v>1866</v>
      </c>
      <c r="E64" s="31">
        <v>1866</v>
      </c>
      <c r="F64" s="35">
        <f t="shared" si="0"/>
        <v>3</v>
      </c>
      <c r="G64" s="35">
        <f t="shared" si="1"/>
        <v>0</v>
      </c>
    </row>
    <row r="65" spans="1:7" x14ac:dyDescent="0.25">
      <c r="A65" s="3" t="s">
        <v>88</v>
      </c>
      <c r="B65" s="31">
        <v>62</v>
      </c>
      <c r="C65" s="31">
        <v>62</v>
      </c>
      <c r="D65" s="31">
        <v>757</v>
      </c>
      <c r="E65" s="31">
        <v>757</v>
      </c>
      <c r="F65" s="35">
        <f t="shared" si="0"/>
        <v>0</v>
      </c>
      <c r="G65" s="35">
        <f t="shared" si="1"/>
        <v>0</v>
      </c>
    </row>
    <row r="66" spans="1:7" x14ac:dyDescent="0.25">
      <c r="A66" s="3" t="s">
        <v>92</v>
      </c>
      <c r="B66" s="31">
        <v>14</v>
      </c>
      <c r="C66" s="31">
        <v>14</v>
      </c>
      <c r="D66" s="31">
        <v>70736</v>
      </c>
      <c r="E66" s="31">
        <v>70736</v>
      </c>
      <c r="F66" s="35">
        <f t="shared" si="0"/>
        <v>0</v>
      </c>
      <c r="G66" s="35">
        <f t="shared" si="1"/>
        <v>0</v>
      </c>
    </row>
    <row r="67" spans="1:7" x14ac:dyDescent="0.25">
      <c r="A67" s="3" t="s">
        <v>96</v>
      </c>
      <c r="B67" s="31">
        <v>27</v>
      </c>
      <c r="C67" s="31">
        <v>25</v>
      </c>
      <c r="D67" s="31">
        <v>184</v>
      </c>
      <c r="E67" s="31">
        <v>184</v>
      </c>
      <c r="F67" s="35">
        <f t="shared" si="0"/>
        <v>-2</v>
      </c>
      <c r="G67" s="35">
        <f t="shared" si="1"/>
        <v>0</v>
      </c>
    </row>
    <row r="68" spans="1:7" x14ac:dyDescent="0.25">
      <c r="A68" s="3" t="s">
        <v>100</v>
      </c>
      <c r="B68" s="31">
        <v>98</v>
      </c>
      <c r="C68" s="31">
        <v>100</v>
      </c>
      <c r="D68" s="31">
        <v>1013</v>
      </c>
      <c r="E68" s="31">
        <v>1027</v>
      </c>
      <c r="F68" s="35">
        <f t="shared" si="0"/>
        <v>2</v>
      </c>
      <c r="G68" s="35">
        <f t="shared" si="1"/>
        <v>14</v>
      </c>
    </row>
    <row r="69" spans="1:7" x14ac:dyDescent="0.25">
      <c r="A69" s="3" t="s">
        <v>104</v>
      </c>
      <c r="B69" s="31">
        <v>79</v>
      </c>
      <c r="C69" s="31">
        <v>88</v>
      </c>
      <c r="D69" s="31">
        <v>3708</v>
      </c>
      <c r="E69" s="31">
        <v>4120</v>
      </c>
      <c r="F69" s="35">
        <f t="shared" ref="F69:F84" si="2">C69-B69</f>
        <v>9</v>
      </c>
      <c r="G69" s="35">
        <f t="shared" ref="G69:G84" si="3">E69-D69</f>
        <v>412</v>
      </c>
    </row>
    <row r="70" spans="1:7" x14ac:dyDescent="0.25">
      <c r="A70" s="3" t="s">
        <v>108</v>
      </c>
      <c r="B70" s="31">
        <v>73</v>
      </c>
      <c r="C70" s="31">
        <v>95</v>
      </c>
      <c r="D70" s="31">
        <v>8432</v>
      </c>
      <c r="E70" s="31">
        <v>8675</v>
      </c>
      <c r="F70" s="35">
        <f t="shared" si="2"/>
        <v>22</v>
      </c>
      <c r="G70" s="35">
        <f t="shared" si="3"/>
        <v>243</v>
      </c>
    </row>
    <row r="71" spans="1:7" x14ac:dyDescent="0.25">
      <c r="A71" s="3" t="s">
        <v>112</v>
      </c>
      <c r="B71" s="31">
        <v>73</v>
      </c>
      <c r="C71" s="31">
        <v>74</v>
      </c>
      <c r="D71" s="31">
        <v>1005</v>
      </c>
      <c r="E71" s="31">
        <v>1005</v>
      </c>
      <c r="F71" s="35">
        <f t="shared" si="2"/>
        <v>1</v>
      </c>
      <c r="G71" s="35">
        <f t="shared" si="3"/>
        <v>0</v>
      </c>
    </row>
    <row r="72" spans="1:7" x14ac:dyDescent="0.25">
      <c r="A72" s="3" t="s">
        <v>116</v>
      </c>
      <c r="B72" s="31">
        <v>91</v>
      </c>
      <c r="C72" s="31">
        <v>100</v>
      </c>
      <c r="D72" s="31">
        <v>230</v>
      </c>
      <c r="E72" s="31">
        <v>230</v>
      </c>
      <c r="F72" s="35">
        <f t="shared" si="2"/>
        <v>9</v>
      </c>
      <c r="G72" s="35">
        <f t="shared" si="3"/>
        <v>0</v>
      </c>
    </row>
    <row r="73" spans="1:7" x14ac:dyDescent="0.25">
      <c r="A73" s="3" t="s">
        <v>120</v>
      </c>
      <c r="B73" s="31">
        <v>56</v>
      </c>
      <c r="C73" s="31">
        <v>65</v>
      </c>
      <c r="D73" s="31">
        <v>1205</v>
      </c>
      <c r="E73" s="31">
        <v>1205</v>
      </c>
      <c r="F73" s="35">
        <f t="shared" si="2"/>
        <v>9</v>
      </c>
      <c r="G73" s="35">
        <f t="shared" si="3"/>
        <v>0</v>
      </c>
    </row>
    <row r="74" spans="1:7" x14ac:dyDescent="0.25">
      <c r="A74" s="3" t="s">
        <v>124</v>
      </c>
      <c r="B74" s="31">
        <v>35</v>
      </c>
      <c r="C74" s="31">
        <v>38</v>
      </c>
      <c r="D74" s="31">
        <v>713</v>
      </c>
      <c r="E74" s="31">
        <v>713</v>
      </c>
      <c r="F74" s="35">
        <f t="shared" si="2"/>
        <v>3</v>
      </c>
      <c r="G74" s="35">
        <f t="shared" si="3"/>
        <v>0</v>
      </c>
    </row>
    <row r="75" spans="1:7" x14ac:dyDescent="0.25">
      <c r="A75" s="3" t="s">
        <v>128</v>
      </c>
      <c r="B75" s="31">
        <v>15</v>
      </c>
      <c r="C75" s="31">
        <v>15</v>
      </c>
      <c r="D75" s="31">
        <v>163</v>
      </c>
      <c r="E75" s="31">
        <v>163</v>
      </c>
      <c r="F75" s="35">
        <f t="shared" si="2"/>
        <v>0</v>
      </c>
      <c r="G75" s="35">
        <f t="shared" si="3"/>
        <v>0</v>
      </c>
    </row>
    <row r="76" spans="1:7" x14ac:dyDescent="0.25">
      <c r="A76" s="3" t="s">
        <v>132</v>
      </c>
      <c r="B76" s="31">
        <v>36</v>
      </c>
      <c r="C76" s="31">
        <v>42</v>
      </c>
      <c r="D76" s="31">
        <v>4006</v>
      </c>
      <c r="E76" s="31">
        <v>4013</v>
      </c>
      <c r="F76" s="35">
        <f t="shared" si="2"/>
        <v>6</v>
      </c>
      <c r="G76" s="35">
        <f t="shared" si="3"/>
        <v>7</v>
      </c>
    </row>
    <row r="77" spans="1:7" x14ac:dyDescent="0.25">
      <c r="A77" s="3" t="s">
        <v>136</v>
      </c>
      <c r="B77" s="31">
        <v>40</v>
      </c>
      <c r="C77" s="31">
        <v>45</v>
      </c>
      <c r="D77" s="31">
        <v>945</v>
      </c>
      <c r="E77" s="31">
        <v>2118</v>
      </c>
      <c r="F77" s="35">
        <f t="shared" si="2"/>
        <v>5</v>
      </c>
      <c r="G77" s="35">
        <f t="shared" si="3"/>
        <v>1173</v>
      </c>
    </row>
    <row r="78" spans="1:7" x14ac:dyDescent="0.25">
      <c r="A78" s="3" t="s">
        <v>140</v>
      </c>
      <c r="B78" s="31">
        <v>4</v>
      </c>
      <c r="C78" s="31">
        <v>4</v>
      </c>
      <c r="D78" s="31">
        <v>10</v>
      </c>
      <c r="E78" s="31">
        <v>10</v>
      </c>
      <c r="F78" s="35">
        <f t="shared" si="2"/>
        <v>0</v>
      </c>
      <c r="G78" s="35">
        <f t="shared" si="3"/>
        <v>0</v>
      </c>
    </row>
    <row r="79" spans="1:7" x14ac:dyDescent="0.25">
      <c r="A79" s="3" t="s">
        <v>144</v>
      </c>
      <c r="B79" s="31">
        <v>9</v>
      </c>
      <c r="C79" s="31">
        <v>9</v>
      </c>
      <c r="D79" s="31">
        <v>5580</v>
      </c>
      <c r="E79" s="31">
        <v>5580</v>
      </c>
      <c r="F79" s="35">
        <f t="shared" si="2"/>
        <v>0</v>
      </c>
      <c r="G79" s="35">
        <f t="shared" si="3"/>
        <v>0</v>
      </c>
    </row>
    <row r="80" spans="1:7" x14ac:dyDescent="0.25">
      <c r="A80" s="3" t="s">
        <v>148</v>
      </c>
      <c r="B80" s="31">
        <v>74</v>
      </c>
      <c r="C80" s="31">
        <v>74</v>
      </c>
      <c r="D80" s="31">
        <v>582</v>
      </c>
      <c r="E80" s="31">
        <v>582</v>
      </c>
      <c r="F80" s="35">
        <f t="shared" si="2"/>
        <v>0</v>
      </c>
      <c r="G80" s="35">
        <f t="shared" si="3"/>
        <v>0</v>
      </c>
    </row>
    <row r="81" spans="1:7" x14ac:dyDescent="0.25">
      <c r="A81" s="3" t="s">
        <v>152</v>
      </c>
      <c r="B81" s="31">
        <v>30</v>
      </c>
      <c r="C81" s="31">
        <v>30</v>
      </c>
      <c r="D81" s="31">
        <v>18</v>
      </c>
      <c r="E81" s="31">
        <v>18</v>
      </c>
      <c r="F81" s="35">
        <f t="shared" si="2"/>
        <v>0</v>
      </c>
      <c r="G81" s="35">
        <f t="shared" si="3"/>
        <v>0</v>
      </c>
    </row>
    <row r="82" spans="1:7" x14ac:dyDescent="0.25">
      <c r="A82" s="3" t="s">
        <v>156</v>
      </c>
      <c r="B82" s="31">
        <v>22</v>
      </c>
      <c r="C82" s="31">
        <v>22</v>
      </c>
      <c r="D82" s="31">
        <v>278</v>
      </c>
      <c r="E82" s="31">
        <v>278</v>
      </c>
      <c r="F82" s="35">
        <f t="shared" si="2"/>
        <v>0</v>
      </c>
      <c r="G82" s="35">
        <f t="shared" si="3"/>
        <v>0</v>
      </c>
    </row>
    <row r="83" spans="1:7" x14ac:dyDescent="0.25">
      <c r="A83" s="3" t="s">
        <v>160</v>
      </c>
      <c r="B83" s="31">
        <v>17</v>
      </c>
      <c r="C83" s="31">
        <v>17</v>
      </c>
      <c r="D83" s="31"/>
      <c r="E83" s="31"/>
      <c r="F83" s="35">
        <f t="shared" si="2"/>
        <v>0</v>
      </c>
      <c r="G83" s="35">
        <f t="shared" si="3"/>
        <v>0</v>
      </c>
    </row>
    <row r="84" spans="1:7" ht="15.75" thickBot="1" x14ac:dyDescent="0.3">
      <c r="A84" s="17" t="s">
        <v>164</v>
      </c>
      <c r="B84" s="32">
        <v>25</v>
      </c>
      <c r="C84" s="32">
        <v>31</v>
      </c>
      <c r="D84" s="32">
        <v>25</v>
      </c>
      <c r="E84" s="32">
        <v>36</v>
      </c>
      <c r="F84" s="35">
        <f t="shared" si="2"/>
        <v>6</v>
      </c>
      <c r="G84" s="35">
        <f t="shared" si="3"/>
        <v>11</v>
      </c>
    </row>
    <row r="87" spans="1:7" ht="26.25" thickBot="1" x14ac:dyDescent="0.3">
      <c r="B87" s="24" t="s">
        <v>168</v>
      </c>
      <c r="C87" s="26" t="s">
        <v>167</v>
      </c>
    </row>
    <row r="88" spans="1:7" x14ac:dyDescent="0.25">
      <c r="A88" s="2" t="s">
        <v>6</v>
      </c>
      <c r="B88">
        <v>0</v>
      </c>
      <c r="C88">
        <v>0</v>
      </c>
    </row>
    <row r="89" spans="1:7" x14ac:dyDescent="0.25">
      <c r="A89" s="3" t="s">
        <v>10</v>
      </c>
      <c r="B89">
        <v>0</v>
      </c>
      <c r="C89">
        <v>0</v>
      </c>
    </row>
    <row r="90" spans="1:7" x14ac:dyDescent="0.25">
      <c r="A90" s="3" t="s">
        <v>14</v>
      </c>
      <c r="B90">
        <v>0</v>
      </c>
      <c r="C90">
        <v>0</v>
      </c>
    </row>
    <row r="91" spans="1:7" x14ac:dyDescent="0.25">
      <c r="A91" s="3" t="s">
        <v>18</v>
      </c>
      <c r="B91">
        <v>0</v>
      </c>
      <c r="C91">
        <v>0</v>
      </c>
    </row>
    <row r="92" spans="1:7" x14ac:dyDescent="0.25">
      <c r="A92" s="3" t="s">
        <v>22</v>
      </c>
      <c r="B92">
        <v>5</v>
      </c>
      <c r="C92">
        <v>87</v>
      </c>
    </row>
    <row r="93" spans="1:7" x14ac:dyDescent="0.25">
      <c r="A93" s="3" t="s">
        <v>26</v>
      </c>
      <c r="B93">
        <v>5</v>
      </c>
      <c r="C93">
        <v>2650</v>
      </c>
    </row>
    <row r="94" spans="1:7" x14ac:dyDescent="0.25">
      <c r="A94" s="3" t="s">
        <v>30</v>
      </c>
      <c r="B94">
        <v>2</v>
      </c>
      <c r="C94">
        <v>-200</v>
      </c>
    </row>
    <row r="95" spans="1:7" x14ac:dyDescent="0.25">
      <c r="A95" s="3" t="s">
        <v>34</v>
      </c>
      <c r="B95">
        <v>17</v>
      </c>
      <c r="C95">
        <v>4847</v>
      </c>
    </row>
    <row r="96" spans="1:7" x14ac:dyDescent="0.25">
      <c r="A96" s="3" t="s">
        <v>38</v>
      </c>
      <c r="B96">
        <v>-1</v>
      </c>
      <c r="C96">
        <v>0</v>
      </c>
    </row>
    <row r="97" spans="1:3" x14ac:dyDescent="0.25">
      <c r="A97" s="3" t="s">
        <v>42</v>
      </c>
      <c r="B97">
        <v>8</v>
      </c>
      <c r="C97">
        <v>1697</v>
      </c>
    </row>
    <row r="98" spans="1:3" x14ac:dyDescent="0.25">
      <c r="A98" s="3" t="s">
        <v>46</v>
      </c>
      <c r="B98">
        <v>3</v>
      </c>
      <c r="C98">
        <v>350</v>
      </c>
    </row>
    <row r="99" spans="1:3" x14ac:dyDescent="0.25">
      <c r="A99" s="3" t="s">
        <v>50</v>
      </c>
      <c r="B99">
        <v>10</v>
      </c>
      <c r="C99">
        <v>0</v>
      </c>
    </row>
    <row r="100" spans="1:3" x14ac:dyDescent="0.25">
      <c r="A100" s="3" t="s">
        <v>54</v>
      </c>
      <c r="B100">
        <v>8</v>
      </c>
      <c r="C100">
        <v>1000</v>
      </c>
    </row>
    <row r="101" spans="1:3" x14ac:dyDescent="0.25">
      <c r="A101" s="3" t="s">
        <v>58</v>
      </c>
      <c r="B101">
        <v>10</v>
      </c>
      <c r="C101">
        <v>2628</v>
      </c>
    </row>
    <row r="102" spans="1:3" x14ac:dyDescent="0.25">
      <c r="A102" s="3" t="s">
        <v>62</v>
      </c>
      <c r="B102">
        <v>0</v>
      </c>
      <c r="C102">
        <v>0</v>
      </c>
    </row>
    <row r="103" spans="1:3" x14ac:dyDescent="0.25">
      <c r="A103" s="3" t="s">
        <v>66</v>
      </c>
      <c r="B103">
        <v>0</v>
      </c>
      <c r="C103">
        <v>0</v>
      </c>
    </row>
    <row r="104" spans="1:3" x14ac:dyDescent="0.25">
      <c r="A104" s="3" t="s">
        <v>70</v>
      </c>
      <c r="B104">
        <v>1</v>
      </c>
      <c r="C104">
        <v>0</v>
      </c>
    </row>
    <row r="105" spans="1:3" x14ac:dyDescent="0.25">
      <c r="A105" s="3" t="s">
        <v>74</v>
      </c>
      <c r="B105">
        <v>0</v>
      </c>
      <c r="C105">
        <v>0</v>
      </c>
    </row>
    <row r="106" spans="1:3" x14ac:dyDescent="0.25">
      <c r="A106" s="3" t="s">
        <v>78</v>
      </c>
      <c r="B106">
        <v>1</v>
      </c>
      <c r="C106">
        <v>0</v>
      </c>
    </row>
    <row r="107" spans="1:3" x14ac:dyDescent="0.25">
      <c r="A107" s="3" t="s">
        <v>82</v>
      </c>
      <c r="B107">
        <v>3</v>
      </c>
      <c r="C107">
        <v>3420</v>
      </c>
    </row>
    <row r="108" spans="1:3" x14ac:dyDescent="0.25">
      <c r="A108" s="3" t="s">
        <v>86</v>
      </c>
      <c r="B108">
        <v>2</v>
      </c>
      <c r="C108">
        <v>0</v>
      </c>
    </row>
    <row r="109" spans="1:3" x14ac:dyDescent="0.25">
      <c r="A109" s="3" t="s">
        <v>90</v>
      </c>
      <c r="B109">
        <v>0</v>
      </c>
      <c r="C109">
        <v>0</v>
      </c>
    </row>
    <row r="110" spans="1:3" x14ac:dyDescent="0.25">
      <c r="A110" s="3" t="s">
        <v>94</v>
      </c>
      <c r="B110">
        <v>2</v>
      </c>
      <c r="C110">
        <v>0</v>
      </c>
    </row>
    <row r="111" spans="1:3" x14ac:dyDescent="0.25">
      <c r="A111" s="3" t="s">
        <v>98</v>
      </c>
      <c r="B111">
        <v>3</v>
      </c>
      <c r="C111">
        <v>8</v>
      </c>
    </row>
    <row r="112" spans="1:3" x14ac:dyDescent="0.25">
      <c r="A112" s="3" t="s">
        <v>102</v>
      </c>
      <c r="B112">
        <v>0</v>
      </c>
      <c r="C112">
        <v>0</v>
      </c>
    </row>
    <row r="113" spans="1:3" x14ac:dyDescent="0.25">
      <c r="A113" s="3" t="s">
        <v>106</v>
      </c>
      <c r="B113">
        <v>2</v>
      </c>
      <c r="C113">
        <v>2322</v>
      </c>
    </row>
    <row r="114" spans="1:3" x14ac:dyDescent="0.25">
      <c r="A114" s="3" t="s">
        <v>110</v>
      </c>
      <c r="B114">
        <v>14</v>
      </c>
      <c r="C114">
        <v>0</v>
      </c>
    </row>
    <row r="115" spans="1:3" x14ac:dyDescent="0.25">
      <c r="A115" s="3" t="s">
        <v>114</v>
      </c>
      <c r="B115">
        <v>12</v>
      </c>
      <c r="C115">
        <v>0</v>
      </c>
    </row>
    <row r="116" spans="1:3" x14ac:dyDescent="0.25">
      <c r="A116" s="3" t="s">
        <v>118</v>
      </c>
      <c r="B116">
        <v>-4</v>
      </c>
      <c r="C116">
        <v>-6900</v>
      </c>
    </row>
    <row r="117" spans="1:3" x14ac:dyDescent="0.25">
      <c r="A117" s="3" t="s">
        <v>122</v>
      </c>
      <c r="B117">
        <v>1</v>
      </c>
      <c r="C117">
        <v>515</v>
      </c>
    </row>
    <row r="118" spans="1:3" x14ac:dyDescent="0.25">
      <c r="A118" s="3" t="s">
        <v>126</v>
      </c>
      <c r="B118">
        <v>2</v>
      </c>
      <c r="C118">
        <v>3690</v>
      </c>
    </row>
    <row r="119" spans="1:3" x14ac:dyDescent="0.25">
      <c r="A119" s="3" t="s">
        <v>130</v>
      </c>
      <c r="B119">
        <v>8</v>
      </c>
      <c r="C119">
        <v>12415</v>
      </c>
    </row>
    <row r="120" spans="1:3" x14ac:dyDescent="0.25">
      <c r="A120" s="3" t="s">
        <v>134</v>
      </c>
      <c r="B120">
        <v>1</v>
      </c>
      <c r="C120">
        <v>25850</v>
      </c>
    </row>
    <row r="121" spans="1:3" x14ac:dyDescent="0.25">
      <c r="A121" s="3" t="s">
        <v>138</v>
      </c>
      <c r="B121">
        <v>0</v>
      </c>
      <c r="C121">
        <v>0</v>
      </c>
    </row>
    <row r="122" spans="1:3" x14ac:dyDescent="0.25">
      <c r="A122" s="3" t="s">
        <v>142</v>
      </c>
      <c r="B122">
        <v>0</v>
      </c>
      <c r="C122">
        <v>0</v>
      </c>
    </row>
    <row r="123" spans="1:3" x14ac:dyDescent="0.25">
      <c r="A123" s="3" t="s">
        <v>146</v>
      </c>
      <c r="B123">
        <v>2</v>
      </c>
      <c r="C123">
        <v>0</v>
      </c>
    </row>
    <row r="124" spans="1:3" x14ac:dyDescent="0.25">
      <c r="A124" s="3" t="s">
        <v>150</v>
      </c>
      <c r="B124">
        <v>0</v>
      </c>
      <c r="C124">
        <v>0</v>
      </c>
    </row>
    <row r="125" spans="1:3" x14ac:dyDescent="0.25">
      <c r="A125" s="3" t="s">
        <v>154</v>
      </c>
      <c r="B125">
        <v>0</v>
      </c>
      <c r="C125">
        <v>0</v>
      </c>
    </row>
    <row r="126" spans="1:3" x14ac:dyDescent="0.25">
      <c r="A126" s="3" t="s">
        <v>158</v>
      </c>
      <c r="B126">
        <v>0</v>
      </c>
      <c r="C126">
        <v>0</v>
      </c>
    </row>
    <row r="127" spans="1:3" x14ac:dyDescent="0.25">
      <c r="A127" s="3" t="s">
        <v>162</v>
      </c>
      <c r="B127">
        <v>3</v>
      </c>
      <c r="C127">
        <v>0</v>
      </c>
    </row>
    <row r="128" spans="1:3" x14ac:dyDescent="0.25">
      <c r="A128" s="2" t="s">
        <v>4</v>
      </c>
      <c r="B128">
        <v>2</v>
      </c>
      <c r="C128">
        <v>0</v>
      </c>
    </row>
    <row r="129" spans="1:3" x14ac:dyDescent="0.25">
      <c r="A129" s="3" t="s">
        <v>8</v>
      </c>
      <c r="B129">
        <v>1</v>
      </c>
      <c r="C129">
        <v>0</v>
      </c>
    </row>
    <row r="130" spans="1:3" x14ac:dyDescent="0.25">
      <c r="A130" s="3" t="s">
        <v>12</v>
      </c>
      <c r="B130">
        <v>2</v>
      </c>
      <c r="C130">
        <v>10</v>
      </c>
    </row>
    <row r="131" spans="1:3" x14ac:dyDescent="0.25">
      <c r="A131" s="3" t="s">
        <v>16</v>
      </c>
      <c r="B131">
        <v>2</v>
      </c>
      <c r="C131">
        <v>0</v>
      </c>
    </row>
    <row r="132" spans="1:3" x14ac:dyDescent="0.25">
      <c r="A132" s="3" t="s">
        <v>20</v>
      </c>
      <c r="B132">
        <v>3</v>
      </c>
      <c r="C132">
        <v>0</v>
      </c>
    </row>
    <row r="133" spans="1:3" x14ac:dyDescent="0.25">
      <c r="A133" s="3" t="s">
        <v>24</v>
      </c>
      <c r="B133">
        <v>6</v>
      </c>
      <c r="C133">
        <v>62</v>
      </c>
    </row>
    <row r="134" spans="1:3" x14ac:dyDescent="0.25">
      <c r="A134" s="3" t="s">
        <v>28</v>
      </c>
      <c r="B134">
        <v>1</v>
      </c>
      <c r="C134">
        <v>0</v>
      </c>
    </row>
    <row r="135" spans="1:3" x14ac:dyDescent="0.25">
      <c r="A135" s="3" t="s">
        <v>32</v>
      </c>
      <c r="B135">
        <v>3</v>
      </c>
      <c r="C135">
        <v>3</v>
      </c>
    </row>
    <row r="136" spans="1:3" x14ac:dyDescent="0.25">
      <c r="A136" s="3" t="s">
        <v>36</v>
      </c>
      <c r="B136">
        <v>13</v>
      </c>
      <c r="C136">
        <v>0</v>
      </c>
    </row>
    <row r="137" spans="1:3" x14ac:dyDescent="0.25">
      <c r="A137" s="3" t="s">
        <v>40</v>
      </c>
      <c r="B137">
        <v>3</v>
      </c>
      <c r="C137">
        <v>0</v>
      </c>
    </row>
    <row r="138" spans="1:3" x14ac:dyDescent="0.25">
      <c r="A138" s="3" t="s">
        <v>44</v>
      </c>
      <c r="B138">
        <v>2</v>
      </c>
      <c r="C138">
        <v>55</v>
      </c>
    </row>
    <row r="139" spans="1:3" x14ac:dyDescent="0.25">
      <c r="A139" s="3" t="s">
        <v>48</v>
      </c>
      <c r="B139">
        <v>0</v>
      </c>
      <c r="C139">
        <v>0</v>
      </c>
    </row>
    <row r="140" spans="1:3" x14ac:dyDescent="0.25">
      <c r="A140" s="3" t="s">
        <v>52</v>
      </c>
      <c r="B140">
        <v>1</v>
      </c>
      <c r="C140">
        <v>0</v>
      </c>
    </row>
    <row r="141" spans="1:3" x14ac:dyDescent="0.25">
      <c r="A141" s="3" t="s">
        <v>56</v>
      </c>
      <c r="B141">
        <v>-3</v>
      </c>
      <c r="C141">
        <v>-351</v>
      </c>
    </row>
    <row r="142" spans="1:3" x14ac:dyDescent="0.25">
      <c r="A142" s="3" t="s">
        <v>60</v>
      </c>
      <c r="B142">
        <v>12</v>
      </c>
      <c r="C142">
        <v>0</v>
      </c>
    </row>
    <row r="143" spans="1:3" x14ac:dyDescent="0.25">
      <c r="A143" s="3" t="s">
        <v>64</v>
      </c>
      <c r="B143">
        <v>6</v>
      </c>
      <c r="C143">
        <v>9</v>
      </c>
    </row>
    <row r="144" spans="1:3" x14ac:dyDescent="0.25">
      <c r="A144" s="3" t="s">
        <v>68</v>
      </c>
      <c r="B144">
        <v>5</v>
      </c>
      <c r="C144">
        <v>22</v>
      </c>
    </row>
    <row r="145" spans="1:3" x14ac:dyDescent="0.25">
      <c r="A145" s="3" t="s">
        <v>72</v>
      </c>
      <c r="B145">
        <v>20</v>
      </c>
      <c r="C145">
        <v>898</v>
      </c>
    </row>
    <row r="146" spans="1:3" x14ac:dyDescent="0.25">
      <c r="A146" s="3" t="s">
        <v>76</v>
      </c>
      <c r="B146">
        <v>3</v>
      </c>
      <c r="C146">
        <v>51</v>
      </c>
    </row>
    <row r="147" spans="1:3" x14ac:dyDescent="0.25">
      <c r="A147" s="3" t="s">
        <v>80</v>
      </c>
      <c r="B147">
        <v>3</v>
      </c>
      <c r="C147">
        <v>-40</v>
      </c>
    </row>
    <row r="148" spans="1:3" x14ac:dyDescent="0.25">
      <c r="A148" s="3" t="s">
        <v>84</v>
      </c>
      <c r="B148">
        <v>3</v>
      </c>
      <c r="C148">
        <v>0</v>
      </c>
    </row>
    <row r="149" spans="1:3" x14ac:dyDescent="0.25">
      <c r="A149" s="3" t="s">
        <v>88</v>
      </c>
      <c r="B149">
        <v>0</v>
      </c>
      <c r="C149">
        <v>0</v>
      </c>
    </row>
    <row r="150" spans="1:3" x14ac:dyDescent="0.25">
      <c r="A150" s="3" t="s">
        <v>92</v>
      </c>
      <c r="B150">
        <v>0</v>
      </c>
      <c r="C150">
        <v>0</v>
      </c>
    </row>
    <row r="151" spans="1:3" x14ac:dyDescent="0.25">
      <c r="A151" s="3" t="s">
        <v>96</v>
      </c>
      <c r="B151">
        <v>-2</v>
      </c>
      <c r="C151">
        <v>0</v>
      </c>
    </row>
    <row r="152" spans="1:3" x14ac:dyDescent="0.25">
      <c r="A152" s="3" t="s">
        <v>100</v>
      </c>
      <c r="B152">
        <v>2</v>
      </c>
      <c r="C152">
        <v>14</v>
      </c>
    </row>
    <row r="153" spans="1:3" x14ac:dyDescent="0.25">
      <c r="A153" s="3" t="s">
        <v>104</v>
      </c>
      <c r="B153">
        <v>9</v>
      </c>
      <c r="C153">
        <v>412</v>
      </c>
    </row>
    <row r="154" spans="1:3" x14ac:dyDescent="0.25">
      <c r="A154" s="3" t="s">
        <v>108</v>
      </c>
      <c r="B154">
        <v>22</v>
      </c>
      <c r="C154">
        <v>243</v>
      </c>
    </row>
    <row r="155" spans="1:3" x14ac:dyDescent="0.25">
      <c r="A155" s="3" t="s">
        <v>112</v>
      </c>
      <c r="B155">
        <v>1</v>
      </c>
      <c r="C155">
        <v>0</v>
      </c>
    </row>
    <row r="156" spans="1:3" x14ac:dyDescent="0.25">
      <c r="A156" s="3" t="s">
        <v>116</v>
      </c>
      <c r="B156">
        <v>9</v>
      </c>
      <c r="C156">
        <v>0</v>
      </c>
    </row>
    <row r="157" spans="1:3" x14ac:dyDescent="0.25">
      <c r="A157" s="3" t="s">
        <v>120</v>
      </c>
      <c r="B157">
        <v>9</v>
      </c>
      <c r="C157">
        <v>0</v>
      </c>
    </row>
    <row r="158" spans="1:3" x14ac:dyDescent="0.25">
      <c r="A158" s="3" t="s">
        <v>124</v>
      </c>
      <c r="B158">
        <v>3</v>
      </c>
      <c r="C158">
        <v>0</v>
      </c>
    </row>
    <row r="159" spans="1:3" x14ac:dyDescent="0.25">
      <c r="A159" s="3" t="s">
        <v>128</v>
      </c>
      <c r="B159">
        <v>0</v>
      </c>
      <c r="C159">
        <v>0</v>
      </c>
    </row>
    <row r="160" spans="1:3" x14ac:dyDescent="0.25">
      <c r="A160" s="3" t="s">
        <v>132</v>
      </c>
      <c r="B160">
        <v>6</v>
      </c>
      <c r="C160">
        <v>7</v>
      </c>
    </row>
    <row r="161" spans="1:3" x14ac:dyDescent="0.25">
      <c r="A161" s="3" t="s">
        <v>136</v>
      </c>
      <c r="B161">
        <v>5</v>
      </c>
      <c r="C161">
        <v>1173</v>
      </c>
    </row>
    <row r="162" spans="1:3" x14ac:dyDescent="0.25">
      <c r="A162" s="3" t="s">
        <v>140</v>
      </c>
      <c r="B162">
        <v>0</v>
      </c>
      <c r="C162">
        <v>0</v>
      </c>
    </row>
    <row r="163" spans="1:3" x14ac:dyDescent="0.25">
      <c r="A163" s="3" t="s">
        <v>144</v>
      </c>
      <c r="B163">
        <v>0</v>
      </c>
      <c r="C163">
        <v>0</v>
      </c>
    </row>
    <row r="164" spans="1:3" x14ac:dyDescent="0.25">
      <c r="A164" s="3" t="s">
        <v>148</v>
      </c>
      <c r="B164">
        <v>0</v>
      </c>
      <c r="C164">
        <v>0</v>
      </c>
    </row>
    <row r="165" spans="1:3" x14ac:dyDescent="0.25">
      <c r="A165" s="3" t="s">
        <v>152</v>
      </c>
      <c r="B165">
        <v>0</v>
      </c>
      <c r="C165">
        <v>0</v>
      </c>
    </row>
    <row r="166" spans="1:3" x14ac:dyDescent="0.25">
      <c r="A166" s="3" t="s">
        <v>156</v>
      </c>
      <c r="B166">
        <v>0</v>
      </c>
      <c r="C166">
        <v>0</v>
      </c>
    </row>
    <row r="167" spans="1:3" x14ac:dyDescent="0.25">
      <c r="A167" s="3" t="s">
        <v>160</v>
      </c>
      <c r="B167">
        <v>0</v>
      </c>
      <c r="C167">
        <v>0</v>
      </c>
    </row>
    <row r="168" spans="1:3" ht="15.75" thickBot="1" x14ac:dyDescent="0.3">
      <c r="A168" s="17" t="s">
        <v>164</v>
      </c>
      <c r="B168">
        <v>6</v>
      </c>
      <c r="C168">
        <v>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1</vt:i4>
      </vt:variant>
    </vt:vector>
  </HeadingPairs>
  <TitlesOfParts>
    <vt:vector size="3" baseType="lpstr">
      <vt:lpstr>2.2.7.Tablo</vt:lpstr>
      <vt:lpstr>Sayfa1</vt:lpstr>
      <vt:lpstr>'2.2.7.Tablo'!Yazdırma_Alanı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2015-12-21T08:18:32Z</dcterms:modified>
</cp:coreProperties>
</file>