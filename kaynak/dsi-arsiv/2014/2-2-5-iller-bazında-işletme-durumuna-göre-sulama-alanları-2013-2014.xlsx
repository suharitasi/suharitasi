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0" yWindow="-225" windowWidth="14805" windowHeight="12525"/>
  </bookViews>
  <sheets>
    <sheet name="2.2.5.Tablo" sheetId="1" r:id="rId1"/>
  </sheets>
  <definedNames>
    <definedName name="_xlnm.Print_Area" localSheetId="0">'2.2.5.Tablo'!$A$1:$Q$165</definedName>
  </definedNames>
  <calcPr calcId="145621" iterate="1" iterateCount="1"/>
</workbook>
</file>

<file path=xl/calcChain.xml><?xml version="1.0" encoding="utf-8"?>
<calcChain xmlns="http://schemas.openxmlformats.org/spreadsheetml/2006/main">
  <c r="Q8" i="1" l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7" i="1"/>
  <c r="J7" i="1" l="1"/>
  <c r="K7" i="1"/>
  <c r="L7" i="1"/>
  <c r="M7" i="1"/>
  <c r="N7" i="1"/>
  <c r="O7" i="1"/>
  <c r="E7" i="1" l="1"/>
  <c r="F7" i="1"/>
  <c r="G7" i="1"/>
  <c r="H7" i="1"/>
  <c r="I7" i="1"/>
  <c r="D7" i="1"/>
  <c r="O88" i="1" l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</calcChain>
</file>

<file path=xl/sharedStrings.xml><?xml version="1.0" encoding="utf-8"?>
<sst xmlns="http://schemas.openxmlformats.org/spreadsheetml/2006/main" count="186" uniqueCount="177">
  <si>
    <t>TR</t>
  </si>
  <si>
    <t xml:space="preserve">Türkiye </t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</si>
  <si>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</si>
  <si>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</si>
  <si>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</si>
  <si>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</si>
  <si>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</si>
  <si>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</si>
  <si>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</si>
  <si>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</si>
  <si>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TR221</t>
  </si>
  <si>
    <t>Balıkesir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</si>
  <si>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</si>
  <si>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</si>
  <si>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</si>
  <si>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</si>
  <si>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</si>
  <si>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</si>
  <si>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</si>
  <si>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</si>
  <si>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</si>
  <si>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Muğla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</si>
  <si>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</si>
  <si>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</si>
  <si>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</si>
  <si>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</si>
  <si>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</si>
  <si>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</si>
  <si>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</si>
  <si>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</si>
  <si>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</si>
  <si>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</si>
  <si>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</si>
  <si>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</si>
  <si>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</si>
  <si>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</si>
  <si>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</si>
  <si>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</si>
  <si>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</si>
  <si>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</si>
  <si>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</si>
  <si>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</si>
  <si>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</si>
  <si>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</si>
  <si>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</si>
  <si>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</si>
  <si>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TR510</t>
  </si>
  <si>
    <t>Ankara</t>
  </si>
  <si>
    <t>TR521</t>
  </si>
  <si>
    <t>Konya</t>
  </si>
  <si>
    <t>TR522</t>
  </si>
  <si>
    <t>Karaman</t>
  </si>
  <si>
    <t>TR611</t>
  </si>
  <si>
    <t>Antalya</t>
  </si>
  <si>
    <t>TR612</t>
  </si>
  <si>
    <t>Isparta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</si>
  <si>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</si>
  <si>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</si>
  <si>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</si>
  <si>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</si>
  <si>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</si>
  <si>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</si>
  <si>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</si>
  <si>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</si>
  <si>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</si>
  <si>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</si>
  <si>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</si>
  <si>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</si>
  <si>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</si>
  <si>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</si>
  <si>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</si>
  <si>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</si>
  <si>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</si>
  <si>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</si>
  <si>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</si>
  <si>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</si>
  <si>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</si>
  <si>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</si>
  <si>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TR721</t>
  </si>
  <si>
    <t>Kayseri</t>
  </si>
  <si>
    <t>TR722</t>
  </si>
  <si>
    <t>Sivas</t>
  </si>
  <si>
    <t>(1) İstatistiki Bölge Birimleri Sınıflaması.</t>
  </si>
  <si>
    <t>TR723</t>
  </si>
  <si>
    <t>Yozgat</t>
  </si>
  <si>
    <t>TR811</t>
  </si>
  <si>
    <t>Zonguldak</t>
  </si>
  <si>
    <t>TR812</t>
  </si>
  <si>
    <t>Karabük</t>
  </si>
  <si>
    <t>TR813</t>
  </si>
  <si>
    <t>Bartın</t>
  </si>
  <si>
    <t>TR821</t>
  </si>
  <si>
    <t>Kastamonu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</si>
  <si>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</si>
  <si>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</si>
  <si>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</si>
  <si>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</si>
  <si>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</si>
  <si>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</si>
  <si>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</si>
  <si>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</si>
  <si>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</si>
  <si>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</si>
  <si>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</si>
  <si>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</si>
  <si>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</si>
  <si>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</si>
  <si>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</si>
  <si>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</si>
  <si>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</si>
  <si>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</si>
  <si>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</si>
  <si>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</si>
  <si>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</si>
  <si>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</si>
  <si>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</si>
  <si>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</si>
  <si>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</si>
  <si>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</si>
  <si>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</si>
  <si>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</si>
  <si>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</si>
  <si>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</si>
  <si>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</si>
  <si>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</si>
  <si>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</si>
  <si>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</si>
  <si>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</si>
  <si>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</si>
  <si>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</si>
  <si>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</si>
  <si>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</si>
  <si>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</si>
  <si>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</si>
  <si>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</si>
  <si>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</si>
  <si>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</si>
  <si>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</si>
  <si>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</si>
  <si>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</si>
  <si>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</si>
  <si>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</si>
  <si>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</si>
  <si>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</si>
  <si>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</si>
  <si>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</si>
  <si>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</si>
  <si>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</si>
  <si>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</si>
  <si>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</si>
  <si>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</si>
  <si>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</si>
  <si>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</si>
  <si>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</si>
  <si>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</si>
  <si>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</si>
  <si>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</si>
  <si>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</si>
  <si>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</si>
  <si>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</si>
  <si>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</si>
  <si>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</si>
  <si>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</si>
  <si>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</si>
  <si>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</si>
  <si>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DSİ Tarafından İşletilen Sulamalar</t>
  </si>
  <si>
    <t>2.2.5.İller Bazında İşletme Durumuna Göre Sulama Alanları, 2013-2014</t>
  </si>
  <si>
    <r>
      <t>İBBS</t>
    </r>
    <r>
      <rPr>
        <b/>
        <vertAlign val="superscript"/>
        <sz val="12"/>
        <rFont val="Times New Roman"/>
        <family val="1"/>
        <charset val="162"/>
      </rPr>
      <t xml:space="preserve">(1) </t>
    </r>
    <r>
      <rPr>
        <b/>
        <sz val="12"/>
        <rFont val="Times New Roman"/>
        <family val="1"/>
        <charset val="162"/>
      </rPr>
      <t xml:space="preserve">- 3. Düzey         </t>
    </r>
  </si>
  <si>
    <t>(ha)</t>
  </si>
  <si>
    <t xml:space="preserve">Tarife Uygulanan </t>
  </si>
  <si>
    <t xml:space="preserve">Tarife Uygulanmayan </t>
  </si>
  <si>
    <t xml:space="preserve">DSİ Tarafından Çeşitli Kuruluşlara Devredilen Sulama Alanları </t>
  </si>
  <si>
    <t xml:space="preserve">Bedeli Karşılığında inşa edilen Sulamalar </t>
  </si>
  <si>
    <t xml:space="preserve">Sulama Kooperatiflerince İşletilen Sulama Alanları </t>
  </si>
  <si>
    <t xml:space="preserve">Sulama Alanı </t>
  </si>
  <si>
    <t>İBBS(1) - 3. Düzey</t>
  </si>
  <si>
    <t>İller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</si>
</sst>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\ ###\ ###"/>
  </numFmts>
  <fonts count="11" x14ac:knownFonts="1">
    <font>
      <sz val="11"/>
      <color theme="1"/>
      <name val="Calibri"/>
      <family val="2"/>
      <scheme val="minor"/>
    </font>
    <font>
      <sz val="10"/>
      <name val="Arial Tur"/>
      <charset val="162"/>
    </font>
    <font>
      <sz val="10"/>
      <name val="Arial"/>
      <family val="2"/>
      <charset val="162"/>
    </font>
    <font>
      <sz val="11"/>
      <color theme="1"/>
      <name val="Times New Roman"/>
      <family val="1"/>
      <charset val="162"/>
    </font>
    <font>
      <sz val="12"/>
      <color rgb="FF00B050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  <font>
      <b/>
      <vertAlign val="superscript"/>
      <sz val="12"/>
      <name val="Times New Roman"/>
      <family val="1"/>
      <charset val="162"/>
    </font>
    <font>
      <sz val="11"/>
      <color theme="0"/>
      <name val="Calibri"/>
      <family val="2"/>
      <scheme val="minor"/>
    </font>
    <font>
      <sz val="12"/>
      <color theme="0"/>
      <name val="Times New Roman"/>
      <family val="1"/>
      <charset val="162"/>
    </font>
    <font>
      <b/>
      <sz val="12"/>
      <color theme="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62">
    <xf numFmtId="0" fontId="0" fillId="0" borderId="0" xfId="0"/>
    <xf numFmtId="0" fontId="0" fillId="2" borderId="0" xfId="0" applyFill="1" applyBorder="1"/>
    <xf numFmtId="0" fontId="0" fillId="0" borderId="0" xfId="0" applyBorder="1"/>
    <xf numFmtId="0" fontId="3" fillId="2" borderId="0" xfId="0" applyFont="1" applyFill="1" applyBorder="1"/>
    <xf numFmtId="164" fontId="4" fillId="0" borderId="0" xfId="0" applyNumberFormat="1" applyFont="1" applyBorder="1" applyAlignment="1">
      <alignment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23" xfId="3" applyFont="1" applyFill="1" applyBorder="1" applyAlignment="1">
      <alignment vertical="center" shrinkToFit="1"/>
    </xf>
    <xf numFmtId="0" fontId="6" fillId="2" borderId="10" xfId="3" applyFont="1" applyFill="1" applyBorder="1" applyAlignment="1">
      <alignment vertical="center" shrinkToFit="1"/>
    </xf>
    <xf numFmtId="0" fontId="5" fillId="2" borderId="24" xfId="3" applyFont="1" applyFill="1" applyBorder="1" applyAlignment="1">
      <alignment vertical="center" shrinkToFit="1"/>
    </xf>
    <xf numFmtId="0" fontId="5" fillId="2" borderId="3" xfId="3" applyFont="1" applyFill="1" applyBorder="1" applyAlignment="1">
      <alignment vertical="center" shrinkToFit="1"/>
    </xf>
    <xf numFmtId="0" fontId="6" fillId="2" borderId="11" xfId="3" applyFont="1" applyFill="1" applyBorder="1" applyAlignment="1">
      <alignment vertical="center" shrinkToFit="1"/>
    </xf>
    <xf numFmtId="0" fontId="5" fillId="2" borderId="16" xfId="3" applyFont="1" applyFill="1" applyBorder="1" applyAlignment="1">
      <alignment vertical="center" shrinkToFit="1"/>
    </xf>
    <xf numFmtId="0" fontId="6" fillId="2" borderId="0" xfId="2" applyFont="1" applyFill="1" applyBorder="1" applyAlignment="1">
      <alignment vertical="center"/>
    </xf>
    <xf numFmtId="0" fontId="5" fillId="2" borderId="0" xfId="0" applyFont="1" applyFill="1" applyBorder="1"/>
    <xf numFmtId="164" fontId="6" fillId="2" borderId="5" xfId="0" applyNumberFormat="1" applyFont="1" applyFill="1" applyBorder="1" applyAlignment="1">
      <alignment horizontal="left" vertical="center"/>
    </xf>
    <xf numFmtId="164" fontId="6" fillId="2" borderId="27" xfId="0" applyNumberFormat="1" applyFont="1" applyFill="1" applyBorder="1" applyAlignment="1">
      <alignment horizontal="left" vertical="center"/>
    </xf>
    <xf numFmtId="164" fontId="6" fillId="2" borderId="28" xfId="0" applyNumberFormat="1" applyFont="1" applyFill="1" applyBorder="1" applyAlignment="1">
      <alignment horizontal="left" vertical="center"/>
    </xf>
    <xf numFmtId="164" fontId="6" fillId="2" borderId="6" xfId="0" applyNumberFormat="1" applyFont="1" applyFill="1" applyBorder="1" applyAlignment="1">
      <alignment horizontal="right" vertical="center"/>
    </xf>
    <xf numFmtId="0" fontId="6" fillId="2" borderId="14" xfId="3" applyFont="1" applyFill="1" applyBorder="1" applyAlignment="1">
      <alignment vertical="center" shrinkToFit="1"/>
    </xf>
    <xf numFmtId="0" fontId="6" fillId="2" borderId="31" xfId="3" applyFont="1" applyFill="1" applyBorder="1" applyAlignment="1">
      <alignment vertical="center" shrinkToFit="1"/>
    </xf>
    <xf numFmtId="3" fontId="6" fillId="2" borderId="32" xfId="0" applyNumberFormat="1" applyFont="1" applyFill="1" applyBorder="1"/>
    <xf numFmtId="3" fontId="6" fillId="2" borderId="13" xfId="0" applyNumberFormat="1" applyFont="1" applyFill="1" applyBorder="1"/>
    <xf numFmtId="3" fontId="6" fillId="2" borderId="14" xfId="0" applyNumberFormat="1" applyFont="1" applyFill="1" applyBorder="1"/>
    <xf numFmtId="3" fontId="6" fillId="2" borderId="25" xfId="0" applyNumberFormat="1" applyFont="1" applyFill="1" applyBorder="1"/>
    <xf numFmtId="3" fontId="6" fillId="2" borderId="26" xfId="0" applyNumberFormat="1" applyFont="1" applyFill="1" applyBorder="1"/>
    <xf numFmtId="3" fontId="5" fillId="2" borderId="21" xfId="0" applyNumberFormat="1" applyFont="1" applyFill="1" applyBorder="1"/>
    <xf numFmtId="3" fontId="5" fillId="2" borderId="2" xfId="0" applyNumberFormat="1" applyFont="1" applyFill="1" applyBorder="1"/>
    <xf numFmtId="3" fontId="5" fillId="2" borderId="24" xfId="0" applyNumberFormat="1" applyFont="1" applyFill="1" applyBorder="1"/>
    <xf numFmtId="3" fontId="5" fillId="2" borderId="20" xfId="0" applyNumberFormat="1" applyFont="1" applyFill="1" applyBorder="1"/>
    <xf numFmtId="3" fontId="5" fillId="2" borderId="1" xfId="0" applyNumberFormat="1" applyFont="1" applyFill="1" applyBorder="1"/>
    <xf numFmtId="3" fontId="5" fillId="2" borderId="3" xfId="0" applyNumberFormat="1" applyFont="1" applyFill="1" applyBorder="1"/>
    <xf numFmtId="3" fontId="5" fillId="2" borderId="3" xfId="0" applyNumberFormat="1" applyFont="1" applyFill="1" applyBorder="1" applyAlignment="1">
      <alignment horizontal="right"/>
    </xf>
    <xf numFmtId="3" fontId="5" fillId="2" borderId="22" xfId="0" applyNumberFormat="1" applyFont="1" applyFill="1" applyBorder="1"/>
    <xf numFmtId="3" fontId="5" fillId="2" borderId="12" xfId="0" applyNumberFormat="1" applyFont="1" applyFill="1" applyBorder="1"/>
    <xf numFmtId="3" fontId="5" fillId="2" borderId="16" xfId="0" applyNumberFormat="1" applyFont="1" applyFill="1" applyBorder="1" applyAlignment="1">
      <alignment horizontal="right"/>
    </xf>
    <xf numFmtId="0" fontId="8" fillId="0" borderId="0" xfId="0" applyFont="1" applyBorder="1"/>
    <xf numFmtId="164" fontId="9" fillId="0" borderId="0" xfId="0" applyNumberFormat="1" applyFont="1" applyBorder="1" applyAlignment="1">
      <alignment vertical="center"/>
    </xf>
    <xf numFmtId="0" fontId="10" fillId="2" borderId="0" xfId="0" applyFont="1" applyFill="1" applyBorder="1"/>
    <xf numFmtId="0" fontId="6" fillId="2" borderId="27" xfId="1" applyFont="1" applyFill="1" applyBorder="1" applyAlignment="1">
      <alignment horizontal="center" vertical="center" wrapText="1"/>
    </xf>
    <xf numFmtId="0" fontId="6" fillId="2" borderId="29" xfId="1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>
      <alignment horizontal="center" vertical="center" wrapText="1"/>
    </xf>
    <xf numFmtId="0" fontId="6" fillId="2" borderId="34" xfId="1" applyFont="1" applyFill="1" applyBorder="1" applyAlignment="1">
      <alignment horizontal="center" vertical="center" wrapText="1"/>
    </xf>
    <xf numFmtId="0" fontId="6" fillId="2" borderId="35" xfId="1" applyFont="1" applyFill="1" applyBorder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left" vertical="center"/>
    </xf>
    <xf numFmtId="164" fontId="6" fillId="2" borderId="5" xfId="0" applyNumberFormat="1" applyFont="1" applyFill="1" applyBorder="1" applyAlignment="1">
      <alignment horizontal="left" vertical="center"/>
    </xf>
    <xf numFmtId="164" fontId="6" fillId="2" borderId="6" xfId="0" applyNumberFormat="1" applyFont="1" applyFill="1" applyBorder="1" applyAlignment="1">
      <alignment horizontal="left" vertical="center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4" applyFont="1" applyFill="1" applyBorder="1" applyAlignment="1">
      <alignment horizontal="center" vertical="center" wrapText="1"/>
    </xf>
    <xf numFmtId="0" fontId="6" fillId="2" borderId="16" xfId="4" applyFont="1" applyFill="1" applyBorder="1" applyAlignment="1">
      <alignment horizontal="center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19" xfId="4" applyFont="1" applyFill="1" applyBorder="1" applyAlignment="1">
      <alignment horizontal="center" vertical="center" wrapText="1"/>
    </xf>
    <xf numFmtId="0" fontId="6" fillId="2" borderId="14" xfId="4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4"/>
    <cellStyle name="Normal 6" xfId="3"/>
    <cellStyle name="Normal_2004 sonu itibariyle faaliyetler" xfId="1"/>
    <cellStyle name="Normal_BEŞ YILLIK KALKINMA PLANI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2.2.5.2014 Yılına Göre İl Bazında Sulama Alanı Değişimi (ha)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068354169460562E-2"/>
          <c:y val="0.11096781579354112"/>
          <c:w val="0.93807678245357351"/>
          <c:h val="0.8068065807147912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Lbl>
              <c:idx val="1"/>
              <c:layout>
                <c:manualLayout>
                  <c:x val="-7.2852517741342774E-18"/>
                  <c:y val="4.46528211511764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layout>
                <c:manualLayout>
                  <c:x val="0"/>
                  <c:y val="5.71556110735059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layout>
                <c:manualLayout>
                  <c:x val="7.947013402348045E-4"/>
                  <c:y val="9.4664121479300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0"/>
              <c:layout>
                <c:manualLayout>
                  <c:x val="0"/>
                  <c:y val="8.7520092011532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6"/>
              <c:layout>
                <c:manualLayout>
                  <c:x val="7.9476392007103063E-4"/>
                  <c:y val="3.9294482613035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8"/>
              <c:layout>
                <c:manualLayout>
                  <c:x val="7.9476392007103063E-4"/>
                  <c:y val="9.82363471713949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9"/>
              <c:layout>
                <c:manualLayout>
                  <c:x val="-7.9476392007103063E-4"/>
                  <c:y val="7.14447951194958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0"/>
              <c:layout>
                <c:manualLayout>
                  <c:x val="0"/>
                  <c:y val="6.60863159425479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0"/>
              <c:layout>
                <c:manualLayout>
                  <c:x val="-1.1656402838614844E-16"/>
                  <c:y val="5.17972725353648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5"/>
              <c:layout>
                <c:manualLayout>
                  <c:x val="-6.25798362260654E-8"/>
                  <c:y val="0.19468644085793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" sourceLinked="0"/>
            <c:txPr>
              <a:bodyPr rot="-5400000" vert="horz"/>
              <a:lstStyle/>
              <a:p>
                <a:pPr>
                  <a:defRPr sz="105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'2.2.5.Tablo'!$C$8:$C$88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'2.2.5.Tablo'!$Q$8:$Q$88</c:f>
              <c:numCache>
                <c:formatCode>General</c:formatCode>
                <c:ptCount val="81"/>
                <c:pt idx="0">
                  <c:v>0</c:v>
                </c:pt>
                <c:pt idx="1">
                  <c:v>-20</c:v>
                </c:pt>
                <c:pt idx="2">
                  <c:v>1502</c:v>
                </c:pt>
                <c:pt idx="3">
                  <c:v>889</c:v>
                </c:pt>
                <c:pt idx="4">
                  <c:v>7300</c:v>
                </c:pt>
                <c:pt idx="5">
                  <c:v>4468</c:v>
                </c:pt>
                <c:pt idx="6">
                  <c:v>1175</c:v>
                </c:pt>
                <c:pt idx="7">
                  <c:v>135</c:v>
                </c:pt>
                <c:pt idx="8">
                  <c:v>3796</c:v>
                </c:pt>
                <c:pt idx="9">
                  <c:v>-149</c:v>
                </c:pt>
                <c:pt idx="10">
                  <c:v>2137</c:v>
                </c:pt>
                <c:pt idx="11">
                  <c:v>8368</c:v>
                </c:pt>
                <c:pt idx="12">
                  <c:v>560</c:v>
                </c:pt>
                <c:pt idx="13">
                  <c:v>2002</c:v>
                </c:pt>
                <c:pt idx="14">
                  <c:v>2224</c:v>
                </c:pt>
                <c:pt idx="15">
                  <c:v>-1116</c:v>
                </c:pt>
                <c:pt idx="16">
                  <c:v>258</c:v>
                </c:pt>
                <c:pt idx="17">
                  <c:v>576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4967</c:v>
                </c:pt>
                <c:pt idx="24">
                  <c:v>45</c:v>
                </c:pt>
                <c:pt idx="25">
                  <c:v>0</c:v>
                </c:pt>
                <c:pt idx="26">
                  <c:v>1204</c:v>
                </c:pt>
                <c:pt idx="27">
                  <c:v>6735</c:v>
                </c:pt>
                <c:pt idx="28">
                  <c:v>24241</c:v>
                </c:pt>
                <c:pt idx="29">
                  <c:v>60</c:v>
                </c:pt>
                <c:pt idx="30">
                  <c:v>-1131</c:v>
                </c:pt>
                <c:pt idx="31">
                  <c:v>4381</c:v>
                </c:pt>
                <c:pt idx="32">
                  <c:v>689</c:v>
                </c:pt>
                <c:pt idx="33">
                  <c:v>0</c:v>
                </c:pt>
                <c:pt idx="34">
                  <c:v>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5207</c:v>
                </c:pt>
                <c:pt idx="39">
                  <c:v>386</c:v>
                </c:pt>
                <c:pt idx="40">
                  <c:v>604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-7</c:v>
                </c:pt>
                <c:pt idx="47">
                  <c:v>5525</c:v>
                </c:pt>
                <c:pt idx="48">
                  <c:v>-1261</c:v>
                </c:pt>
                <c:pt idx="49">
                  <c:v>-773</c:v>
                </c:pt>
                <c:pt idx="50">
                  <c:v>-186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89</c:v>
                </c:pt>
                <c:pt idx="57">
                  <c:v>1161</c:v>
                </c:pt>
                <c:pt idx="58">
                  <c:v>534</c:v>
                </c:pt>
                <c:pt idx="59">
                  <c:v>0</c:v>
                </c:pt>
                <c:pt idx="60">
                  <c:v>-59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133</c:v>
                </c:pt>
                <c:pt idx="65">
                  <c:v>-5950</c:v>
                </c:pt>
                <c:pt idx="66">
                  <c:v>71</c:v>
                </c:pt>
                <c:pt idx="67">
                  <c:v>1757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1568</c:v>
                </c:pt>
                <c:pt idx="73">
                  <c:v>187</c:v>
                </c:pt>
                <c:pt idx="74">
                  <c:v>0</c:v>
                </c:pt>
                <c:pt idx="75">
                  <c:v>0</c:v>
                </c:pt>
                <c:pt idx="76">
                  <c:v>2315</c:v>
                </c:pt>
                <c:pt idx="77">
                  <c:v>0</c:v>
                </c:pt>
                <c:pt idx="78">
                  <c:v>1500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193920"/>
        <c:axId val="79816960"/>
      </c:barChart>
      <c:catAx>
        <c:axId val="13019392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79816960"/>
        <c:crosses val="autoZero"/>
        <c:auto val="1"/>
        <c:lblAlgn val="ctr"/>
        <c:lblOffset val="1000"/>
        <c:noMultiLvlLbl val="0"/>
      </c:catAx>
      <c:valAx>
        <c:axId val="7981696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tr-TR"/>
          </a:p>
        </c:txPr>
        <c:crossAx val="130193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2.2.5.İl Bazında Sulama Alanı, 2013-2014 Yılları Karşılaştırması (ha)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7003309872089392E-2"/>
          <c:y val="0.117976753352415"/>
          <c:w val="0.94294416306568818"/>
          <c:h val="0.71068787432392833"/>
        </c:manualLayout>
      </c:layout>
      <c:barChart>
        <c:barDir val="col"/>
        <c:grouping val="clustered"/>
        <c:varyColors val="0"/>
        <c:ser>
          <c:idx val="0"/>
          <c:order val="0"/>
          <c:tx>
            <c:v>2013</c:v>
          </c:tx>
          <c:invertIfNegative val="0"/>
          <c:dLbls>
            <c:txPr>
              <a:bodyPr rot="-5400000" vert="horz"/>
              <a:lstStyle/>
              <a:p>
                <a:pPr>
                  <a:defRPr sz="800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'2.2.5.Tablo'!$C$8:$C$88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'2.2.5.Tablo'!$I$8:$I$88</c:f>
              <c:numCache>
                <c:formatCode>#,##0</c:formatCode>
                <c:ptCount val="81"/>
                <c:pt idx="0">
                  <c:v>45</c:v>
                </c:pt>
                <c:pt idx="1">
                  <c:v>13777</c:v>
                </c:pt>
                <c:pt idx="2">
                  <c:v>42175</c:v>
                </c:pt>
                <c:pt idx="3">
                  <c:v>33443</c:v>
                </c:pt>
                <c:pt idx="4">
                  <c:v>51310</c:v>
                </c:pt>
                <c:pt idx="5">
                  <c:v>36234</c:v>
                </c:pt>
                <c:pt idx="6">
                  <c:v>53416</c:v>
                </c:pt>
                <c:pt idx="7">
                  <c:v>94614</c:v>
                </c:pt>
                <c:pt idx="8">
                  <c:v>112604</c:v>
                </c:pt>
                <c:pt idx="9">
                  <c:v>23577</c:v>
                </c:pt>
                <c:pt idx="10">
                  <c:v>97726</c:v>
                </c:pt>
                <c:pt idx="11">
                  <c:v>79968</c:v>
                </c:pt>
                <c:pt idx="12">
                  <c:v>25034</c:v>
                </c:pt>
                <c:pt idx="13">
                  <c:v>5877</c:v>
                </c:pt>
                <c:pt idx="14">
                  <c:v>63871</c:v>
                </c:pt>
                <c:pt idx="15">
                  <c:v>84082</c:v>
                </c:pt>
                <c:pt idx="16">
                  <c:v>12205</c:v>
                </c:pt>
                <c:pt idx="17">
                  <c:v>3423</c:v>
                </c:pt>
                <c:pt idx="18">
                  <c:v>8076</c:v>
                </c:pt>
                <c:pt idx="19">
                  <c:v>11000</c:v>
                </c:pt>
                <c:pt idx="20">
                  <c:v>8950</c:v>
                </c:pt>
                <c:pt idx="22">
                  <c:v>17210</c:v>
                </c:pt>
                <c:pt idx="23">
                  <c:v>280818</c:v>
                </c:pt>
                <c:pt idx="24">
                  <c:v>54325</c:v>
                </c:pt>
                <c:pt idx="25">
                  <c:v>97105</c:v>
                </c:pt>
                <c:pt idx="26">
                  <c:v>68166</c:v>
                </c:pt>
                <c:pt idx="27">
                  <c:v>37814</c:v>
                </c:pt>
                <c:pt idx="28">
                  <c:v>212159</c:v>
                </c:pt>
                <c:pt idx="29">
                  <c:v>42537</c:v>
                </c:pt>
                <c:pt idx="30">
                  <c:v>43935</c:v>
                </c:pt>
                <c:pt idx="31">
                  <c:v>37814</c:v>
                </c:pt>
                <c:pt idx="32">
                  <c:v>57649</c:v>
                </c:pt>
                <c:pt idx="33">
                  <c:v>1247</c:v>
                </c:pt>
                <c:pt idx="34">
                  <c:v>32274</c:v>
                </c:pt>
                <c:pt idx="35">
                  <c:v>27759</c:v>
                </c:pt>
                <c:pt idx="36">
                  <c:v>7204</c:v>
                </c:pt>
                <c:pt idx="37">
                  <c:v>16089</c:v>
                </c:pt>
                <c:pt idx="38">
                  <c:v>59283</c:v>
                </c:pt>
                <c:pt idx="39">
                  <c:v>30863</c:v>
                </c:pt>
                <c:pt idx="40">
                  <c:v>29660</c:v>
                </c:pt>
                <c:pt idx="42">
                  <c:v>800</c:v>
                </c:pt>
                <c:pt idx="44">
                  <c:v>24811</c:v>
                </c:pt>
                <c:pt idx="45">
                  <c:v>14041</c:v>
                </c:pt>
                <c:pt idx="46">
                  <c:v>6184</c:v>
                </c:pt>
                <c:pt idx="47">
                  <c:v>27717</c:v>
                </c:pt>
                <c:pt idx="48">
                  <c:v>48739</c:v>
                </c:pt>
                <c:pt idx="49">
                  <c:v>4898</c:v>
                </c:pt>
                <c:pt idx="50">
                  <c:v>47530</c:v>
                </c:pt>
                <c:pt idx="53">
                  <c:v>419</c:v>
                </c:pt>
                <c:pt idx="56">
                  <c:v>4444</c:v>
                </c:pt>
                <c:pt idx="57">
                  <c:v>50760</c:v>
                </c:pt>
                <c:pt idx="58">
                  <c:v>43836</c:v>
                </c:pt>
                <c:pt idx="59">
                  <c:v>12825</c:v>
                </c:pt>
                <c:pt idx="60">
                  <c:v>9500</c:v>
                </c:pt>
                <c:pt idx="61">
                  <c:v>7282</c:v>
                </c:pt>
                <c:pt idx="62">
                  <c:v>62810</c:v>
                </c:pt>
                <c:pt idx="64">
                  <c:v>67760</c:v>
                </c:pt>
                <c:pt idx="65">
                  <c:v>24204</c:v>
                </c:pt>
                <c:pt idx="66">
                  <c:v>8032</c:v>
                </c:pt>
                <c:pt idx="68">
                  <c:v>47976</c:v>
                </c:pt>
                <c:pt idx="69">
                  <c:v>22585</c:v>
                </c:pt>
                <c:pt idx="70">
                  <c:v>5632</c:v>
                </c:pt>
                <c:pt idx="72">
                  <c:v>21536</c:v>
                </c:pt>
                <c:pt idx="73">
                  <c:v>14069</c:v>
                </c:pt>
                <c:pt idx="74">
                  <c:v>718</c:v>
                </c:pt>
                <c:pt idx="75">
                  <c:v>206250</c:v>
                </c:pt>
                <c:pt idx="76">
                  <c:v>27236</c:v>
                </c:pt>
                <c:pt idx="77">
                  <c:v>8997</c:v>
                </c:pt>
                <c:pt idx="78">
                  <c:v>7550</c:v>
                </c:pt>
                <c:pt idx="79">
                  <c:v>2923</c:v>
                </c:pt>
              </c:numCache>
            </c:numRef>
          </c:val>
        </c:ser>
        <c:ser>
          <c:idx val="1"/>
          <c:order val="1"/>
          <c:tx>
            <c:v>2014</c:v>
          </c:tx>
          <c:invertIfNegative val="0"/>
          <c:dLbls>
            <c:dLbl>
              <c:idx val="21"/>
              <c:delete val="1"/>
            </c:dLbl>
            <c:dLbl>
              <c:idx val="41"/>
              <c:delete val="1"/>
            </c:dLbl>
            <c:dLbl>
              <c:idx val="43"/>
              <c:delete val="1"/>
            </c:dLbl>
            <c:dLbl>
              <c:idx val="51"/>
              <c:delete val="1"/>
            </c:dLbl>
            <c:dLbl>
              <c:idx val="52"/>
              <c:delete val="1"/>
            </c:dLbl>
            <c:dLbl>
              <c:idx val="54"/>
              <c:delete val="1"/>
            </c:dLbl>
            <c:dLbl>
              <c:idx val="55"/>
              <c:delete val="1"/>
            </c:dLbl>
            <c:dLbl>
              <c:idx val="63"/>
              <c:delete val="1"/>
            </c:dLbl>
            <c:dLbl>
              <c:idx val="71"/>
              <c:delete val="1"/>
            </c:dLbl>
            <c:dLbl>
              <c:idx val="80"/>
              <c:delete val="1"/>
            </c:dLbl>
            <c:txPr>
              <a:bodyPr rot="-5400000" vert="horz"/>
              <a:lstStyle/>
              <a:p>
                <a:pPr>
                  <a:defRPr sz="800">
                    <a:solidFill>
                      <a:srgbClr val="FF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'2.2.5.Tablo'!$C$8:$C$88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'2.2.5.Tablo'!$O$8:$O$88</c:f>
              <c:numCache>
                <c:formatCode>#,##0</c:formatCode>
                <c:ptCount val="81"/>
                <c:pt idx="0">
                  <c:v>45</c:v>
                </c:pt>
                <c:pt idx="1">
                  <c:v>13757</c:v>
                </c:pt>
                <c:pt idx="2">
                  <c:v>43677</c:v>
                </c:pt>
                <c:pt idx="3">
                  <c:v>34332</c:v>
                </c:pt>
                <c:pt idx="4">
                  <c:v>58610</c:v>
                </c:pt>
                <c:pt idx="5">
                  <c:v>40702</c:v>
                </c:pt>
                <c:pt idx="6">
                  <c:v>54591</c:v>
                </c:pt>
                <c:pt idx="7">
                  <c:v>94749</c:v>
                </c:pt>
                <c:pt idx="8">
                  <c:v>116400</c:v>
                </c:pt>
                <c:pt idx="9">
                  <c:v>23428</c:v>
                </c:pt>
                <c:pt idx="10">
                  <c:v>99863</c:v>
                </c:pt>
                <c:pt idx="11">
                  <c:v>88336</c:v>
                </c:pt>
                <c:pt idx="12">
                  <c:v>25594</c:v>
                </c:pt>
                <c:pt idx="13">
                  <c:v>7879</c:v>
                </c:pt>
                <c:pt idx="14">
                  <c:v>66095</c:v>
                </c:pt>
                <c:pt idx="15">
                  <c:v>82966</c:v>
                </c:pt>
                <c:pt idx="16">
                  <c:v>12463</c:v>
                </c:pt>
                <c:pt idx="17">
                  <c:v>3999</c:v>
                </c:pt>
                <c:pt idx="18">
                  <c:v>8076</c:v>
                </c:pt>
                <c:pt idx="19">
                  <c:v>11000</c:v>
                </c:pt>
                <c:pt idx="20">
                  <c:v>8950</c:v>
                </c:pt>
                <c:pt idx="21">
                  <c:v>0</c:v>
                </c:pt>
                <c:pt idx="22">
                  <c:v>17210</c:v>
                </c:pt>
                <c:pt idx="23">
                  <c:v>285785</c:v>
                </c:pt>
                <c:pt idx="24">
                  <c:v>54370</c:v>
                </c:pt>
                <c:pt idx="25">
                  <c:v>97105</c:v>
                </c:pt>
                <c:pt idx="26">
                  <c:v>69370</c:v>
                </c:pt>
                <c:pt idx="27">
                  <c:v>44549</c:v>
                </c:pt>
                <c:pt idx="28">
                  <c:v>236400</c:v>
                </c:pt>
                <c:pt idx="29">
                  <c:v>42597</c:v>
                </c:pt>
                <c:pt idx="30">
                  <c:v>42804</c:v>
                </c:pt>
                <c:pt idx="31">
                  <c:v>42195</c:v>
                </c:pt>
                <c:pt idx="32">
                  <c:v>58338</c:v>
                </c:pt>
                <c:pt idx="33">
                  <c:v>1247</c:v>
                </c:pt>
                <c:pt idx="34">
                  <c:v>32278</c:v>
                </c:pt>
                <c:pt idx="35">
                  <c:v>27759</c:v>
                </c:pt>
                <c:pt idx="36">
                  <c:v>7204</c:v>
                </c:pt>
                <c:pt idx="37">
                  <c:v>16089</c:v>
                </c:pt>
                <c:pt idx="38">
                  <c:v>64490</c:v>
                </c:pt>
                <c:pt idx="39">
                  <c:v>31249</c:v>
                </c:pt>
                <c:pt idx="40">
                  <c:v>30264</c:v>
                </c:pt>
                <c:pt idx="41">
                  <c:v>0</c:v>
                </c:pt>
                <c:pt idx="42">
                  <c:v>800</c:v>
                </c:pt>
                <c:pt idx="43">
                  <c:v>0</c:v>
                </c:pt>
                <c:pt idx="44">
                  <c:v>24811</c:v>
                </c:pt>
                <c:pt idx="45">
                  <c:v>14041</c:v>
                </c:pt>
                <c:pt idx="46">
                  <c:v>6177</c:v>
                </c:pt>
                <c:pt idx="47">
                  <c:v>33242</c:v>
                </c:pt>
                <c:pt idx="48">
                  <c:v>47478</c:v>
                </c:pt>
                <c:pt idx="49">
                  <c:v>4125</c:v>
                </c:pt>
                <c:pt idx="50">
                  <c:v>47344</c:v>
                </c:pt>
                <c:pt idx="51">
                  <c:v>0</c:v>
                </c:pt>
                <c:pt idx="52">
                  <c:v>0</c:v>
                </c:pt>
                <c:pt idx="53">
                  <c:v>419</c:v>
                </c:pt>
                <c:pt idx="54">
                  <c:v>0</c:v>
                </c:pt>
                <c:pt idx="55">
                  <c:v>0</c:v>
                </c:pt>
                <c:pt idx="56">
                  <c:v>4533</c:v>
                </c:pt>
                <c:pt idx="57">
                  <c:v>51921</c:v>
                </c:pt>
                <c:pt idx="58">
                  <c:v>44370</c:v>
                </c:pt>
                <c:pt idx="59">
                  <c:v>12825</c:v>
                </c:pt>
                <c:pt idx="60">
                  <c:v>9441</c:v>
                </c:pt>
                <c:pt idx="61">
                  <c:v>7282</c:v>
                </c:pt>
                <c:pt idx="62">
                  <c:v>62810</c:v>
                </c:pt>
                <c:pt idx="63">
                  <c:v>0</c:v>
                </c:pt>
                <c:pt idx="64">
                  <c:v>67893</c:v>
                </c:pt>
                <c:pt idx="65">
                  <c:v>18254</c:v>
                </c:pt>
                <c:pt idx="66">
                  <c:v>8103</c:v>
                </c:pt>
                <c:pt idx="67">
                  <c:v>1757</c:v>
                </c:pt>
                <c:pt idx="68">
                  <c:v>47976</c:v>
                </c:pt>
                <c:pt idx="69">
                  <c:v>22585</c:v>
                </c:pt>
                <c:pt idx="70">
                  <c:v>5632</c:v>
                </c:pt>
                <c:pt idx="71">
                  <c:v>0</c:v>
                </c:pt>
                <c:pt idx="72">
                  <c:v>23104</c:v>
                </c:pt>
                <c:pt idx="73">
                  <c:v>14256</c:v>
                </c:pt>
                <c:pt idx="74">
                  <c:v>718</c:v>
                </c:pt>
                <c:pt idx="75">
                  <c:v>206250</c:v>
                </c:pt>
                <c:pt idx="76">
                  <c:v>29551</c:v>
                </c:pt>
                <c:pt idx="77">
                  <c:v>8997</c:v>
                </c:pt>
                <c:pt idx="78">
                  <c:v>9050</c:v>
                </c:pt>
                <c:pt idx="79">
                  <c:v>2923</c:v>
                </c:pt>
                <c:pt idx="8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-32"/>
        <c:axId val="130194944"/>
        <c:axId val="79820416"/>
      </c:barChart>
      <c:catAx>
        <c:axId val="13019494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majorTickMark val="out"/>
        <c:minorTickMark val="none"/>
        <c:tickLblPos val="nextTo"/>
        <c:crossAx val="79820416"/>
        <c:crosses val="autoZero"/>
        <c:auto val="1"/>
        <c:lblAlgn val="ctr"/>
        <c:lblOffset val="100"/>
        <c:noMultiLvlLbl val="0"/>
      </c:catAx>
      <c:valAx>
        <c:axId val="7982041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30194944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100" b="1">
                <a:solidFill>
                  <a:schemeClr val="accent1">
                    <a:lumMod val="75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100" b="1">
                <a:solidFill>
                  <a:srgbClr val="FF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32957856002906133"/>
          <c:y val="7.9165074934748822E-2"/>
          <c:w val="0.34618603164227191"/>
          <c:h val="4.1312818901312172E-2"/>
        </c:manualLayout>
      </c:layout>
      <c:overlay val="0"/>
      <c:txPr>
        <a:bodyPr/>
        <a:lstStyle/>
        <a:p>
          <a:pPr>
            <a:defRPr sz="1100" b="1"/>
          </a:pPr>
          <a:endParaRPr lang="tr-T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418819</xdr:colOff>
      <xdr:row>1</xdr:row>
      <xdr:rowOff>49024</xdr:rowOff>
    </xdr:from>
    <xdr:ext cx="381000" cy="261938"/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28613" y="295553"/>
          <a:ext cx="381000" cy="261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142874</xdr:colOff>
      <xdr:row>92</xdr:row>
      <xdr:rowOff>0</xdr:rowOff>
    </xdr:from>
    <xdr:to>
      <xdr:col>16</xdr:col>
      <xdr:colOff>111124</xdr:colOff>
      <xdr:row>129</xdr:row>
      <xdr:rowOff>61913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147545</xdr:colOff>
      <xdr:row>132</xdr:row>
      <xdr:rowOff>3736</xdr:rowOff>
    </xdr:from>
    <xdr:to>
      <xdr:col>16</xdr:col>
      <xdr:colOff>147544</xdr:colOff>
      <xdr:row>163</xdr:row>
      <xdr:rowOff>29930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0.00334</cdr:x>
      <cdr:y>0.00714</cdr:y>
    </cdr:from>
    <cdr:to>
      <cdr:x>0.0284</cdr:x>
      <cdr:y>0.04737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0.45918</cdr:x>
      <cdr:y>0.05861</cdr:y>
    </cdr:from>
    <cdr:to>
      <cdr:x>0.51947</cdr:x>
      <cdr:y>0.21277</cdr:y>
    </cdr:to>
    <cdr:sp macro="" textlink="">
      <cdr:nvSpPr>
        <cdr:cNvPr id="2" name="Metin kutusu 1"/>
        <cdr:cNvSpPr txBox="1"/>
      </cdr:nvSpPr>
      <cdr:spPr>
        <a:xfrm xmlns:a="http://schemas.openxmlformats.org/drawingml/2006/main">
          <a:off x="6965155" y="34766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tr-TR" sz="1100"/>
        </a:p>
      </cdr:txBody>
    </cdr:sp>
  </cdr:relSizeAnchor>
  <cdr:relSizeAnchor xmlns:cdr="http://schemas.openxmlformats.org/drawingml/2006/chartDrawing">
    <cdr:from>
      <cdr:x>0.00335</cdr:x>
      <cdr:y>0.00856</cdr:y>
    </cdr:from>
    <cdr:to>
      <cdr:x>0.02847</cdr:x>
      <cdr:y>0.05679</cdr:y>
    </cdr:to>
    <cdr:pic>
      <cdr:nvPicPr>
        <cdr:cNvPr id="5" name="Resim 4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0"/>
  <sheetViews>
    <sheetView showGridLines="0" tabSelected="1" zoomScale="85" zoomScaleNormal="85" workbookViewId="0">
      <pane ySplit="7" topLeftCell="A8" activePane="bottomLeft" state="frozen"/>
      <selection pane="bottomLeft" activeCell="D34" sqref="D34"/>
    </sheetView>
  </sheetViews>
  <sheetFormatPr defaultRowHeight="15" x14ac:dyDescent="0.25"/>
  <cols>
    <col min="1" max="1" width="1.28515625" style="1" customWidth="1"/>
    <col min="2" max="2" width="12" style="2" customWidth="1"/>
    <col min="3" max="3" width="13.5703125" style="2" customWidth="1"/>
    <col min="4" max="4" width="21" style="2" customWidth="1"/>
    <col min="5" max="5" width="20.28515625" style="2" customWidth="1"/>
    <col min="6" max="7" width="18.85546875" style="2" customWidth="1"/>
    <col min="8" max="8" width="18" style="2" customWidth="1"/>
    <col min="9" max="9" width="13.28515625" style="2" customWidth="1"/>
    <col min="10" max="10" width="21" style="2" customWidth="1"/>
    <col min="11" max="11" width="20.28515625" style="2" customWidth="1"/>
    <col min="12" max="13" width="18.85546875" style="2" customWidth="1"/>
    <col min="14" max="14" width="18" style="2" customWidth="1"/>
    <col min="15" max="15" width="13.28515625" style="2" customWidth="1"/>
    <col min="16" max="16" width="3.42578125" style="2" customWidth="1"/>
    <col min="17" max="17" width="8.28515625" style="36" customWidth="1"/>
    <col min="18" max="16384" width="9.140625" style="2"/>
  </cols>
  <sheetData>
    <row r="1" spans="1:17" ht="19.5" customHeight="1" thickBot="1" x14ac:dyDescent="0.3"/>
    <row r="2" spans="1:17" ht="33" customHeight="1" thickBot="1" x14ac:dyDescent="0.3">
      <c r="A2" s="3"/>
      <c r="B2" s="45" t="s">
        <v>166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7"/>
      <c r="P2" s="4"/>
      <c r="Q2" s="37"/>
    </row>
    <row r="3" spans="1:17" ht="21.75" customHeight="1" thickBot="1" x14ac:dyDescent="0.3">
      <c r="A3" s="3"/>
      <c r="B3" s="16"/>
      <c r="C3" s="17"/>
      <c r="D3" s="17"/>
      <c r="E3" s="17"/>
      <c r="F3" s="17"/>
      <c r="G3" s="17"/>
      <c r="H3" s="17"/>
      <c r="I3" s="17"/>
      <c r="J3" s="15"/>
      <c r="K3" s="15"/>
      <c r="L3" s="15"/>
      <c r="M3" s="15"/>
      <c r="N3" s="15"/>
      <c r="O3" s="18" t="s">
        <v>168</v>
      </c>
      <c r="P3" s="4"/>
      <c r="Q3" s="37"/>
    </row>
    <row r="4" spans="1:17" ht="27.75" customHeight="1" thickBot="1" x14ac:dyDescent="0.3">
      <c r="A4" s="3"/>
      <c r="B4" s="39" t="s">
        <v>175</v>
      </c>
      <c r="C4" s="42" t="s">
        <v>176</v>
      </c>
      <c r="D4" s="55">
        <v>2013</v>
      </c>
      <c r="E4" s="56"/>
      <c r="F4" s="56"/>
      <c r="G4" s="56"/>
      <c r="H4" s="56"/>
      <c r="I4" s="57"/>
      <c r="J4" s="55">
        <v>2014</v>
      </c>
      <c r="K4" s="56"/>
      <c r="L4" s="56"/>
      <c r="M4" s="56"/>
      <c r="N4" s="56"/>
      <c r="O4" s="57"/>
    </row>
    <row r="5" spans="1:17" ht="33.75" customHeight="1" x14ac:dyDescent="0.25">
      <c r="A5" s="3"/>
      <c r="B5" s="40"/>
      <c r="C5" s="43"/>
      <c r="D5" s="60" t="s">
        <v>165</v>
      </c>
      <c r="E5" s="61"/>
      <c r="F5" s="48" t="s">
        <v>171</v>
      </c>
      <c r="G5" s="48" t="s">
        <v>172</v>
      </c>
      <c r="H5" s="48" t="s">
        <v>173</v>
      </c>
      <c r="I5" s="50" t="s">
        <v>174</v>
      </c>
      <c r="J5" s="58" t="s">
        <v>165</v>
      </c>
      <c r="K5" s="59"/>
      <c r="L5" s="48" t="s">
        <v>171</v>
      </c>
      <c r="M5" s="48" t="s">
        <v>172</v>
      </c>
      <c r="N5" s="48" t="s">
        <v>173</v>
      </c>
      <c r="O5" s="53" t="s">
        <v>174</v>
      </c>
    </row>
    <row r="6" spans="1:17" ht="45" customHeight="1" thickBot="1" x14ac:dyDescent="0.3">
      <c r="A6" s="3"/>
      <c r="B6" s="41"/>
      <c r="C6" s="44"/>
      <c r="D6" s="5" t="s">
        <v>169</v>
      </c>
      <c r="E6" s="6" t="s">
        <v>170</v>
      </c>
      <c r="F6" s="49"/>
      <c r="G6" s="49"/>
      <c r="H6" s="49"/>
      <c r="I6" s="51"/>
      <c r="J6" s="5" t="s">
        <v>169</v>
      </c>
      <c r="K6" s="6" t="s">
        <v>170</v>
      </c>
      <c r="L6" s="49"/>
      <c r="M6" s="49"/>
      <c r="N6" s="49"/>
      <c r="O6" s="54"/>
    </row>
    <row r="7" spans="1:17" ht="16.5" thickBot="1" x14ac:dyDescent="0.3">
      <c r="A7" s="3"/>
      <c r="B7" s="20" t="s">
        <v>0</v>
      </c>
      <c r="C7" s="19" t="s">
        <v>1</v>
      </c>
      <c r="D7" s="21">
        <f>SUM(D8:D88)</f>
        <v>47585</v>
      </c>
      <c r="E7" s="22">
        <f t="shared" ref="E7:O7" si="0">SUM(E8:E88)</f>
        <v>95155</v>
      </c>
      <c r="F7" s="22">
        <f t="shared" si="0"/>
        <v>2208936</v>
      </c>
      <c r="G7" s="22">
        <f t="shared" si="0"/>
        <v>17285</v>
      </c>
      <c r="H7" s="22">
        <f t="shared" si="0"/>
        <v>478421</v>
      </c>
      <c r="I7" s="23">
        <f t="shared" si="0"/>
        <v>2847382</v>
      </c>
      <c r="J7" s="24">
        <f>SUM(J8:J88)</f>
        <v>36247</v>
      </c>
      <c r="K7" s="24">
        <f t="shared" si="0"/>
        <v>92265</v>
      </c>
      <c r="L7" s="24">
        <f t="shared" si="0"/>
        <v>2300101</v>
      </c>
      <c r="M7" s="24">
        <f t="shared" si="0"/>
        <v>17285</v>
      </c>
      <c r="N7" s="24">
        <f t="shared" si="0"/>
        <v>489585</v>
      </c>
      <c r="O7" s="25">
        <f t="shared" si="0"/>
        <v>2935483</v>
      </c>
      <c r="Q7" s="38">
        <f>+O7-I7</f>
        <v>88101</v>
      </c>
    </row>
    <row r="8" spans="1:17" ht="15.75" x14ac:dyDescent="0.25">
      <c r="A8" s="3"/>
      <c r="B8" s="7" t="s">
        <v>2</v>
      </c>
      <c r="C8" s="9" t="s">
        <v>3</v>
      </c>
      <c r="D8" s="26"/>
      <c r="E8" s="27"/>
      <c r="F8" s="27"/>
      <c r="G8" s="27">
        <v>45</v>
      </c>
      <c r="H8" s="27"/>
      <c r="I8" s="28">
        <v>45</v>
      </c>
      <c r="J8" s="26"/>
      <c r="K8" s="27"/>
      <c r="L8" s="27"/>
      <c r="M8" s="27">
        <v>45</v>
      </c>
      <c r="N8" s="27"/>
      <c r="O8" s="28">
        <f>+J8+K8+L8+M8+N8</f>
        <v>45</v>
      </c>
      <c r="Q8" s="38">
        <f t="shared" ref="Q8:Q71" si="1">+O8-I8</f>
        <v>0</v>
      </c>
    </row>
    <row r="9" spans="1:17" ht="15.75" x14ac:dyDescent="0.25">
      <c r="A9" s="3"/>
      <c r="B9" s="8" t="s">
        <v>4</v>
      </c>
      <c r="C9" s="10" t="s">
        <v>5</v>
      </c>
      <c r="D9" s="29"/>
      <c r="E9" s="30"/>
      <c r="F9" s="30">
        <v>9260</v>
      </c>
      <c r="G9" s="30">
        <v>47</v>
      </c>
      <c r="H9" s="30">
        <v>4470</v>
      </c>
      <c r="I9" s="31">
        <v>13777</v>
      </c>
      <c r="J9" s="29"/>
      <c r="K9" s="30">
        <v>21</v>
      </c>
      <c r="L9" s="30">
        <v>9239</v>
      </c>
      <c r="M9" s="30">
        <v>47</v>
      </c>
      <c r="N9" s="30">
        <v>4450</v>
      </c>
      <c r="O9" s="31">
        <f t="shared" ref="O9:O72" si="2">+J9+K9+L9+M9+N9</f>
        <v>13757</v>
      </c>
      <c r="Q9" s="38">
        <f t="shared" si="1"/>
        <v>-20</v>
      </c>
    </row>
    <row r="10" spans="1:17" ht="15.75" x14ac:dyDescent="0.25">
      <c r="A10" s="3"/>
      <c r="B10" s="8" t="s">
        <v>6</v>
      </c>
      <c r="C10" s="10" t="s">
        <v>7</v>
      </c>
      <c r="D10" s="29"/>
      <c r="E10" s="30">
        <v>864</v>
      </c>
      <c r="F10" s="30">
        <v>29707</v>
      </c>
      <c r="G10" s="30"/>
      <c r="H10" s="30">
        <v>11604</v>
      </c>
      <c r="I10" s="31">
        <v>42175</v>
      </c>
      <c r="J10" s="29"/>
      <c r="K10" s="30">
        <v>494</v>
      </c>
      <c r="L10" s="30">
        <v>29589</v>
      </c>
      <c r="M10" s="30"/>
      <c r="N10" s="30">
        <v>13594</v>
      </c>
      <c r="O10" s="31">
        <f t="shared" si="2"/>
        <v>43677</v>
      </c>
      <c r="Q10" s="38">
        <f t="shared" si="1"/>
        <v>1502</v>
      </c>
    </row>
    <row r="11" spans="1:17" ht="15.75" x14ac:dyDescent="0.25">
      <c r="A11" s="3"/>
      <c r="B11" s="8" t="s">
        <v>8</v>
      </c>
      <c r="C11" s="10" t="s">
        <v>9</v>
      </c>
      <c r="D11" s="29"/>
      <c r="E11" s="30">
        <v>298</v>
      </c>
      <c r="F11" s="30">
        <v>26518</v>
      </c>
      <c r="G11" s="30">
        <v>1020</v>
      </c>
      <c r="H11" s="30">
        <v>5607</v>
      </c>
      <c r="I11" s="31">
        <v>33443</v>
      </c>
      <c r="J11" s="29"/>
      <c r="K11" s="30">
        <v>298</v>
      </c>
      <c r="L11" s="30">
        <v>26468</v>
      </c>
      <c r="M11" s="30">
        <v>1020</v>
      </c>
      <c r="N11" s="30">
        <v>6546</v>
      </c>
      <c r="O11" s="31">
        <f t="shared" si="2"/>
        <v>34332</v>
      </c>
      <c r="Q11" s="38">
        <f t="shared" si="1"/>
        <v>889</v>
      </c>
    </row>
    <row r="12" spans="1:17" ht="15.75" x14ac:dyDescent="0.25">
      <c r="A12" s="3"/>
      <c r="B12" s="8" t="s">
        <v>10</v>
      </c>
      <c r="C12" s="10" t="s">
        <v>11</v>
      </c>
      <c r="D12" s="29"/>
      <c r="E12" s="30">
        <v>141</v>
      </c>
      <c r="F12" s="30">
        <v>44798</v>
      </c>
      <c r="G12" s="30">
        <v>241</v>
      </c>
      <c r="H12" s="30">
        <v>6130</v>
      </c>
      <c r="I12" s="31">
        <v>51310</v>
      </c>
      <c r="J12" s="29"/>
      <c r="K12" s="30">
        <v>3195</v>
      </c>
      <c r="L12" s="30">
        <v>48979</v>
      </c>
      <c r="M12" s="30">
        <v>241</v>
      </c>
      <c r="N12" s="30">
        <v>6195</v>
      </c>
      <c r="O12" s="31">
        <f t="shared" si="2"/>
        <v>58610</v>
      </c>
      <c r="Q12" s="38">
        <f t="shared" si="1"/>
        <v>7300</v>
      </c>
    </row>
    <row r="13" spans="1:17" ht="15.75" x14ac:dyDescent="0.25">
      <c r="A13" s="3"/>
      <c r="B13" s="8" t="s">
        <v>12</v>
      </c>
      <c r="C13" s="10" t="s">
        <v>13</v>
      </c>
      <c r="D13" s="29">
        <v>500</v>
      </c>
      <c r="E13" s="30">
        <v>1240</v>
      </c>
      <c r="F13" s="30">
        <v>34023</v>
      </c>
      <c r="G13" s="30"/>
      <c r="H13" s="30">
        <v>471</v>
      </c>
      <c r="I13" s="31">
        <v>36234</v>
      </c>
      <c r="J13" s="29">
        <v>500</v>
      </c>
      <c r="K13" s="30">
        <v>3747</v>
      </c>
      <c r="L13" s="30">
        <v>35915</v>
      </c>
      <c r="M13" s="30"/>
      <c r="N13" s="30">
        <v>540</v>
      </c>
      <c r="O13" s="31">
        <f t="shared" si="2"/>
        <v>40702</v>
      </c>
      <c r="Q13" s="38">
        <f t="shared" si="1"/>
        <v>4468</v>
      </c>
    </row>
    <row r="14" spans="1:17" ht="15.75" x14ac:dyDescent="0.25">
      <c r="A14" s="3"/>
      <c r="B14" s="8" t="s">
        <v>14</v>
      </c>
      <c r="C14" s="10" t="s">
        <v>15</v>
      </c>
      <c r="D14" s="29"/>
      <c r="E14" s="30">
        <v>205</v>
      </c>
      <c r="F14" s="30">
        <v>40338</v>
      </c>
      <c r="G14" s="30"/>
      <c r="H14" s="30">
        <v>12873</v>
      </c>
      <c r="I14" s="31">
        <v>53416</v>
      </c>
      <c r="J14" s="29">
        <v>0</v>
      </c>
      <c r="K14" s="30">
        <v>957</v>
      </c>
      <c r="L14" s="30">
        <v>40761</v>
      </c>
      <c r="M14" s="30"/>
      <c r="N14" s="30">
        <v>12873</v>
      </c>
      <c r="O14" s="31">
        <f t="shared" si="2"/>
        <v>54591</v>
      </c>
      <c r="Q14" s="38">
        <f t="shared" si="1"/>
        <v>1175</v>
      </c>
    </row>
    <row r="15" spans="1:17" ht="15.75" x14ac:dyDescent="0.25">
      <c r="A15" s="3"/>
      <c r="B15" s="8" t="s">
        <v>16</v>
      </c>
      <c r="C15" s="10" t="s">
        <v>17</v>
      </c>
      <c r="D15" s="29"/>
      <c r="E15" s="30"/>
      <c r="F15" s="30">
        <v>92522</v>
      </c>
      <c r="G15" s="30"/>
      <c r="H15" s="30">
        <v>2092</v>
      </c>
      <c r="I15" s="31">
        <v>94614</v>
      </c>
      <c r="J15" s="29"/>
      <c r="K15" s="30">
        <v>60</v>
      </c>
      <c r="L15" s="30">
        <v>92597</v>
      </c>
      <c r="M15" s="30"/>
      <c r="N15" s="30">
        <v>2092</v>
      </c>
      <c r="O15" s="31">
        <f t="shared" si="2"/>
        <v>94749</v>
      </c>
      <c r="Q15" s="38">
        <f t="shared" si="1"/>
        <v>135</v>
      </c>
    </row>
    <row r="16" spans="1:17" ht="15.75" x14ac:dyDescent="0.25">
      <c r="A16" s="3"/>
      <c r="B16" s="8" t="s">
        <v>18</v>
      </c>
      <c r="C16" s="10" t="s">
        <v>19</v>
      </c>
      <c r="D16" s="29"/>
      <c r="E16" s="30">
        <v>1938</v>
      </c>
      <c r="F16" s="30">
        <v>93485</v>
      </c>
      <c r="G16" s="30">
        <v>443</v>
      </c>
      <c r="H16" s="30">
        <v>16738</v>
      </c>
      <c r="I16" s="31">
        <v>112604</v>
      </c>
      <c r="J16" s="29"/>
      <c r="K16" s="30"/>
      <c r="L16" s="30">
        <v>95693</v>
      </c>
      <c r="M16" s="30">
        <v>443</v>
      </c>
      <c r="N16" s="30">
        <v>20264</v>
      </c>
      <c r="O16" s="31">
        <f t="shared" si="2"/>
        <v>116400</v>
      </c>
      <c r="Q16" s="38">
        <f t="shared" si="1"/>
        <v>3796</v>
      </c>
    </row>
    <row r="17" spans="1:17" ht="15.75" x14ac:dyDescent="0.25">
      <c r="A17" s="3"/>
      <c r="B17" s="8" t="s">
        <v>20</v>
      </c>
      <c r="C17" s="10" t="s">
        <v>21</v>
      </c>
      <c r="D17" s="29"/>
      <c r="E17" s="30">
        <v>2149</v>
      </c>
      <c r="F17" s="30">
        <v>19913</v>
      </c>
      <c r="G17" s="30">
        <v>770</v>
      </c>
      <c r="H17" s="30">
        <v>745</v>
      </c>
      <c r="I17" s="31">
        <v>23577</v>
      </c>
      <c r="J17" s="29"/>
      <c r="K17" s="30"/>
      <c r="L17" s="30">
        <v>21913</v>
      </c>
      <c r="M17" s="30">
        <v>770</v>
      </c>
      <c r="N17" s="30">
        <v>745</v>
      </c>
      <c r="O17" s="31">
        <f t="shared" si="2"/>
        <v>23428</v>
      </c>
      <c r="Q17" s="38">
        <f t="shared" si="1"/>
        <v>-149</v>
      </c>
    </row>
    <row r="18" spans="1:17" ht="15.75" x14ac:dyDescent="0.25">
      <c r="A18" s="3"/>
      <c r="B18" s="8" t="s">
        <v>22</v>
      </c>
      <c r="C18" s="10" t="s">
        <v>23</v>
      </c>
      <c r="D18" s="29"/>
      <c r="E18" s="30">
        <v>792</v>
      </c>
      <c r="F18" s="30">
        <v>88928</v>
      </c>
      <c r="G18" s="30"/>
      <c r="H18" s="30">
        <v>8006</v>
      </c>
      <c r="I18" s="31">
        <v>97726</v>
      </c>
      <c r="J18" s="29"/>
      <c r="K18" s="30">
        <v>2218</v>
      </c>
      <c r="L18" s="30">
        <v>88928</v>
      </c>
      <c r="M18" s="30"/>
      <c r="N18" s="30">
        <v>8717</v>
      </c>
      <c r="O18" s="31">
        <f t="shared" si="2"/>
        <v>99863</v>
      </c>
      <c r="Q18" s="38">
        <f t="shared" si="1"/>
        <v>2137</v>
      </c>
    </row>
    <row r="19" spans="1:17" ht="15.75" x14ac:dyDescent="0.25">
      <c r="A19" s="3"/>
      <c r="B19" s="8" t="s">
        <v>24</v>
      </c>
      <c r="C19" s="10" t="s">
        <v>25</v>
      </c>
      <c r="D19" s="29"/>
      <c r="E19" s="30">
        <v>11765</v>
      </c>
      <c r="F19" s="30">
        <v>27088</v>
      </c>
      <c r="G19" s="30">
        <v>255</v>
      </c>
      <c r="H19" s="30">
        <v>40860</v>
      </c>
      <c r="I19" s="31">
        <v>79968</v>
      </c>
      <c r="J19" s="29"/>
      <c r="K19" s="30">
        <v>15918</v>
      </c>
      <c r="L19" s="30">
        <v>29323</v>
      </c>
      <c r="M19" s="30">
        <v>255</v>
      </c>
      <c r="N19" s="30">
        <v>42840</v>
      </c>
      <c r="O19" s="31">
        <f t="shared" si="2"/>
        <v>88336</v>
      </c>
      <c r="Q19" s="38">
        <f t="shared" si="1"/>
        <v>8368</v>
      </c>
    </row>
    <row r="20" spans="1:17" ht="15.75" x14ac:dyDescent="0.25">
      <c r="A20" s="3"/>
      <c r="B20" s="8" t="s">
        <v>26</v>
      </c>
      <c r="C20" s="10" t="s">
        <v>27</v>
      </c>
      <c r="D20" s="29"/>
      <c r="E20" s="30"/>
      <c r="F20" s="30">
        <v>14601</v>
      </c>
      <c r="G20" s="30">
        <v>515</v>
      </c>
      <c r="H20" s="30">
        <v>9918</v>
      </c>
      <c r="I20" s="31">
        <v>25034</v>
      </c>
      <c r="J20" s="29"/>
      <c r="K20" s="30"/>
      <c r="L20" s="30">
        <v>14601</v>
      </c>
      <c r="M20" s="30">
        <v>515</v>
      </c>
      <c r="N20" s="30">
        <v>10478</v>
      </c>
      <c r="O20" s="31">
        <f t="shared" si="2"/>
        <v>25594</v>
      </c>
      <c r="Q20" s="38">
        <f t="shared" si="1"/>
        <v>560</v>
      </c>
    </row>
    <row r="21" spans="1:17" ht="15.75" x14ac:dyDescent="0.25">
      <c r="A21" s="3"/>
      <c r="B21" s="8" t="s">
        <v>28</v>
      </c>
      <c r="C21" s="10" t="s">
        <v>29</v>
      </c>
      <c r="D21" s="29"/>
      <c r="E21" s="30">
        <v>1069</v>
      </c>
      <c r="F21" s="30">
        <v>4808</v>
      </c>
      <c r="G21" s="30"/>
      <c r="H21" s="30"/>
      <c r="I21" s="31">
        <v>5877</v>
      </c>
      <c r="J21" s="29"/>
      <c r="K21" s="30">
        <v>2942</v>
      </c>
      <c r="L21" s="30">
        <v>4243</v>
      </c>
      <c r="M21" s="30"/>
      <c r="N21" s="30">
        <v>694</v>
      </c>
      <c r="O21" s="31">
        <f t="shared" si="2"/>
        <v>7879</v>
      </c>
      <c r="Q21" s="38">
        <f t="shared" si="1"/>
        <v>2002</v>
      </c>
    </row>
    <row r="22" spans="1:17" ht="15.75" x14ac:dyDescent="0.25">
      <c r="A22" s="3"/>
      <c r="B22" s="8" t="s">
        <v>30</v>
      </c>
      <c r="C22" s="10" t="s">
        <v>31</v>
      </c>
      <c r="D22" s="29">
        <v>700</v>
      </c>
      <c r="E22" s="30">
        <v>2184</v>
      </c>
      <c r="F22" s="30">
        <v>55101</v>
      </c>
      <c r="G22" s="30"/>
      <c r="H22" s="30">
        <v>5886</v>
      </c>
      <c r="I22" s="31">
        <v>63871</v>
      </c>
      <c r="J22" s="29">
        <v>700</v>
      </c>
      <c r="K22" s="30">
        <v>1108</v>
      </c>
      <c r="L22" s="30">
        <v>58401</v>
      </c>
      <c r="M22" s="30">
        <v>0</v>
      </c>
      <c r="N22" s="30">
        <v>5886</v>
      </c>
      <c r="O22" s="31">
        <f t="shared" si="2"/>
        <v>66095</v>
      </c>
      <c r="Q22" s="38">
        <f t="shared" si="1"/>
        <v>2224</v>
      </c>
    </row>
    <row r="23" spans="1:17" ht="15.75" x14ac:dyDescent="0.25">
      <c r="A23" s="3"/>
      <c r="B23" s="8" t="s">
        <v>32</v>
      </c>
      <c r="C23" s="10" t="s">
        <v>33</v>
      </c>
      <c r="D23" s="29"/>
      <c r="E23" s="30">
        <v>6130</v>
      </c>
      <c r="F23" s="30">
        <v>50832</v>
      </c>
      <c r="G23" s="30">
        <v>260</v>
      </c>
      <c r="H23" s="30">
        <v>26860</v>
      </c>
      <c r="I23" s="31">
        <v>84082</v>
      </c>
      <c r="J23" s="29"/>
      <c r="K23" s="30">
        <v>5894</v>
      </c>
      <c r="L23" s="30">
        <v>50832</v>
      </c>
      <c r="M23" s="30">
        <v>260</v>
      </c>
      <c r="N23" s="30">
        <v>25980</v>
      </c>
      <c r="O23" s="31">
        <f t="shared" si="2"/>
        <v>82966</v>
      </c>
      <c r="Q23" s="38">
        <f t="shared" si="1"/>
        <v>-1116</v>
      </c>
    </row>
    <row r="24" spans="1:17" ht="15.75" x14ac:dyDescent="0.25">
      <c r="A24" s="3"/>
      <c r="B24" s="8" t="s">
        <v>34</v>
      </c>
      <c r="C24" s="10" t="s">
        <v>35</v>
      </c>
      <c r="D24" s="29"/>
      <c r="E24" s="30">
        <v>4905</v>
      </c>
      <c r="F24" s="30">
        <v>6827</v>
      </c>
      <c r="G24" s="30"/>
      <c r="H24" s="30">
        <v>473</v>
      </c>
      <c r="I24" s="31">
        <v>12205</v>
      </c>
      <c r="J24" s="29"/>
      <c r="K24" s="30">
        <v>5163</v>
      </c>
      <c r="L24" s="30">
        <v>6827</v>
      </c>
      <c r="M24" s="30"/>
      <c r="N24" s="30">
        <v>473</v>
      </c>
      <c r="O24" s="31">
        <f t="shared" si="2"/>
        <v>12463</v>
      </c>
      <c r="Q24" s="38">
        <f t="shared" si="1"/>
        <v>258</v>
      </c>
    </row>
    <row r="25" spans="1:17" ht="15.75" x14ac:dyDescent="0.25">
      <c r="A25" s="3"/>
      <c r="B25" s="8" t="s">
        <v>36</v>
      </c>
      <c r="C25" s="10" t="s">
        <v>37</v>
      </c>
      <c r="D25" s="29"/>
      <c r="E25" s="30"/>
      <c r="F25" s="30">
        <v>3243</v>
      </c>
      <c r="G25" s="30"/>
      <c r="H25" s="30">
        <v>180</v>
      </c>
      <c r="I25" s="31">
        <v>3423</v>
      </c>
      <c r="J25" s="29">
        <v>0</v>
      </c>
      <c r="K25" s="30">
        <v>0</v>
      </c>
      <c r="L25" s="30">
        <v>3819</v>
      </c>
      <c r="M25" s="30">
        <v>0</v>
      </c>
      <c r="N25" s="30">
        <v>180</v>
      </c>
      <c r="O25" s="31">
        <f t="shared" si="2"/>
        <v>3999</v>
      </c>
      <c r="Q25" s="38">
        <f t="shared" si="1"/>
        <v>576</v>
      </c>
    </row>
    <row r="26" spans="1:17" ht="15.75" x14ac:dyDescent="0.25">
      <c r="A26" s="3"/>
      <c r="B26" s="8" t="s">
        <v>38</v>
      </c>
      <c r="C26" s="10" t="s">
        <v>39</v>
      </c>
      <c r="D26" s="29"/>
      <c r="E26" s="30"/>
      <c r="F26" s="30">
        <v>8052</v>
      </c>
      <c r="G26" s="30">
        <v>24</v>
      </c>
      <c r="H26" s="30"/>
      <c r="I26" s="31">
        <v>8076</v>
      </c>
      <c r="J26" s="29"/>
      <c r="K26" s="30"/>
      <c r="L26" s="30">
        <v>8052</v>
      </c>
      <c r="M26" s="30">
        <v>24</v>
      </c>
      <c r="N26" s="30"/>
      <c r="O26" s="31">
        <f t="shared" si="2"/>
        <v>8076</v>
      </c>
      <c r="Q26" s="38">
        <f t="shared" si="1"/>
        <v>0</v>
      </c>
    </row>
    <row r="27" spans="1:17" ht="15.75" x14ac:dyDescent="0.25">
      <c r="A27" s="3"/>
      <c r="B27" s="8" t="s">
        <v>40</v>
      </c>
      <c r="C27" s="10" t="s">
        <v>41</v>
      </c>
      <c r="D27" s="29"/>
      <c r="E27" s="30"/>
      <c r="F27" s="30">
        <v>11000</v>
      </c>
      <c r="G27" s="30"/>
      <c r="H27" s="30"/>
      <c r="I27" s="31">
        <v>11000</v>
      </c>
      <c r="J27" s="29"/>
      <c r="K27" s="30"/>
      <c r="L27" s="30">
        <v>11000</v>
      </c>
      <c r="M27" s="30"/>
      <c r="N27" s="30"/>
      <c r="O27" s="31">
        <f t="shared" si="2"/>
        <v>11000</v>
      </c>
      <c r="Q27" s="38">
        <f t="shared" si="1"/>
        <v>0</v>
      </c>
    </row>
    <row r="28" spans="1:17" ht="15.75" x14ac:dyDescent="0.25">
      <c r="A28" s="3"/>
      <c r="B28" s="8" t="s">
        <v>42</v>
      </c>
      <c r="C28" s="10" t="s">
        <v>43</v>
      </c>
      <c r="D28" s="29"/>
      <c r="E28" s="30"/>
      <c r="F28" s="30">
        <v>8950</v>
      </c>
      <c r="G28" s="30"/>
      <c r="H28" s="30"/>
      <c r="I28" s="31">
        <v>8950</v>
      </c>
      <c r="J28" s="29"/>
      <c r="K28" s="30"/>
      <c r="L28" s="30">
        <v>8950</v>
      </c>
      <c r="M28" s="30"/>
      <c r="N28" s="30"/>
      <c r="O28" s="31">
        <f t="shared" si="2"/>
        <v>8950</v>
      </c>
      <c r="Q28" s="38">
        <f t="shared" si="1"/>
        <v>0</v>
      </c>
    </row>
    <row r="29" spans="1:17" ht="15.75" x14ac:dyDescent="0.25">
      <c r="A29" s="3"/>
      <c r="B29" s="8" t="s">
        <v>44</v>
      </c>
      <c r="C29" s="10" t="s">
        <v>45</v>
      </c>
      <c r="D29" s="29"/>
      <c r="E29" s="30"/>
      <c r="F29" s="30"/>
      <c r="G29" s="30"/>
      <c r="H29" s="30"/>
      <c r="I29" s="32"/>
      <c r="J29" s="29"/>
      <c r="K29" s="30"/>
      <c r="L29" s="30"/>
      <c r="M29" s="30"/>
      <c r="N29" s="30"/>
      <c r="O29" s="31">
        <f t="shared" si="2"/>
        <v>0</v>
      </c>
      <c r="Q29" s="38">
        <f t="shared" si="1"/>
        <v>0</v>
      </c>
    </row>
    <row r="30" spans="1:17" ht="15.75" x14ac:dyDescent="0.25">
      <c r="A30" s="3"/>
      <c r="B30" s="8" t="s">
        <v>46</v>
      </c>
      <c r="C30" s="10" t="s">
        <v>47</v>
      </c>
      <c r="D30" s="29">
        <v>5500</v>
      </c>
      <c r="E30" s="30">
        <v>1100</v>
      </c>
      <c r="F30" s="30">
        <v>8700</v>
      </c>
      <c r="G30" s="30">
        <v>300</v>
      </c>
      <c r="H30" s="30">
        <v>1610</v>
      </c>
      <c r="I30" s="31">
        <v>17210</v>
      </c>
      <c r="J30" s="29">
        <v>5500</v>
      </c>
      <c r="K30" s="30">
        <v>1100</v>
      </c>
      <c r="L30" s="30">
        <v>8700</v>
      </c>
      <c r="M30" s="30">
        <v>300</v>
      </c>
      <c r="N30" s="30">
        <v>1610</v>
      </c>
      <c r="O30" s="31">
        <f t="shared" si="2"/>
        <v>17210</v>
      </c>
      <c r="Q30" s="38">
        <f t="shared" si="1"/>
        <v>0</v>
      </c>
    </row>
    <row r="31" spans="1:17" ht="15.75" x14ac:dyDescent="0.25">
      <c r="A31" s="3"/>
      <c r="B31" s="8" t="s">
        <v>48</v>
      </c>
      <c r="C31" s="10" t="s">
        <v>49</v>
      </c>
      <c r="D31" s="29"/>
      <c r="E31" s="30">
        <v>4574</v>
      </c>
      <c r="F31" s="30">
        <v>144199</v>
      </c>
      <c r="G31" s="30"/>
      <c r="H31" s="30">
        <v>132045</v>
      </c>
      <c r="I31" s="31">
        <v>280818</v>
      </c>
      <c r="J31" s="29">
        <v>3007</v>
      </c>
      <c r="K31" s="30">
        <v>2764</v>
      </c>
      <c r="L31" s="30">
        <v>146739</v>
      </c>
      <c r="M31" s="30"/>
      <c r="N31" s="30">
        <v>133275</v>
      </c>
      <c r="O31" s="31">
        <f t="shared" si="2"/>
        <v>285785</v>
      </c>
      <c r="Q31" s="38">
        <f t="shared" si="1"/>
        <v>4967</v>
      </c>
    </row>
    <row r="32" spans="1:17" ht="15.75" x14ac:dyDescent="0.25">
      <c r="A32" s="3"/>
      <c r="B32" s="8" t="s">
        <v>50</v>
      </c>
      <c r="C32" s="10" t="s">
        <v>51</v>
      </c>
      <c r="D32" s="29"/>
      <c r="E32" s="30"/>
      <c r="F32" s="30">
        <v>20954</v>
      </c>
      <c r="G32" s="30"/>
      <c r="H32" s="30">
        <v>33371</v>
      </c>
      <c r="I32" s="31">
        <v>54325</v>
      </c>
      <c r="J32" s="29"/>
      <c r="K32" s="30">
        <v>45</v>
      </c>
      <c r="L32" s="30">
        <v>20954</v>
      </c>
      <c r="M32" s="30"/>
      <c r="N32" s="30">
        <v>33371</v>
      </c>
      <c r="O32" s="31">
        <f t="shared" si="2"/>
        <v>54370</v>
      </c>
      <c r="Q32" s="38">
        <f t="shared" si="1"/>
        <v>45</v>
      </c>
    </row>
    <row r="33" spans="1:17" ht="15.75" x14ac:dyDescent="0.25">
      <c r="A33" s="3"/>
      <c r="B33" s="8" t="s">
        <v>52</v>
      </c>
      <c r="C33" s="10" t="s">
        <v>53</v>
      </c>
      <c r="D33" s="29"/>
      <c r="E33" s="30">
        <v>250</v>
      </c>
      <c r="F33" s="30">
        <v>89885</v>
      </c>
      <c r="G33" s="30"/>
      <c r="H33" s="30">
        <v>6970</v>
      </c>
      <c r="I33" s="31">
        <v>97105</v>
      </c>
      <c r="J33" s="29"/>
      <c r="K33" s="30">
        <v>250</v>
      </c>
      <c r="L33" s="30">
        <v>89885</v>
      </c>
      <c r="M33" s="30"/>
      <c r="N33" s="30">
        <v>6970</v>
      </c>
      <c r="O33" s="31">
        <f t="shared" si="2"/>
        <v>97105</v>
      </c>
      <c r="Q33" s="38">
        <f t="shared" si="1"/>
        <v>0</v>
      </c>
    </row>
    <row r="34" spans="1:17" ht="15.75" x14ac:dyDescent="0.25">
      <c r="A34" s="3"/>
      <c r="B34" s="8" t="s">
        <v>54</v>
      </c>
      <c r="C34" s="10" t="s">
        <v>55</v>
      </c>
      <c r="D34" s="29"/>
      <c r="E34" s="30">
        <v>10226</v>
      </c>
      <c r="F34" s="30">
        <v>51693</v>
      </c>
      <c r="G34" s="30">
        <v>50</v>
      </c>
      <c r="H34" s="30">
        <v>6197</v>
      </c>
      <c r="I34" s="31">
        <v>68166</v>
      </c>
      <c r="J34" s="29"/>
      <c r="K34" s="30">
        <v>1315</v>
      </c>
      <c r="L34" s="30">
        <v>61389</v>
      </c>
      <c r="M34" s="30">
        <v>50</v>
      </c>
      <c r="N34" s="30">
        <v>6616</v>
      </c>
      <c r="O34" s="31">
        <f t="shared" si="2"/>
        <v>69370</v>
      </c>
      <c r="Q34" s="38">
        <f t="shared" si="1"/>
        <v>1204</v>
      </c>
    </row>
    <row r="35" spans="1:17" ht="15.75" x14ac:dyDescent="0.25">
      <c r="A35" s="3"/>
      <c r="B35" s="8" t="s">
        <v>56</v>
      </c>
      <c r="C35" s="10" t="s">
        <v>57</v>
      </c>
      <c r="D35" s="29"/>
      <c r="E35" s="30">
        <v>1052</v>
      </c>
      <c r="F35" s="30">
        <v>22693</v>
      </c>
      <c r="G35" s="30"/>
      <c r="H35" s="30">
        <v>14069</v>
      </c>
      <c r="I35" s="31">
        <v>37814</v>
      </c>
      <c r="J35" s="29"/>
      <c r="K35" s="30">
        <v>6636</v>
      </c>
      <c r="L35" s="30">
        <v>23745</v>
      </c>
      <c r="M35" s="30"/>
      <c r="N35" s="30">
        <v>14168</v>
      </c>
      <c r="O35" s="31">
        <f t="shared" si="2"/>
        <v>44549</v>
      </c>
      <c r="Q35" s="38">
        <f t="shared" si="1"/>
        <v>6735</v>
      </c>
    </row>
    <row r="36" spans="1:17" ht="15.75" x14ac:dyDescent="0.25">
      <c r="A36" s="3"/>
      <c r="B36" s="8" t="s">
        <v>58</v>
      </c>
      <c r="C36" s="10" t="s">
        <v>59</v>
      </c>
      <c r="D36" s="29"/>
      <c r="E36" s="30"/>
      <c r="F36" s="30">
        <v>209046</v>
      </c>
      <c r="G36" s="30">
        <v>1160</v>
      </c>
      <c r="H36" s="30">
        <v>1953</v>
      </c>
      <c r="I36" s="31">
        <v>212159</v>
      </c>
      <c r="J36" s="26">
        <v>0</v>
      </c>
      <c r="K36" s="27">
        <v>1650</v>
      </c>
      <c r="L36" s="27">
        <v>231637</v>
      </c>
      <c r="M36" s="27">
        <v>1160</v>
      </c>
      <c r="N36" s="27">
        <v>1953</v>
      </c>
      <c r="O36" s="31">
        <f t="shared" si="2"/>
        <v>236400</v>
      </c>
      <c r="Q36" s="38">
        <f t="shared" si="1"/>
        <v>24241</v>
      </c>
    </row>
    <row r="37" spans="1:17" ht="15.75" x14ac:dyDescent="0.25">
      <c r="A37" s="3"/>
      <c r="B37" s="8" t="s">
        <v>60</v>
      </c>
      <c r="C37" s="10" t="s">
        <v>61</v>
      </c>
      <c r="D37" s="29"/>
      <c r="E37" s="30"/>
      <c r="F37" s="30">
        <v>42297</v>
      </c>
      <c r="G37" s="30"/>
      <c r="H37" s="30">
        <v>240</v>
      </c>
      <c r="I37" s="31">
        <v>42537</v>
      </c>
      <c r="J37" s="29"/>
      <c r="K37" s="30">
        <v>0</v>
      </c>
      <c r="L37" s="30">
        <v>42357</v>
      </c>
      <c r="M37" s="30"/>
      <c r="N37" s="30">
        <v>240</v>
      </c>
      <c r="O37" s="31">
        <f t="shared" si="2"/>
        <v>42597</v>
      </c>
      <c r="Q37" s="38">
        <f t="shared" si="1"/>
        <v>60</v>
      </c>
    </row>
    <row r="38" spans="1:17" ht="15.75" x14ac:dyDescent="0.25">
      <c r="A38" s="3"/>
      <c r="B38" s="8" t="s">
        <v>62</v>
      </c>
      <c r="C38" s="10" t="s">
        <v>63</v>
      </c>
      <c r="D38" s="29"/>
      <c r="E38" s="30">
        <v>5731</v>
      </c>
      <c r="F38" s="30">
        <v>20539</v>
      </c>
      <c r="G38" s="30">
        <v>1075</v>
      </c>
      <c r="H38" s="30">
        <v>16590</v>
      </c>
      <c r="I38" s="31">
        <v>43935</v>
      </c>
      <c r="J38" s="29"/>
      <c r="K38" s="30"/>
      <c r="L38" s="30">
        <v>25139</v>
      </c>
      <c r="M38" s="30">
        <v>1075</v>
      </c>
      <c r="N38" s="30">
        <v>16590</v>
      </c>
      <c r="O38" s="31">
        <f t="shared" si="2"/>
        <v>42804</v>
      </c>
      <c r="Q38" s="38">
        <f t="shared" si="1"/>
        <v>-1131</v>
      </c>
    </row>
    <row r="39" spans="1:17" ht="15.75" x14ac:dyDescent="0.25">
      <c r="A39" s="3"/>
      <c r="B39" s="8" t="s">
        <v>64</v>
      </c>
      <c r="C39" s="10" t="s">
        <v>65</v>
      </c>
      <c r="D39" s="29"/>
      <c r="E39" s="30"/>
      <c r="F39" s="30">
        <v>33957</v>
      </c>
      <c r="G39" s="30"/>
      <c r="H39" s="30">
        <v>3857</v>
      </c>
      <c r="I39" s="31">
        <v>37814</v>
      </c>
      <c r="J39" s="29"/>
      <c r="K39" s="30">
        <v>4312</v>
      </c>
      <c r="L39" s="30">
        <v>33957</v>
      </c>
      <c r="M39" s="30"/>
      <c r="N39" s="30">
        <v>3926</v>
      </c>
      <c r="O39" s="31">
        <f t="shared" si="2"/>
        <v>42195</v>
      </c>
      <c r="Q39" s="38">
        <f t="shared" si="1"/>
        <v>4381</v>
      </c>
    </row>
    <row r="40" spans="1:17" ht="15.75" x14ac:dyDescent="0.25">
      <c r="A40" s="3"/>
      <c r="B40" s="8" t="s">
        <v>66</v>
      </c>
      <c r="C40" s="10" t="s">
        <v>67</v>
      </c>
      <c r="D40" s="29"/>
      <c r="E40" s="30"/>
      <c r="F40" s="30">
        <v>57499</v>
      </c>
      <c r="G40" s="30">
        <v>150</v>
      </c>
      <c r="H40" s="30"/>
      <c r="I40" s="31">
        <v>57649</v>
      </c>
      <c r="J40" s="29"/>
      <c r="K40" s="30"/>
      <c r="L40" s="30">
        <v>58188</v>
      </c>
      <c r="M40" s="30">
        <v>150</v>
      </c>
      <c r="N40" s="30"/>
      <c r="O40" s="31">
        <f t="shared" si="2"/>
        <v>58338</v>
      </c>
      <c r="Q40" s="38">
        <f t="shared" si="1"/>
        <v>689</v>
      </c>
    </row>
    <row r="41" spans="1:17" ht="15.75" x14ac:dyDescent="0.25">
      <c r="A41" s="3"/>
      <c r="B41" s="8" t="s">
        <v>68</v>
      </c>
      <c r="C41" s="10" t="s">
        <v>69</v>
      </c>
      <c r="D41" s="29"/>
      <c r="E41" s="30">
        <v>24</v>
      </c>
      <c r="F41" s="30">
        <v>743</v>
      </c>
      <c r="G41" s="30"/>
      <c r="H41" s="30">
        <v>480</v>
      </c>
      <c r="I41" s="31">
        <v>1247</v>
      </c>
      <c r="J41" s="29"/>
      <c r="K41" s="30">
        <v>24</v>
      </c>
      <c r="L41" s="30">
        <v>743</v>
      </c>
      <c r="M41" s="30"/>
      <c r="N41" s="30">
        <v>480</v>
      </c>
      <c r="O41" s="31">
        <f t="shared" si="2"/>
        <v>1247</v>
      </c>
      <c r="Q41" s="38">
        <f t="shared" si="1"/>
        <v>0</v>
      </c>
    </row>
    <row r="42" spans="1:17" ht="15.75" x14ac:dyDescent="0.25">
      <c r="A42" s="3"/>
      <c r="B42" s="8" t="s">
        <v>70</v>
      </c>
      <c r="C42" s="10" t="s">
        <v>71</v>
      </c>
      <c r="D42" s="29">
        <v>2100</v>
      </c>
      <c r="E42" s="30"/>
      <c r="F42" s="30">
        <v>19791</v>
      </c>
      <c r="G42" s="30"/>
      <c r="H42" s="30">
        <v>10383</v>
      </c>
      <c r="I42" s="31">
        <v>32274</v>
      </c>
      <c r="J42" s="29"/>
      <c r="K42" s="30">
        <v>810</v>
      </c>
      <c r="L42" s="30">
        <v>21510</v>
      </c>
      <c r="M42" s="30"/>
      <c r="N42" s="30">
        <v>9958</v>
      </c>
      <c r="O42" s="31">
        <f t="shared" si="2"/>
        <v>32278</v>
      </c>
      <c r="Q42" s="38">
        <f t="shared" si="1"/>
        <v>4</v>
      </c>
    </row>
    <row r="43" spans="1:17" ht="15.75" x14ac:dyDescent="0.25">
      <c r="A43" s="3"/>
      <c r="B43" s="8" t="s">
        <v>72</v>
      </c>
      <c r="C43" s="10" t="s">
        <v>73</v>
      </c>
      <c r="D43" s="29"/>
      <c r="E43" s="30">
        <v>232</v>
      </c>
      <c r="F43" s="30">
        <v>6913</v>
      </c>
      <c r="G43" s="30"/>
      <c r="H43" s="30">
        <v>20614</v>
      </c>
      <c r="I43" s="31">
        <v>27759</v>
      </c>
      <c r="J43" s="29"/>
      <c r="K43" s="30">
        <v>232</v>
      </c>
      <c r="L43" s="30">
        <v>6913</v>
      </c>
      <c r="M43" s="30"/>
      <c r="N43" s="30">
        <v>20614</v>
      </c>
      <c r="O43" s="31">
        <f t="shared" si="2"/>
        <v>27759</v>
      </c>
      <c r="Q43" s="38">
        <f t="shared" si="1"/>
        <v>0</v>
      </c>
    </row>
    <row r="44" spans="1:17" ht="15.75" x14ac:dyDescent="0.25">
      <c r="A44" s="3"/>
      <c r="B44" s="8" t="s">
        <v>74</v>
      </c>
      <c r="C44" s="10" t="s">
        <v>75</v>
      </c>
      <c r="D44" s="29"/>
      <c r="E44" s="30"/>
      <c r="F44" s="30">
        <v>4886</v>
      </c>
      <c r="G44" s="30"/>
      <c r="H44" s="30">
        <v>2318</v>
      </c>
      <c r="I44" s="31">
        <v>7204</v>
      </c>
      <c r="J44" s="29"/>
      <c r="K44" s="30"/>
      <c r="L44" s="30">
        <v>4886</v>
      </c>
      <c r="M44" s="30"/>
      <c r="N44" s="30">
        <v>2318</v>
      </c>
      <c r="O44" s="31">
        <f t="shared" si="2"/>
        <v>7204</v>
      </c>
      <c r="Q44" s="38">
        <f t="shared" si="1"/>
        <v>0</v>
      </c>
    </row>
    <row r="45" spans="1:17" ht="15.75" x14ac:dyDescent="0.25">
      <c r="A45" s="3"/>
      <c r="B45" s="8" t="s">
        <v>76</v>
      </c>
      <c r="C45" s="10" t="s">
        <v>77</v>
      </c>
      <c r="D45" s="29"/>
      <c r="E45" s="30"/>
      <c r="F45" s="30">
        <v>14607</v>
      </c>
      <c r="G45" s="30">
        <v>610</v>
      </c>
      <c r="H45" s="30">
        <v>872</v>
      </c>
      <c r="I45" s="31">
        <v>16089</v>
      </c>
      <c r="J45" s="29"/>
      <c r="K45" s="30"/>
      <c r="L45" s="30">
        <v>14607</v>
      </c>
      <c r="M45" s="30">
        <v>610</v>
      </c>
      <c r="N45" s="30">
        <v>872</v>
      </c>
      <c r="O45" s="31">
        <f t="shared" si="2"/>
        <v>16089</v>
      </c>
      <c r="Q45" s="38">
        <f t="shared" si="1"/>
        <v>0</v>
      </c>
    </row>
    <row r="46" spans="1:17" ht="15.75" x14ac:dyDescent="0.25">
      <c r="A46" s="3"/>
      <c r="B46" s="8" t="s">
        <v>78</v>
      </c>
      <c r="C46" s="10" t="s">
        <v>79</v>
      </c>
      <c r="D46" s="29">
        <v>1000</v>
      </c>
      <c r="E46" s="30">
        <v>3054</v>
      </c>
      <c r="F46" s="30">
        <v>37447</v>
      </c>
      <c r="G46" s="30"/>
      <c r="H46" s="30">
        <v>17782</v>
      </c>
      <c r="I46" s="31">
        <v>59283</v>
      </c>
      <c r="J46" s="29">
        <v>1000</v>
      </c>
      <c r="K46" s="30"/>
      <c r="L46" s="30">
        <v>45061</v>
      </c>
      <c r="M46" s="30"/>
      <c r="N46" s="30">
        <v>18429</v>
      </c>
      <c r="O46" s="31">
        <f t="shared" si="2"/>
        <v>64490</v>
      </c>
      <c r="Q46" s="38">
        <f t="shared" si="1"/>
        <v>5207</v>
      </c>
    </row>
    <row r="47" spans="1:17" ht="15.75" x14ac:dyDescent="0.25">
      <c r="A47" s="3"/>
      <c r="B47" s="8" t="s">
        <v>80</v>
      </c>
      <c r="C47" s="10" t="s">
        <v>81</v>
      </c>
      <c r="D47" s="29"/>
      <c r="E47" s="30"/>
      <c r="F47" s="30">
        <v>30013</v>
      </c>
      <c r="G47" s="30"/>
      <c r="H47" s="30">
        <v>850</v>
      </c>
      <c r="I47" s="31">
        <v>30863</v>
      </c>
      <c r="J47" s="29"/>
      <c r="K47" s="30">
        <v>1625</v>
      </c>
      <c r="L47" s="30">
        <v>28774</v>
      </c>
      <c r="M47" s="30"/>
      <c r="N47" s="30">
        <v>850</v>
      </c>
      <c r="O47" s="31">
        <f t="shared" si="2"/>
        <v>31249</v>
      </c>
      <c r="Q47" s="38">
        <f t="shared" si="1"/>
        <v>386</v>
      </c>
    </row>
    <row r="48" spans="1:17" ht="15.75" x14ac:dyDescent="0.25">
      <c r="B48" s="8" t="s">
        <v>83</v>
      </c>
      <c r="C48" s="10" t="s">
        <v>84</v>
      </c>
      <c r="D48" s="29"/>
      <c r="E48" s="30"/>
      <c r="F48" s="30">
        <v>29345</v>
      </c>
      <c r="G48" s="30"/>
      <c r="H48" s="30">
        <v>315</v>
      </c>
      <c r="I48" s="31">
        <v>29660</v>
      </c>
      <c r="J48" s="29"/>
      <c r="K48" s="30"/>
      <c r="L48" s="30">
        <v>29949</v>
      </c>
      <c r="M48" s="30"/>
      <c r="N48" s="30">
        <v>315</v>
      </c>
      <c r="O48" s="31">
        <f t="shared" si="2"/>
        <v>30264</v>
      </c>
      <c r="Q48" s="38">
        <f t="shared" si="1"/>
        <v>604</v>
      </c>
    </row>
    <row r="49" spans="2:17" s="2" customFormat="1" ht="15.75" x14ac:dyDescent="0.25">
      <c r="B49" s="8" t="s">
        <v>85</v>
      </c>
      <c r="C49" s="10" t="s">
        <v>86</v>
      </c>
      <c r="D49" s="29"/>
      <c r="E49" s="30"/>
      <c r="F49" s="30"/>
      <c r="G49" s="30"/>
      <c r="H49" s="30"/>
      <c r="I49" s="32"/>
      <c r="J49" s="29"/>
      <c r="K49" s="30"/>
      <c r="L49" s="30"/>
      <c r="M49" s="30"/>
      <c r="N49" s="30"/>
      <c r="O49" s="31">
        <f t="shared" si="2"/>
        <v>0</v>
      </c>
      <c r="Q49" s="38">
        <f t="shared" si="1"/>
        <v>0</v>
      </c>
    </row>
    <row r="50" spans="2:17" s="2" customFormat="1" ht="15.75" x14ac:dyDescent="0.25">
      <c r="B50" s="8" t="s">
        <v>87</v>
      </c>
      <c r="C50" s="10" t="s">
        <v>88</v>
      </c>
      <c r="D50" s="29"/>
      <c r="E50" s="30"/>
      <c r="F50" s="30">
        <v>800</v>
      </c>
      <c r="G50" s="30"/>
      <c r="H50" s="30"/>
      <c r="I50" s="31">
        <v>800</v>
      </c>
      <c r="J50" s="29"/>
      <c r="K50" s="30"/>
      <c r="L50" s="30">
        <v>800</v>
      </c>
      <c r="M50" s="30"/>
      <c r="N50" s="30"/>
      <c r="O50" s="31">
        <f t="shared" si="2"/>
        <v>800</v>
      </c>
      <c r="Q50" s="38">
        <f t="shared" si="1"/>
        <v>0</v>
      </c>
    </row>
    <row r="51" spans="2:17" s="2" customFormat="1" ht="15.75" x14ac:dyDescent="0.25">
      <c r="B51" s="8" t="s">
        <v>89</v>
      </c>
      <c r="C51" s="10" t="s">
        <v>90</v>
      </c>
      <c r="D51" s="29"/>
      <c r="E51" s="30"/>
      <c r="F51" s="30"/>
      <c r="G51" s="30"/>
      <c r="H51" s="30"/>
      <c r="I51" s="32"/>
      <c r="J51" s="29"/>
      <c r="K51" s="30"/>
      <c r="L51" s="30"/>
      <c r="M51" s="30"/>
      <c r="N51" s="30"/>
      <c r="O51" s="31">
        <f t="shared" si="2"/>
        <v>0</v>
      </c>
      <c r="Q51" s="38">
        <f t="shared" si="1"/>
        <v>0</v>
      </c>
    </row>
    <row r="52" spans="2:17" s="2" customFormat="1" ht="15.75" x14ac:dyDescent="0.25">
      <c r="B52" s="8" t="s">
        <v>91</v>
      </c>
      <c r="C52" s="10" t="s">
        <v>92</v>
      </c>
      <c r="D52" s="29"/>
      <c r="E52" s="30">
        <v>1440</v>
      </c>
      <c r="F52" s="30">
        <v>21644</v>
      </c>
      <c r="G52" s="30"/>
      <c r="H52" s="30">
        <v>1727</v>
      </c>
      <c r="I52" s="31">
        <v>24811</v>
      </c>
      <c r="J52" s="29"/>
      <c r="K52" s="30">
        <v>1440</v>
      </c>
      <c r="L52" s="30">
        <v>21644</v>
      </c>
      <c r="M52" s="30"/>
      <c r="N52" s="30">
        <v>1727</v>
      </c>
      <c r="O52" s="31">
        <f t="shared" si="2"/>
        <v>24811</v>
      </c>
      <c r="Q52" s="38">
        <f t="shared" si="1"/>
        <v>0</v>
      </c>
    </row>
    <row r="53" spans="2:17" s="2" customFormat="1" ht="15.75" x14ac:dyDescent="0.25">
      <c r="B53" s="8" t="s">
        <v>93</v>
      </c>
      <c r="C53" s="10" t="s">
        <v>94</v>
      </c>
      <c r="D53" s="29">
        <v>6200</v>
      </c>
      <c r="E53" s="30">
        <v>183</v>
      </c>
      <c r="F53" s="30">
        <v>5843</v>
      </c>
      <c r="G53" s="30"/>
      <c r="H53" s="30">
        <v>1815</v>
      </c>
      <c r="I53" s="31">
        <v>14041</v>
      </c>
      <c r="J53" s="29">
        <v>6200</v>
      </c>
      <c r="K53" s="30">
        <v>183</v>
      </c>
      <c r="L53" s="30">
        <v>5843</v>
      </c>
      <c r="M53" s="30"/>
      <c r="N53" s="30">
        <v>1815</v>
      </c>
      <c r="O53" s="31">
        <f t="shared" si="2"/>
        <v>14041</v>
      </c>
      <c r="Q53" s="38">
        <f t="shared" si="1"/>
        <v>0</v>
      </c>
    </row>
    <row r="54" spans="2:17" s="2" customFormat="1" ht="15.75" x14ac:dyDescent="0.25">
      <c r="B54" s="8" t="s">
        <v>95</v>
      </c>
      <c r="C54" s="10" t="s">
        <v>96</v>
      </c>
      <c r="D54" s="29"/>
      <c r="E54" s="30"/>
      <c r="F54" s="30">
        <v>2039</v>
      </c>
      <c r="G54" s="30"/>
      <c r="H54" s="30">
        <v>4145</v>
      </c>
      <c r="I54" s="31">
        <v>6184</v>
      </c>
      <c r="J54" s="29"/>
      <c r="K54" s="30"/>
      <c r="L54" s="30">
        <v>2039</v>
      </c>
      <c r="M54" s="30"/>
      <c r="N54" s="30">
        <v>4138</v>
      </c>
      <c r="O54" s="31">
        <f t="shared" si="2"/>
        <v>6177</v>
      </c>
      <c r="Q54" s="38">
        <f t="shared" si="1"/>
        <v>-7</v>
      </c>
    </row>
    <row r="55" spans="2:17" s="2" customFormat="1" ht="15.75" x14ac:dyDescent="0.25">
      <c r="B55" s="8" t="s">
        <v>97</v>
      </c>
      <c r="C55" s="10" t="s">
        <v>98</v>
      </c>
      <c r="D55" s="29"/>
      <c r="E55" s="30"/>
      <c r="F55" s="30">
        <v>26243</v>
      </c>
      <c r="G55" s="30"/>
      <c r="H55" s="30">
        <v>1474</v>
      </c>
      <c r="I55" s="31">
        <v>27717</v>
      </c>
      <c r="J55" s="29"/>
      <c r="K55" s="30"/>
      <c r="L55" s="30">
        <v>33078</v>
      </c>
      <c r="M55" s="30"/>
      <c r="N55" s="30">
        <v>164</v>
      </c>
      <c r="O55" s="31">
        <f t="shared" si="2"/>
        <v>33242</v>
      </c>
      <c r="Q55" s="38">
        <f t="shared" si="1"/>
        <v>5525</v>
      </c>
    </row>
    <row r="56" spans="2:17" s="2" customFormat="1" ht="15.75" x14ac:dyDescent="0.25">
      <c r="B56" s="8" t="s">
        <v>99</v>
      </c>
      <c r="C56" s="10" t="s">
        <v>100</v>
      </c>
      <c r="D56" s="29"/>
      <c r="E56" s="30">
        <v>2200</v>
      </c>
      <c r="F56" s="30">
        <v>43061</v>
      </c>
      <c r="G56" s="30"/>
      <c r="H56" s="30">
        <v>3478</v>
      </c>
      <c r="I56" s="31">
        <v>48739</v>
      </c>
      <c r="J56" s="29"/>
      <c r="K56" s="30">
        <v>3700</v>
      </c>
      <c r="L56" s="30">
        <v>41561</v>
      </c>
      <c r="M56" s="30"/>
      <c r="N56" s="30">
        <v>2217</v>
      </c>
      <c r="O56" s="31">
        <f t="shared" si="2"/>
        <v>47478</v>
      </c>
      <c r="Q56" s="38">
        <f t="shared" si="1"/>
        <v>-1261</v>
      </c>
    </row>
    <row r="57" spans="2:17" s="2" customFormat="1" ht="15.75" x14ac:dyDescent="0.25">
      <c r="B57" s="8" t="s">
        <v>101</v>
      </c>
      <c r="C57" s="10" t="s">
        <v>102</v>
      </c>
      <c r="D57" s="29"/>
      <c r="E57" s="30">
        <v>773</v>
      </c>
      <c r="F57" s="30">
        <v>2675</v>
      </c>
      <c r="G57" s="30"/>
      <c r="H57" s="30">
        <v>1450</v>
      </c>
      <c r="I57" s="31">
        <v>4898</v>
      </c>
      <c r="J57" s="29"/>
      <c r="K57" s="30"/>
      <c r="L57" s="30">
        <v>2675</v>
      </c>
      <c r="M57" s="30"/>
      <c r="N57" s="30">
        <v>1450</v>
      </c>
      <c r="O57" s="31">
        <f t="shared" si="2"/>
        <v>4125</v>
      </c>
      <c r="Q57" s="38">
        <f t="shared" si="1"/>
        <v>-773</v>
      </c>
    </row>
    <row r="58" spans="2:17" s="2" customFormat="1" ht="15.75" x14ac:dyDescent="0.25">
      <c r="B58" s="8" t="s">
        <v>103</v>
      </c>
      <c r="C58" s="10" t="s">
        <v>104</v>
      </c>
      <c r="D58" s="29"/>
      <c r="E58" s="30"/>
      <c r="F58" s="30">
        <v>31598</v>
      </c>
      <c r="G58" s="30">
        <v>900</v>
      </c>
      <c r="H58" s="30">
        <v>15032</v>
      </c>
      <c r="I58" s="31">
        <v>47530</v>
      </c>
      <c r="J58" s="29"/>
      <c r="K58" s="30">
        <v>1626</v>
      </c>
      <c r="L58" s="30">
        <v>30214</v>
      </c>
      <c r="M58" s="30">
        <v>900</v>
      </c>
      <c r="N58" s="30">
        <v>14604</v>
      </c>
      <c r="O58" s="31">
        <f t="shared" si="2"/>
        <v>47344</v>
      </c>
      <c r="Q58" s="38">
        <f t="shared" si="1"/>
        <v>-186</v>
      </c>
    </row>
    <row r="59" spans="2:17" s="2" customFormat="1" ht="15.75" x14ac:dyDescent="0.25">
      <c r="B59" s="8" t="s">
        <v>105</v>
      </c>
      <c r="C59" s="10" t="s">
        <v>106</v>
      </c>
      <c r="D59" s="29"/>
      <c r="E59" s="30"/>
      <c r="F59" s="30"/>
      <c r="G59" s="30"/>
      <c r="H59" s="30"/>
      <c r="I59" s="32"/>
      <c r="J59" s="29"/>
      <c r="K59" s="30"/>
      <c r="L59" s="30"/>
      <c r="M59" s="30"/>
      <c r="N59" s="30"/>
      <c r="O59" s="31">
        <f t="shared" si="2"/>
        <v>0</v>
      </c>
      <c r="Q59" s="38">
        <f t="shared" si="1"/>
        <v>0</v>
      </c>
    </row>
    <row r="60" spans="2:17" s="2" customFormat="1" ht="15.75" x14ac:dyDescent="0.25">
      <c r="B60" s="8" t="s">
        <v>107</v>
      </c>
      <c r="C60" s="10" t="s">
        <v>108</v>
      </c>
      <c r="D60" s="29"/>
      <c r="E60" s="30"/>
      <c r="F60" s="30"/>
      <c r="G60" s="30"/>
      <c r="H60" s="30"/>
      <c r="I60" s="32"/>
      <c r="J60" s="29"/>
      <c r="K60" s="30"/>
      <c r="L60" s="30"/>
      <c r="M60" s="30"/>
      <c r="N60" s="30"/>
      <c r="O60" s="31">
        <f t="shared" si="2"/>
        <v>0</v>
      </c>
      <c r="Q60" s="38">
        <f t="shared" si="1"/>
        <v>0</v>
      </c>
    </row>
    <row r="61" spans="2:17" s="2" customFormat="1" ht="15.75" x14ac:dyDescent="0.25">
      <c r="B61" s="8" t="s">
        <v>109</v>
      </c>
      <c r="C61" s="10" t="s">
        <v>110</v>
      </c>
      <c r="D61" s="29"/>
      <c r="E61" s="30">
        <v>155</v>
      </c>
      <c r="F61" s="30">
        <v>264</v>
      </c>
      <c r="G61" s="30"/>
      <c r="H61" s="30"/>
      <c r="I61" s="31">
        <v>419</v>
      </c>
      <c r="J61" s="29"/>
      <c r="K61" s="30">
        <v>155</v>
      </c>
      <c r="L61" s="30">
        <v>264</v>
      </c>
      <c r="M61" s="30"/>
      <c r="N61" s="30"/>
      <c r="O61" s="31">
        <f t="shared" si="2"/>
        <v>419</v>
      </c>
      <c r="Q61" s="38">
        <f t="shared" si="1"/>
        <v>0</v>
      </c>
    </row>
    <row r="62" spans="2:17" s="2" customFormat="1" ht="15.75" x14ac:dyDescent="0.25">
      <c r="B62" s="8" t="s">
        <v>111</v>
      </c>
      <c r="C62" s="10" t="s">
        <v>112</v>
      </c>
      <c r="D62" s="29"/>
      <c r="E62" s="30"/>
      <c r="F62" s="30"/>
      <c r="G62" s="30"/>
      <c r="H62" s="30"/>
      <c r="I62" s="32"/>
      <c r="J62" s="29"/>
      <c r="K62" s="30"/>
      <c r="L62" s="30"/>
      <c r="M62" s="30"/>
      <c r="N62" s="30"/>
      <c r="O62" s="31">
        <f t="shared" si="2"/>
        <v>0</v>
      </c>
      <c r="Q62" s="38">
        <f t="shared" si="1"/>
        <v>0</v>
      </c>
    </row>
    <row r="63" spans="2:17" s="2" customFormat="1" ht="15.75" x14ac:dyDescent="0.25">
      <c r="B63" s="8" t="s">
        <v>113</v>
      </c>
      <c r="C63" s="10" t="s">
        <v>114</v>
      </c>
      <c r="D63" s="29"/>
      <c r="E63" s="30"/>
      <c r="F63" s="30"/>
      <c r="G63" s="30"/>
      <c r="H63" s="30"/>
      <c r="I63" s="32"/>
      <c r="J63" s="29"/>
      <c r="K63" s="30"/>
      <c r="L63" s="30"/>
      <c r="M63" s="30"/>
      <c r="N63" s="30"/>
      <c r="O63" s="31">
        <f t="shared" si="2"/>
        <v>0</v>
      </c>
      <c r="Q63" s="38">
        <f t="shared" si="1"/>
        <v>0</v>
      </c>
    </row>
    <row r="64" spans="2:17" s="2" customFormat="1" ht="15.75" x14ac:dyDescent="0.25">
      <c r="B64" s="8" t="s">
        <v>115</v>
      </c>
      <c r="C64" s="10" t="s">
        <v>116</v>
      </c>
      <c r="D64" s="29">
        <v>3447</v>
      </c>
      <c r="E64" s="30">
        <v>357</v>
      </c>
      <c r="F64" s="30">
        <v>340</v>
      </c>
      <c r="G64" s="30"/>
      <c r="H64" s="30">
        <v>300</v>
      </c>
      <c r="I64" s="31">
        <v>4444</v>
      </c>
      <c r="J64" s="29">
        <v>3447</v>
      </c>
      <c r="K64" s="30">
        <v>446</v>
      </c>
      <c r="L64" s="30">
        <v>340</v>
      </c>
      <c r="M64" s="30"/>
      <c r="N64" s="30">
        <v>300</v>
      </c>
      <c r="O64" s="31">
        <f t="shared" si="2"/>
        <v>4533</v>
      </c>
      <c r="Q64" s="38">
        <f t="shared" si="1"/>
        <v>89</v>
      </c>
    </row>
    <row r="65" spans="2:17" s="2" customFormat="1" ht="15.75" x14ac:dyDescent="0.25">
      <c r="B65" s="8" t="s">
        <v>117</v>
      </c>
      <c r="C65" s="10" t="s">
        <v>118</v>
      </c>
      <c r="D65" s="29">
        <v>1273</v>
      </c>
      <c r="E65" s="30"/>
      <c r="F65" s="30">
        <v>34257</v>
      </c>
      <c r="G65" s="30">
        <v>1950</v>
      </c>
      <c r="H65" s="30">
        <v>13280</v>
      </c>
      <c r="I65" s="31">
        <v>50760</v>
      </c>
      <c r="J65" s="29">
        <v>1273</v>
      </c>
      <c r="K65" s="30"/>
      <c r="L65" s="30">
        <v>35436</v>
      </c>
      <c r="M65" s="30">
        <v>1950</v>
      </c>
      <c r="N65" s="30">
        <v>13262</v>
      </c>
      <c r="O65" s="31">
        <f t="shared" si="2"/>
        <v>51921</v>
      </c>
      <c r="Q65" s="38">
        <f t="shared" si="1"/>
        <v>1161</v>
      </c>
    </row>
    <row r="66" spans="2:17" s="2" customFormat="1" ht="15.75" x14ac:dyDescent="0.25">
      <c r="B66" s="8" t="s">
        <v>119</v>
      </c>
      <c r="C66" s="10" t="s">
        <v>120</v>
      </c>
      <c r="D66" s="29"/>
      <c r="E66" s="30">
        <v>70</v>
      </c>
      <c r="F66" s="30">
        <v>42458</v>
      </c>
      <c r="G66" s="30"/>
      <c r="H66" s="30">
        <v>1308</v>
      </c>
      <c r="I66" s="31">
        <v>43836</v>
      </c>
      <c r="J66" s="29"/>
      <c r="K66" s="30">
        <v>70</v>
      </c>
      <c r="L66" s="30">
        <v>42458</v>
      </c>
      <c r="M66" s="30"/>
      <c r="N66" s="30">
        <v>1842</v>
      </c>
      <c r="O66" s="31">
        <f t="shared" si="2"/>
        <v>44370</v>
      </c>
      <c r="Q66" s="38">
        <f t="shared" si="1"/>
        <v>534</v>
      </c>
    </row>
    <row r="67" spans="2:17" s="2" customFormat="1" ht="15.75" x14ac:dyDescent="0.25">
      <c r="B67" s="8" t="s">
        <v>121</v>
      </c>
      <c r="C67" s="10" t="s">
        <v>122</v>
      </c>
      <c r="D67" s="29"/>
      <c r="E67" s="30"/>
      <c r="F67" s="30">
        <v>12200</v>
      </c>
      <c r="G67" s="30"/>
      <c r="H67" s="30">
        <v>625</v>
      </c>
      <c r="I67" s="31">
        <v>12825</v>
      </c>
      <c r="J67" s="29"/>
      <c r="K67" s="30"/>
      <c r="L67" s="30">
        <v>12200</v>
      </c>
      <c r="M67" s="30"/>
      <c r="N67" s="30">
        <v>625</v>
      </c>
      <c r="O67" s="31">
        <f t="shared" si="2"/>
        <v>12825</v>
      </c>
      <c r="Q67" s="38">
        <f t="shared" si="1"/>
        <v>0</v>
      </c>
    </row>
    <row r="68" spans="2:17" s="2" customFormat="1" ht="15.75" x14ac:dyDescent="0.25">
      <c r="B68" s="8" t="s">
        <v>123</v>
      </c>
      <c r="C68" s="10" t="s">
        <v>124</v>
      </c>
      <c r="D68" s="29">
        <v>7300</v>
      </c>
      <c r="E68" s="30">
        <v>1160</v>
      </c>
      <c r="F68" s="30"/>
      <c r="G68" s="30"/>
      <c r="H68" s="30">
        <v>1040</v>
      </c>
      <c r="I68" s="31">
        <v>9500</v>
      </c>
      <c r="J68" s="29">
        <v>7300</v>
      </c>
      <c r="K68" s="30">
        <v>1160</v>
      </c>
      <c r="L68" s="30"/>
      <c r="M68" s="30"/>
      <c r="N68" s="30">
        <v>981</v>
      </c>
      <c r="O68" s="31">
        <f t="shared" si="2"/>
        <v>9441</v>
      </c>
      <c r="Q68" s="38">
        <f t="shared" si="1"/>
        <v>-59</v>
      </c>
    </row>
    <row r="69" spans="2:17" s="2" customFormat="1" ht="15.75" x14ac:dyDescent="0.25">
      <c r="B69" s="8" t="s">
        <v>125</v>
      </c>
      <c r="C69" s="10" t="s">
        <v>126</v>
      </c>
      <c r="D69" s="29">
        <v>392</v>
      </c>
      <c r="E69" s="30"/>
      <c r="F69" s="30">
        <v>6890</v>
      </c>
      <c r="G69" s="30"/>
      <c r="H69" s="30"/>
      <c r="I69" s="31">
        <v>7282</v>
      </c>
      <c r="J69" s="29">
        <v>392</v>
      </c>
      <c r="K69" s="30"/>
      <c r="L69" s="30">
        <v>6890</v>
      </c>
      <c r="M69" s="30"/>
      <c r="N69" s="30"/>
      <c r="O69" s="31">
        <f t="shared" si="2"/>
        <v>7282</v>
      </c>
      <c r="Q69" s="38">
        <f t="shared" si="1"/>
        <v>0</v>
      </c>
    </row>
    <row r="70" spans="2:17" s="2" customFormat="1" ht="15.75" x14ac:dyDescent="0.25">
      <c r="B70" s="8" t="s">
        <v>127</v>
      </c>
      <c r="C70" s="10" t="s">
        <v>128</v>
      </c>
      <c r="D70" s="29"/>
      <c r="E70" s="30">
        <v>530</v>
      </c>
      <c r="F70" s="30">
        <v>61900</v>
      </c>
      <c r="G70" s="30">
        <v>380</v>
      </c>
      <c r="H70" s="30"/>
      <c r="I70" s="31">
        <v>62810</v>
      </c>
      <c r="J70" s="29"/>
      <c r="K70" s="30">
        <v>530</v>
      </c>
      <c r="L70" s="30">
        <v>61900</v>
      </c>
      <c r="M70" s="30">
        <v>380</v>
      </c>
      <c r="N70" s="30"/>
      <c r="O70" s="31">
        <f t="shared" si="2"/>
        <v>62810</v>
      </c>
      <c r="Q70" s="38">
        <f t="shared" si="1"/>
        <v>0</v>
      </c>
    </row>
    <row r="71" spans="2:17" s="2" customFormat="1" ht="15.75" x14ac:dyDescent="0.25">
      <c r="B71" s="8" t="s">
        <v>129</v>
      </c>
      <c r="C71" s="10" t="s">
        <v>130</v>
      </c>
      <c r="D71" s="29"/>
      <c r="E71" s="30"/>
      <c r="F71" s="30"/>
      <c r="G71" s="30"/>
      <c r="H71" s="30"/>
      <c r="I71" s="32"/>
      <c r="J71" s="29"/>
      <c r="K71" s="30"/>
      <c r="L71" s="30"/>
      <c r="M71" s="30"/>
      <c r="N71" s="30"/>
      <c r="O71" s="31">
        <f t="shared" si="2"/>
        <v>0</v>
      </c>
      <c r="Q71" s="38">
        <f t="shared" si="1"/>
        <v>0</v>
      </c>
    </row>
    <row r="72" spans="2:17" s="2" customFormat="1" ht="15.75" x14ac:dyDescent="0.25">
      <c r="B72" s="8" t="s">
        <v>131</v>
      </c>
      <c r="C72" s="10" t="s">
        <v>132</v>
      </c>
      <c r="D72" s="29"/>
      <c r="E72" s="30">
        <v>4629</v>
      </c>
      <c r="F72" s="30">
        <v>62295</v>
      </c>
      <c r="G72" s="30"/>
      <c r="H72" s="30">
        <v>836</v>
      </c>
      <c r="I72" s="31">
        <v>67760</v>
      </c>
      <c r="J72" s="29"/>
      <c r="K72" s="30">
        <v>956</v>
      </c>
      <c r="L72" s="30">
        <v>66101</v>
      </c>
      <c r="M72" s="30"/>
      <c r="N72" s="30">
        <v>836</v>
      </c>
      <c r="O72" s="31">
        <f t="shared" si="2"/>
        <v>67893</v>
      </c>
      <c r="Q72" s="38">
        <f t="shared" ref="Q72:Q88" si="3">+O72-I72</f>
        <v>133</v>
      </c>
    </row>
    <row r="73" spans="2:17" s="2" customFormat="1" ht="15.75" x14ac:dyDescent="0.25">
      <c r="B73" s="8" t="s">
        <v>133</v>
      </c>
      <c r="C73" s="10" t="s">
        <v>134</v>
      </c>
      <c r="D73" s="29">
        <v>265</v>
      </c>
      <c r="E73" s="30">
        <v>15537</v>
      </c>
      <c r="F73" s="30">
        <v>4039</v>
      </c>
      <c r="G73" s="30"/>
      <c r="H73" s="30">
        <v>4363</v>
      </c>
      <c r="I73" s="31">
        <v>24204</v>
      </c>
      <c r="J73" s="29">
        <v>265</v>
      </c>
      <c r="K73" s="30">
        <v>9537</v>
      </c>
      <c r="L73" s="30">
        <v>4039</v>
      </c>
      <c r="M73" s="30"/>
      <c r="N73" s="30">
        <v>4413</v>
      </c>
      <c r="O73" s="31">
        <f t="shared" ref="O73:O88" si="4">+J73+K73+L73+M73+N73</f>
        <v>18254</v>
      </c>
      <c r="Q73" s="38">
        <f t="shared" si="3"/>
        <v>-5950</v>
      </c>
    </row>
    <row r="74" spans="2:17" s="2" customFormat="1" ht="15.75" x14ac:dyDescent="0.25">
      <c r="B74" s="8" t="s">
        <v>135</v>
      </c>
      <c r="C74" s="10" t="s">
        <v>136</v>
      </c>
      <c r="D74" s="29"/>
      <c r="E74" s="30">
        <v>1112</v>
      </c>
      <c r="F74" s="30">
        <v>6920</v>
      </c>
      <c r="G74" s="30"/>
      <c r="H74" s="30"/>
      <c r="I74" s="31">
        <v>8032</v>
      </c>
      <c r="J74" s="29"/>
      <c r="K74" s="30">
        <v>1183</v>
      </c>
      <c r="L74" s="30">
        <v>6920</v>
      </c>
      <c r="M74" s="30"/>
      <c r="N74" s="30"/>
      <c r="O74" s="31">
        <f t="shared" si="4"/>
        <v>8103</v>
      </c>
      <c r="Q74" s="38">
        <f t="shared" si="3"/>
        <v>71</v>
      </c>
    </row>
    <row r="75" spans="2:17" s="2" customFormat="1" ht="15.75" x14ac:dyDescent="0.25">
      <c r="B75" s="8" t="s">
        <v>137</v>
      </c>
      <c r="C75" s="10" t="s">
        <v>138</v>
      </c>
      <c r="D75" s="29"/>
      <c r="E75" s="30"/>
      <c r="F75" s="30"/>
      <c r="G75" s="30"/>
      <c r="H75" s="30"/>
      <c r="I75" s="32"/>
      <c r="J75" s="29"/>
      <c r="K75" s="30">
        <v>535</v>
      </c>
      <c r="L75" s="30">
        <v>1222</v>
      </c>
      <c r="M75" s="30"/>
      <c r="N75" s="30"/>
      <c r="O75" s="31">
        <f t="shared" si="4"/>
        <v>1757</v>
      </c>
      <c r="Q75" s="38">
        <f t="shared" si="3"/>
        <v>1757</v>
      </c>
    </row>
    <row r="76" spans="2:17" s="2" customFormat="1" ht="15.75" x14ac:dyDescent="0.25">
      <c r="B76" s="8" t="s">
        <v>139</v>
      </c>
      <c r="C76" s="10" t="s">
        <v>140</v>
      </c>
      <c r="D76" s="29">
        <v>5063</v>
      </c>
      <c r="E76" s="30">
        <v>2574</v>
      </c>
      <c r="F76" s="30">
        <v>39899</v>
      </c>
      <c r="G76" s="30"/>
      <c r="H76" s="30">
        <v>440</v>
      </c>
      <c r="I76" s="31">
        <v>47976</v>
      </c>
      <c r="J76" s="29">
        <v>5063</v>
      </c>
      <c r="K76" s="30">
        <v>2574</v>
      </c>
      <c r="L76" s="30">
        <v>39899</v>
      </c>
      <c r="M76" s="30"/>
      <c r="N76" s="30">
        <v>440</v>
      </c>
      <c r="O76" s="31">
        <f t="shared" si="4"/>
        <v>47976</v>
      </c>
      <c r="Q76" s="38">
        <f t="shared" si="3"/>
        <v>0</v>
      </c>
    </row>
    <row r="77" spans="2:17" s="2" customFormat="1" ht="15.75" x14ac:dyDescent="0.25">
      <c r="B77" s="8" t="s">
        <v>141</v>
      </c>
      <c r="C77" s="10" t="s">
        <v>142</v>
      </c>
      <c r="D77" s="29">
        <v>1600</v>
      </c>
      <c r="E77" s="30">
        <v>3362</v>
      </c>
      <c r="F77" s="30">
        <v>17623</v>
      </c>
      <c r="G77" s="30"/>
      <c r="H77" s="30"/>
      <c r="I77" s="31">
        <v>22585</v>
      </c>
      <c r="J77" s="29">
        <v>1600</v>
      </c>
      <c r="K77" s="30">
        <v>3362</v>
      </c>
      <c r="L77" s="30">
        <v>17623</v>
      </c>
      <c r="M77" s="30"/>
      <c r="N77" s="30"/>
      <c r="O77" s="31">
        <f t="shared" si="4"/>
        <v>22585</v>
      </c>
      <c r="Q77" s="38">
        <f t="shared" si="3"/>
        <v>0</v>
      </c>
    </row>
    <row r="78" spans="2:17" s="2" customFormat="1" ht="15.75" x14ac:dyDescent="0.25">
      <c r="B78" s="8" t="s">
        <v>143</v>
      </c>
      <c r="C78" s="10" t="s">
        <v>144</v>
      </c>
      <c r="D78" s="29"/>
      <c r="E78" s="30">
        <v>115</v>
      </c>
      <c r="F78" s="30">
        <v>5377</v>
      </c>
      <c r="G78" s="30"/>
      <c r="H78" s="30">
        <v>140</v>
      </c>
      <c r="I78" s="31">
        <v>5632</v>
      </c>
      <c r="J78" s="29"/>
      <c r="K78" s="30">
        <v>115</v>
      </c>
      <c r="L78" s="30">
        <v>5377</v>
      </c>
      <c r="M78" s="30"/>
      <c r="N78" s="30">
        <v>140</v>
      </c>
      <c r="O78" s="31">
        <f t="shared" si="4"/>
        <v>5632</v>
      </c>
      <c r="Q78" s="38">
        <f t="shared" si="3"/>
        <v>0</v>
      </c>
    </row>
    <row r="79" spans="2:17" s="2" customFormat="1" ht="15.75" x14ac:dyDescent="0.25">
      <c r="B79" s="8" t="s">
        <v>145</v>
      </c>
      <c r="C79" s="10" t="s">
        <v>146</v>
      </c>
      <c r="D79" s="29"/>
      <c r="E79" s="30"/>
      <c r="F79" s="30"/>
      <c r="G79" s="30"/>
      <c r="H79" s="30"/>
      <c r="I79" s="32"/>
      <c r="J79" s="29"/>
      <c r="K79" s="30"/>
      <c r="L79" s="30"/>
      <c r="M79" s="30"/>
      <c r="N79" s="30"/>
      <c r="O79" s="31">
        <f t="shared" si="4"/>
        <v>0</v>
      </c>
      <c r="Q79" s="38">
        <f t="shared" si="3"/>
        <v>0</v>
      </c>
    </row>
    <row r="80" spans="2:17" s="2" customFormat="1" ht="15.75" x14ac:dyDescent="0.25">
      <c r="B80" s="8" t="s">
        <v>147</v>
      </c>
      <c r="C80" s="10" t="s">
        <v>148</v>
      </c>
      <c r="D80" s="29"/>
      <c r="E80" s="30"/>
      <c r="F80" s="30">
        <v>19106</v>
      </c>
      <c r="G80" s="30"/>
      <c r="H80" s="30">
        <v>2430</v>
      </c>
      <c r="I80" s="31">
        <v>21536</v>
      </c>
      <c r="J80" s="29"/>
      <c r="K80" s="30">
        <v>693</v>
      </c>
      <c r="L80" s="30">
        <v>19106</v>
      </c>
      <c r="M80" s="30"/>
      <c r="N80" s="30">
        <v>3305</v>
      </c>
      <c r="O80" s="31">
        <f t="shared" si="4"/>
        <v>23104</v>
      </c>
      <c r="Q80" s="38">
        <f t="shared" si="3"/>
        <v>1568</v>
      </c>
    </row>
    <row r="81" spans="2:17" s="2" customFormat="1" ht="15.75" x14ac:dyDescent="0.25">
      <c r="B81" s="8" t="s">
        <v>149</v>
      </c>
      <c r="C81" s="10" t="s">
        <v>150</v>
      </c>
      <c r="D81" s="29"/>
      <c r="E81" s="30">
        <v>1035</v>
      </c>
      <c r="F81" s="30">
        <v>13034</v>
      </c>
      <c r="G81" s="30"/>
      <c r="H81" s="30"/>
      <c r="I81" s="31">
        <v>14069</v>
      </c>
      <c r="J81" s="29"/>
      <c r="K81" s="30">
        <v>1222</v>
      </c>
      <c r="L81" s="30">
        <v>13034</v>
      </c>
      <c r="M81" s="30"/>
      <c r="N81" s="30"/>
      <c r="O81" s="31">
        <f t="shared" si="4"/>
        <v>14256</v>
      </c>
      <c r="Q81" s="38">
        <f t="shared" si="3"/>
        <v>187</v>
      </c>
    </row>
    <row r="82" spans="2:17" s="2" customFormat="1" ht="15.75" x14ac:dyDescent="0.25">
      <c r="B82" s="8" t="s">
        <v>151</v>
      </c>
      <c r="C82" s="10" t="s">
        <v>152</v>
      </c>
      <c r="D82" s="29"/>
      <c r="E82" s="30"/>
      <c r="F82" s="30">
        <v>718</v>
      </c>
      <c r="G82" s="30"/>
      <c r="H82" s="30"/>
      <c r="I82" s="31">
        <v>718</v>
      </c>
      <c r="J82" s="29"/>
      <c r="K82" s="30"/>
      <c r="L82" s="30">
        <v>718</v>
      </c>
      <c r="M82" s="30"/>
      <c r="N82" s="30"/>
      <c r="O82" s="31">
        <f t="shared" si="4"/>
        <v>718</v>
      </c>
      <c r="Q82" s="38">
        <f t="shared" si="3"/>
        <v>0</v>
      </c>
    </row>
    <row r="83" spans="2:17" s="2" customFormat="1" ht="15.75" x14ac:dyDescent="0.25">
      <c r="B83" s="8" t="s">
        <v>153</v>
      </c>
      <c r="C83" s="10" t="s">
        <v>154</v>
      </c>
      <c r="D83" s="29">
        <v>12245</v>
      </c>
      <c r="E83" s="30"/>
      <c r="F83" s="30">
        <v>186772</v>
      </c>
      <c r="G83" s="30">
        <v>7090</v>
      </c>
      <c r="H83" s="30">
        <v>143</v>
      </c>
      <c r="I83" s="31">
        <v>206250</v>
      </c>
      <c r="J83" s="29"/>
      <c r="K83" s="30"/>
      <c r="L83" s="30">
        <v>199017</v>
      </c>
      <c r="M83" s="30">
        <v>7090</v>
      </c>
      <c r="N83" s="30">
        <v>143</v>
      </c>
      <c r="O83" s="31">
        <f t="shared" si="4"/>
        <v>206250</v>
      </c>
      <c r="Q83" s="38">
        <f t="shared" si="3"/>
        <v>0</v>
      </c>
    </row>
    <row r="84" spans="2:17" s="2" customFormat="1" ht="15.75" x14ac:dyDescent="0.25">
      <c r="B84" s="8" t="s">
        <v>155</v>
      </c>
      <c r="C84" s="10" t="s">
        <v>156</v>
      </c>
      <c r="D84" s="29"/>
      <c r="E84" s="30"/>
      <c r="F84" s="30">
        <v>26370</v>
      </c>
      <c r="G84" s="30"/>
      <c r="H84" s="30">
        <v>866</v>
      </c>
      <c r="I84" s="31">
        <v>27236</v>
      </c>
      <c r="J84" s="29"/>
      <c r="K84" s="30"/>
      <c r="L84" s="30">
        <v>27570</v>
      </c>
      <c r="M84" s="30"/>
      <c r="N84" s="30">
        <v>1981</v>
      </c>
      <c r="O84" s="31">
        <f t="shared" si="4"/>
        <v>29551</v>
      </c>
      <c r="Q84" s="38">
        <f t="shared" si="3"/>
        <v>2315</v>
      </c>
    </row>
    <row r="85" spans="2:17" s="2" customFormat="1" ht="15.75" x14ac:dyDescent="0.25">
      <c r="B85" s="8" t="s">
        <v>157</v>
      </c>
      <c r="C85" s="10" t="s">
        <v>158</v>
      </c>
      <c r="D85" s="29"/>
      <c r="E85" s="30"/>
      <c r="F85" s="30">
        <v>8897</v>
      </c>
      <c r="G85" s="30"/>
      <c r="H85" s="30">
        <v>100</v>
      </c>
      <c r="I85" s="31">
        <v>8997</v>
      </c>
      <c r="J85" s="29"/>
      <c r="K85" s="30"/>
      <c r="L85" s="30">
        <v>8897</v>
      </c>
      <c r="M85" s="30"/>
      <c r="N85" s="30">
        <v>100</v>
      </c>
      <c r="O85" s="31">
        <f t="shared" si="4"/>
        <v>8997</v>
      </c>
      <c r="Q85" s="38">
        <f t="shared" si="3"/>
        <v>0</v>
      </c>
    </row>
    <row r="86" spans="2:17" s="2" customFormat="1" ht="15.75" x14ac:dyDescent="0.25">
      <c r="B86" s="8" t="s">
        <v>159</v>
      </c>
      <c r="C86" s="10" t="s">
        <v>160</v>
      </c>
      <c r="D86" s="29"/>
      <c r="E86" s="30"/>
      <c r="F86" s="30">
        <v>7550</v>
      </c>
      <c r="G86" s="30"/>
      <c r="H86" s="30"/>
      <c r="I86" s="31">
        <v>7550</v>
      </c>
      <c r="J86" s="29"/>
      <c r="K86" s="30"/>
      <c r="L86" s="30">
        <v>9050</v>
      </c>
      <c r="M86" s="30"/>
      <c r="N86" s="30"/>
      <c r="O86" s="31">
        <f t="shared" si="4"/>
        <v>9050</v>
      </c>
      <c r="Q86" s="38">
        <f t="shared" si="3"/>
        <v>1500</v>
      </c>
    </row>
    <row r="87" spans="2:17" s="2" customFormat="1" ht="15.75" x14ac:dyDescent="0.25">
      <c r="B87" s="8" t="s">
        <v>161</v>
      </c>
      <c r="C87" s="10" t="s">
        <v>162</v>
      </c>
      <c r="D87" s="29"/>
      <c r="E87" s="30"/>
      <c r="F87" s="30">
        <v>2923</v>
      </c>
      <c r="G87" s="30"/>
      <c r="H87" s="30"/>
      <c r="I87" s="31">
        <v>2923</v>
      </c>
      <c r="J87" s="29"/>
      <c r="K87" s="30"/>
      <c r="L87" s="30">
        <v>2923</v>
      </c>
      <c r="M87" s="30"/>
      <c r="N87" s="30"/>
      <c r="O87" s="31">
        <f t="shared" si="4"/>
        <v>2923</v>
      </c>
      <c r="Q87" s="38">
        <f t="shared" si="3"/>
        <v>0</v>
      </c>
    </row>
    <row r="88" spans="2:17" s="2" customFormat="1" ht="16.5" thickBot="1" x14ac:dyDescent="0.3">
      <c r="B88" s="11" t="s">
        <v>163</v>
      </c>
      <c r="C88" s="12" t="s">
        <v>164</v>
      </c>
      <c r="D88" s="33"/>
      <c r="E88" s="34"/>
      <c r="F88" s="34"/>
      <c r="G88" s="34"/>
      <c r="H88" s="34"/>
      <c r="I88" s="35"/>
      <c r="J88" s="33"/>
      <c r="K88" s="34"/>
      <c r="L88" s="34"/>
      <c r="M88" s="34"/>
      <c r="N88" s="34"/>
      <c r="O88" s="31">
        <f t="shared" si="4"/>
        <v>0</v>
      </c>
      <c r="Q88" s="38">
        <f t="shared" si="3"/>
        <v>0</v>
      </c>
    </row>
    <row r="89" spans="2:17" s="2" customFormat="1" ht="15.75" x14ac:dyDescent="0.25">
      <c r="B89" s="13" t="s">
        <v>82</v>
      </c>
      <c r="C89" s="14"/>
      <c r="D89" s="14"/>
      <c r="E89" s="14"/>
      <c r="F89" s="14"/>
      <c r="G89" s="14"/>
      <c r="H89" s="14"/>
      <c r="I89" s="14"/>
      <c r="J89" s="13" t="s">
        <v>82</v>
      </c>
      <c r="K89" s="14"/>
      <c r="L89" s="14"/>
      <c r="M89" s="14"/>
      <c r="N89" s="14"/>
      <c r="O89" s="14"/>
      <c r="Q89" s="36"/>
    </row>
    <row r="90" spans="2:17" s="2" customFormat="1" ht="15.75" x14ac:dyDescent="0.25">
      <c r="B90" s="52" t="s">
        <v>167</v>
      </c>
      <c r="C90" s="52"/>
      <c r="D90" s="14"/>
      <c r="E90" s="14"/>
      <c r="F90" s="14"/>
      <c r="G90" s="14"/>
      <c r="H90" s="14"/>
      <c r="I90" s="14"/>
      <c r="J90" s="52" t="s">
        <v>167</v>
      </c>
      <c r="K90" s="52"/>
      <c r="L90" s="14"/>
      <c r="M90" s="14"/>
      <c r="N90" s="14"/>
      <c r="O90" s="14"/>
      <c r="Q90" s="36"/>
    </row>
  </sheetData>
  <mergeCells count="17">
    <mergeCell ref="B90:C90"/>
    <mergeCell ref="D5:E5"/>
    <mergeCell ref="H5:H6"/>
    <mergeCell ref="F5:F6"/>
    <mergeCell ref="G5:G6"/>
    <mergeCell ref="J90:K90"/>
    <mergeCell ref="O5:O6"/>
    <mergeCell ref="M5:M6"/>
    <mergeCell ref="D4:I4"/>
    <mergeCell ref="J4:O4"/>
    <mergeCell ref="J5:K5"/>
    <mergeCell ref="L5:L6"/>
    <mergeCell ref="B4:B6"/>
    <mergeCell ref="C4:C6"/>
    <mergeCell ref="B2:O2"/>
    <mergeCell ref="N5:N6"/>
    <mergeCell ref="I5:I6"/>
  </mergeCells>
  <printOptions horizontalCentered="1"/>
  <pageMargins left="0.11811023622047245" right="0.11811023622047245" top="0.59055118110236227" bottom="0.15748031496062992" header="0.31496062992125984" footer="0.31496062992125984"/>
  <pageSetup paperSize="9" scale="57" orientation="landscape" r:id="rId1"/>
  <rowBreaks count="2" manualBreakCount="2">
    <brk id="90" max="16" man="1"/>
    <brk id="131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2.2.5.Tablo</vt:lpstr>
      <vt:lpstr>'2.2.5.Tablo'!Yazdırma_Alanı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2015-12-17T12:13:38Z</dcterms:modified>
</cp:coreProperties>
</file>