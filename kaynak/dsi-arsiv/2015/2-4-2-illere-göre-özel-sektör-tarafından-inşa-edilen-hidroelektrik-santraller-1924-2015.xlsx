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Users\taylans\Desktop\RİP SU KAYNAKLARI İSTATİSTİKLERİ_15.12.2016\RİP 2016\RİP 2016 SON 15.12.2016\"/>
    </mc:Choice>
  </mc:AlternateContent>
  <bookViews>
    <workbookView xWindow="480" yWindow="135" windowWidth="15600" windowHeight="11505"/>
  </bookViews>
  <sheets>
    <sheet name="2.4.2.Tablo" sheetId="3" r:id="rId1"/>
    <sheet name="Veri" sheetId="1" state="hidden" r:id="rId2"/>
    <sheet name="Sayfa1" sheetId="2" state="hidden" r:id="rId3"/>
  </sheets>
  <definedNames>
    <definedName name="_xlnm._FilterDatabase" localSheetId="2" hidden="1">Sayfa1!$A$1:$G$411</definedName>
    <definedName name="_xlnm._FilterDatabase" localSheetId="1" hidden="1">Veri!$B$3:$I$518</definedName>
    <definedName name="_xlnm.Print_Area" localSheetId="0">'2.4.2.Tablo'!$A$1:$S$618</definedName>
    <definedName name="_xlnm.Print_Area" localSheetId="1">Veri!$A$1:$J$519</definedName>
    <definedName name="_xlnm.Print_Titles" localSheetId="0">'2.4.2.Tablo'!$2:$3</definedName>
    <definedName name="_xlnm.Print_Titles" localSheetId="1">Veri!$2:$3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2" i="2" l="1"/>
  <c r="O462" i="2"/>
  <c r="O378" i="2"/>
  <c r="O232" i="2"/>
  <c r="O193" i="2"/>
  <c r="O137" i="2"/>
  <c r="O61" i="2"/>
  <c r="O53" i="2"/>
  <c r="O16" i="2"/>
  <c r="F515" i="2"/>
  <c r="Q94" i="2" l="1"/>
  <c r="N3" i="2"/>
  <c r="N4" i="2"/>
  <c r="N5" i="2"/>
  <c r="N67" i="2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K3" i="2"/>
  <c r="K4" i="2"/>
  <c r="K5" i="2"/>
  <c r="K6" i="2"/>
  <c r="K7" i="2"/>
  <c r="K8" i="2"/>
  <c r="K67" i="2" s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L66" i="2"/>
  <c r="L65" i="2"/>
  <c r="E498" i="2"/>
  <c r="E492" i="2"/>
  <c r="E462" i="2"/>
  <c r="E448" i="2"/>
  <c r="E380" i="2"/>
  <c r="E378" i="2"/>
  <c r="E344" i="2"/>
  <c r="G279" i="2"/>
  <c r="E262" i="2"/>
  <c r="E232" i="2"/>
  <c r="G227" i="2"/>
  <c r="G224" i="2"/>
  <c r="E193" i="2"/>
  <c r="E137" i="2"/>
  <c r="H102" i="2"/>
  <c r="G102" i="2"/>
  <c r="H97" i="2"/>
  <c r="E61" i="2"/>
  <c r="E53" i="2"/>
  <c r="E16" i="2"/>
  <c r="I517" i="1" l="1"/>
  <c r="H517" i="1"/>
  <c r="F500" i="1" l="1"/>
  <c r="F264" i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2" i="2"/>
  <c r="H517" i="2"/>
  <c r="G517" i="2"/>
  <c r="N2" i="2"/>
  <c r="K2" i="2"/>
  <c r="L67" i="2" l="1"/>
  <c r="I104" i="1"/>
  <c r="H104" i="1"/>
  <c r="F464" i="1"/>
  <c r="H281" i="1"/>
  <c r="H226" i="1" l="1"/>
  <c r="I99" i="1"/>
  <c r="I518" i="1" s="1"/>
  <c r="F382" i="1" l="1"/>
  <c r="F380" i="1"/>
  <c r="F195" i="1"/>
  <c r="F234" i="1"/>
  <c r="F450" i="1" s="1"/>
  <c r="F55" i="1"/>
  <c r="F494" i="1"/>
  <c r="F346" i="1"/>
  <c r="F139" i="1"/>
  <c r="F18" i="1"/>
  <c r="F63" i="1"/>
  <c r="H229" i="1"/>
  <c r="H518" i="1" s="1"/>
</calcChain>
</file>

<file path=xl/sharedStrings.xml><?xml version="1.0" encoding="utf-8"?>
<sst xmlns="http://schemas.openxmlformats.org/spreadsheetml/2006/main" count="5502" uniqueCount="740">
  <si>
    <t>Topuk Sant.</t>
  </si>
  <si>
    <t>2009-2010</t>
  </si>
  <si>
    <t>16.02.2012
14.11.2013</t>
  </si>
  <si>
    <t>Adana</t>
  </si>
  <si>
    <t>Adıyaman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</si>
  <si>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</si>
  <si>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</si>
  <si>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</si>
  <si>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</si>
  <si>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</si>
  <si>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</si>
  <si>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</si>
  <si>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</si>
  <si>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</si>
  <si>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</si>
  <si>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</si>
  <si>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</si>
  <si>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</si>
  <si>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</si>
  <si>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Bursa</t>
  </si>
  <si>
    <t>Çankırı</t>
  </si>
  <si>
    <t>Çorum</t>
  </si>
  <si>
    <t>Denizli</t>
  </si>
  <si>
    <t>Diyarbakır</t>
  </si>
  <si>
    <t>Düzce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</si>
  <si>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</si>
  <si>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</si>
  <si>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</si>
  <si>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</si>
  <si>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</si>
  <si>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</si>
  <si>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</si>
  <si>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</si>
  <si>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</si>
  <si>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</si>
  <si>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</si>
  <si>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Kahramanmaraş</t>
  </si>
  <si>
    <t>Karabük</t>
  </si>
  <si>
    <t>Karaman</t>
  </si>
  <si>
    <t>Kars</t>
  </si>
  <si>
    <t>Kastamonu</t>
  </si>
  <si>
    <t>Kayseri</t>
  </si>
  <si>
    <t>Kırıkkale</t>
  </si>
  <si>
    <t>Kocaeli</t>
  </si>
  <si>
    <t>Konya</t>
  </si>
  <si>
    <t>Kütahya</t>
  </si>
  <si>
    <t>Malatya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</si>
  <si>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</si>
  <si>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</si>
  <si>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</si>
  <si>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</si>
  <si>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</si>
  <si>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</si>
  <si>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</si>
  <si>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</si>
  <si>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</si>
  <si>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</si>
  <si>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</si>
  <si>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</si>
  <si>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</si>
  <si>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Tokat</t>
  </si>
  <si>
    <t>Trabzon</t>
  </si>
  <si>
    <t>Tunceli</t>
  </si>
  <si>
    <t>Van</t>
  </si>
  <si>
    <t>Zonguldak</t>
  </si>
  <si>
    <t>İli</t>
  </si>
  <si>
    <t>Tipi</t>
  </si>
  <si>
    <t>İşletmeye Alınma Tarihi</t>
  </si>
  <si>
    <t xml:space="preserve">Ortalama Enerji Üretimi
(GWh/Yıl)
</t>
  </si>
  <si>
    <t>Baraj</t>
  </si>
  <si>
    <t>Göl</t>
  </si>
  <si>
    <t>İsale Hattı</t>
  </si>
  <si>
    <t>Kanal</t>
  </si>
  <si>
    <t>Kanal (Tünelli)</t>
  </si>
  <si>
    <t>Kuvvet Tüneli</t>
  </si>
  <si>
    <t>Nehir</t>
  </si>
  <si>
    <t>TR221</t>
  </si>
  <si>
    <t>TR321</t>
  </si>
  <si>
    <t>TR322</t>
  </si>
  <si>
    <t>TR323</t>
  </si>
  <si>
    <t>TR332</t>
  </si>
  <si>
    <t>Afyonkarahisar</t>
  </si>
  <si>
    <t>TR333</t>
  </si>
  <si>
    <t>TR411</t>
  </si>
  <si>
    <t>TR412</t>
  </si>
  <si>
    <t>TR413</t>
  </si>
  <si>
    <t>TR424</t>
  </si>
  <si>
    <t>TR510</t>
  </si>
  <si>
    <t>TR521</t>
  </si>
  <si>
    <t>TR522</t>
  </si>
  <si>
    <t>TR611</t>
  </si>
  <si>
    <t>TR612</t>
  </si>
  <si>
    <t>TR621</t>
  </si>
  <si>
    <t>TR622</t>
  </si>
  <si>
    <t>TR631</t>
  </si>
  <si>
    <t>TR632</t>
  </si>
  <si>
    <t>TR633</t>
  </si>
  <si>
    <t>TR711</t>
  </si>
  <si>
    <t>TR713</t>
  </si>
  <si>
    <t>TR714</t>
  </si>
  <si>
    <t>TR721</t>
  </si>
  <si>
    <t>TR722</t>
  </si>
  <si>
    <t>TR811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</si>
  <si>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</si>
  <si>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</si>
  <si>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</si>
  <si>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</si>
  <si>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</si>
  <si>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</si>
  <si>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</si>
  <si>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</si>
  <si>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</si>
  <si>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TR905</t>
  </si>
  <si>
    <t>TR906</t>
  </si>
  <si>
    <t>TRA11</t>
  </si>
  <si>
    <t>TRA12</t>
  </si>
  <si>
    <t>TRA13</t>
  </si>
  <si>
    <t>TRA22</t>
  </si>
  <si>
    <t>TRB11</t>
  </si>
  <si>
    <t>TRB12</t>
  </si>
  <si>
    <t>TRB13</t>
  </si>
  <si>
    <t>TRB14</t>
  </si>
  <si>
    <t>TRB21</t>
  </si>
  <si>
    <t>TRB22</t>
  </si>
  <si>
    <t>TRB24</t>
  </si>
  <si>
    <t>TRC11</t>
  </si>
  <si>
    <t>TRC12</t>
  </si>
  <si>
    <t>TRC22</t>
  </si>
  <si>
    <t>TRC32</t>
  </si>
  <si>
    <t>TR421</t>
  </si>
  <si>
    <t>TR422</t>
  </si>
  <si>
    <t>TR423</t>
  </si>
  <si>
    <t>TR812</t>
  </si>
  <si>
    <t>TR813</t>
  </si>
  <si>
    <t>TR903</t>
  </si>
  <si>
    <t>TR904</t>
  </si>
  <si>
    <t>TRA23</t>
  </si>
  <si>
    <t>TRA24</t>
  </si>
  <si>
    <t>TRB23</t>
  </si>
  <si>
    <t>TRC34</t>
  </si>
  <si>
    <t>Şanlıurfa</t>
  </si>
  <si>
    <t>TRC21</t>
  </si>
  <si>
    <t>Proje Adı</t>
  </si>
  <si>
    <t>Kurulu Güç (MW)</t>
  </si>
  <si>
    <t>Pazarköy-Akyazı HES</t>
  </si>
  <si>
    <t>Haraklı-Hendek HES</t>
  </si>
  <si>
    <t>Bozüyük HES</t>
  </si>
  <si>
    <t>İvriz  HES</t>
  </si>
  <si>
    <t>Dere HES</t>
  </si>
  <si>
    <t>Göksu HES</t>
  </si>
  <si>
    <t>Ladik-Büyükkızoğlu  HES</t>
  </si>
  <si>
    <t xml:space="preserve">Kısık HES </t>
  </si>
  <si>
    <t>Arpaçay-Telek HES</t>
  </si>
  <si>
    <t>Esendal  HES</t>
  </si>
  <si>
    <t>Bozkır HES</t>
  </si>
  <si>
    <t>Ermenek  HES</t>
  </si>
  <si>
    <t>Suuçtu-Mustafa Kemal Paşa HES</t>
  </si>
  <si>
    <t>Değirmendere HES</t>
  </si>
  <si>
    <t>Karaçay HES</t>
  </si>
  <si>
    <t>Kuzuculu HES</t>
  </si>
  <si>
    <t>Erkenek HES</t>
  </si>
  <si>
    <t>Derme-Kapuluk HES</t>
  </si>
  <si>
    <t>Çemişgezek HES</t>
  </si>
  <si>
    <t>Sızır HES</t>
  </si>
  <si>
    <t>Pınarbaşı HES</t>
  </si>
  <si>
    <t>Bünyan HES</t>
  </si>
  <si>
    <t>Turunçova-Finike HES</t>
  </si>
  <si>
    <t>Ahlat  HES</t>
  </si>
  <si>
    <t>Adilcevaz HES</t>
  </si>
  <si>
    <t>Malazgirt  HES</t>
  </si>
  <si>
    <t>Varto-Sönmez HES</t>
  </si>
  <si>
    <t>Otluca  HES</t>
  </si>
  <si>
    <t>Kovada I HES</t>
  </si>
  <si>
    <t>Besni HES</t>
  </si>
  <si>
    <t>Bayburt  HES</t>
  </si>
  <si>
    <t>Kayadibi  HES</t>
  </si>
  <si>
    <t>Hasanlar Barajı ve HES</t>
  </si>
  <si>
    <t>Berdan Barajı ve HES</t>
  </si>
  <si>
    <t>İkizdere HES</t>
  </si>
  <si>
    <t>İnegöl-Cerrah HES</t>
  </si>
  <si>
    <t>İznik-Dereköy HES</t>
  </si>
  <si>
    <t>Kayaköy HES</t>
  </si>
  <si>
    <t>Çamardı HES</t>
  </si>
  <si>
    <t>Girlevik II HES</t>
  </si>
  <si>
    <t>Mercan HES</t>
  </si>
  <si>
    <t>Tohma-Medik HES</t>
  </si>
  <si>
    <t>Yamula Barajı ve HES</t>
  </si>
  <si>
    <t>Birecik Barajı ve HES</t>
  </si>
  <si>
    <t>Çayköy (Aksu) HES</t>
  </si>
  <si>
    <t>Dinar II HES</t>
  </si>
  <si>
    <t>Sütçüler HES</t>
  </si>
  <si>
    <t>Ahiköy I HES</t>
  </si>
  <si>
    <t>Ahiköy II HES</t>
  </si>
  <si>
    <t>Suçatı Barajı ve HES</t>
  </si>
  <si>
    <t>Çal HES</t>
  </si>
  <si>
    <t>Fethiye HES</t>
  </si>
  <si>
    <t>Gaziler HES</t>
  </si>
  <si>
    <t>Koyulhisar</t>
  </si>
  <si>
    <t>Açma HES</t>
  </si>
  <si>
    <t>Adacami HES</t>
  </si>
  <si>
    <t>Adasu HES</t>
  </si>
  <si>
    <t>Ağkolu HES</t>
  </si>
  <si>
    <t>Akbaş HES</t>
  </si>
  <si>
    <t>Akçay HES</t>
  </si>
  <si>
    <t>Akkaya HES</t>
  </si>
  <si>
    <t>Akkent-Çalkuyucak HES</t>
  </si>
  <si>
    <t>Akköy-Espiye HES</t>
  </si>
  <si>
    <t>Akocak HES</t>
  </si>
  <si>
    <t>Alakır HES</t>
  </si>
  <si>
    <t>Anak HES</t>
  </si>
  <si>
    <t>Andırın  HES</t>
  </si>
  <si>
    <t>Aralık HES</t>
  </si>
  <si>
    <t>Aslancık Barajı HES</t>
  </si>
  <si>
    <t>Ayancık HES</t>
  </si>
  <si>
    <t>Başak HES</t>
  </si>
  <si>
    <t xml:space="preserve">Başaran HES </t>
  </si>
  <si>
    <t>Bayburt HES</t>
  </si>
  <si>
    <t>Bayramlı HES</t>
  </si>
  <si>
    <t>Bektemur HES</t>
  </si>
  <si>
    <t>Bereket I HES (Serbest Ürt)</t>
  </si>
  <si>
    <t>Berke HES</t>
  </si>
  <si>
    <t>Birkapılı HES (Serbest Ürt)</t>
  </si>
  <si>
    <t>Bucakköy HES</t>
  </si>
  <si>
    <t>Burçak  HES</t>
  </si>
  <si>
    <t>Büyükdüz HES</t>
  </si>
  <si>
    <t>Can I HES</t>
  </si>
  <si>
    <t xml:space="preserve">Cansu HES </t>
  </si>
  <si>
    <t>Cevizlidere HES</t>
  </si>
  <si>
    <t>Çakırlar HES</t>
  </si>
  <si>
    <t>Çakıt HES</t>
  </si>
  <si>
    <t xml:space="preserve">Çaldere HES </t>
  </si>
  <si>
    <t>Çamlıkaya HES</t>
  </si>
  <si>
    <t>Çanakçı HES</t>
  </si>
  <si>
    <t>Çataloluk HES</t>
  </si>
  <si>
    <t>Çeltikdere HES</t>
  </si>
  <si>
    <t>Çeşmebaşı HES</t>
  </si>
  <si>
    <t>Çınar I HES</t>
  </si>
  <si>
    <t xml:space="preserve">Çifteköprü HES </t>
  </si>
  <si>
    <t>Çobanlı HES</t>
  </si>
  <si>
    <t>Çoraklı HES</t>
  </si>
  <si>
    <t>Çukurçayı HES</t>
  </si>
  <si>
    <t>Damlapınar HES</t>
  </si>
  <si>
    <t>Daran  HES</t>
  </si>
  <si>
    <t>Darca HES</t>
  </si>
  <si>
    <t>Darıveren HES</t>
  </si>
  <si>
    <t>Defne HES</t>
  </si>
  <si>
    <t>Değirmen HES</t>
  </si>
  <si>
    <t>Değirmenüstü HES</t>
  </si>
  <si>
    <t>Demirciler HES</t>
  </si>
  <si>
    <t>Diyoban HES</t>
  </si>
  <si>
    <t>Dodurgalar HES</t>
  </si>
  <si>
    <t>Doğankaya HES</t>
  </si>
  <si>
    <t>Doruk HES (Akfen)</t>
  </si>
  <si>
    <t>Ege I HES</t>
  </si>
  <si>
    <t>Eğer HES</t>
  </si>
  <si>
    <t>Eğlence I HES</t>
  </si>
  <si>
    <t>Erem HES</t>
  </si>
  <si>
    <t>Erenköy HES</t>
  </si>
  <si>
    <t>Erenler HES</t>
  </si>
  <si>
    <t>Erfelek HES</t>
  </si>
  <si>
    <t>Esendurak HES</t>
  </si>
  <si>
    <t>Eskiköy HES</t>
  </si>
  <si>
    <t>Eşen I Barajı HES</t>
  </si>
  <si>
    <t>Feke I HES</t>
  </si>
  <si>
    <t>Feslek HES (Serbest Ürt)</t>
  </si>
  <si>
    <t>Fındık HES</t>
  </si>
  <si>
    <t xml:space="preserve">Fırnıs HES </t>
  </si>
  <si>
    <t>Gecür HES</t>
  </si>
  <si>
    <t>Gelinkaya HES</t>
  </si>
  <si>
    <t>Gök HES</t>
  </si>
  <si>
    <t>Gökgedik HES</t>
  </si>
  <si>
    <t>Gökmen HES</t>
  </si>
  <si>
    <t xml:space="preserve">Gökyar HES </t>
  </si>
  <si>
    <t xml:space="preserve">Gözede I HES </t>
  </si>
  <si>
    <t>Güneşli HES</t>
  </si>
  <si>
    <t>Güzelçay I HES</t>
  </si>
  <si>
    <t>Güzeloluk HES</t>
  </si>
  <si>
    <t>Hacınınoğlu Kandil  HES</t>
  </si>
  <si>
    <t>Hamzalı HES</t>
  </si>
  <si>
    <t>Hasankale HES</t>
  </si>
  <si>
    <t>Hasanlar Kanal HES</t>
  </si>
  <si>
    <t>Horu HES</t>
  </si>
  <si>
    <t>Horyan HES</t>
  </si>
  <si>
    <t>Irmak HES</t>
  </si>
  <si>
    <t>İncesu HES</t>
  </si>
  <si>
    <t>İncirli HES</t>
  </si>
  <si>
    <t>Kahta I HES</t>
  </si>
  <si>
    <t xml:space="preserve">Kale HES </t>
  </si>
  <si>
    <t>Kale HES</t>
  </si>
  <si>
    <t xml:space="preserve">Kalealtı HES </t>
  </si>
  <si>
    <t>Kalen I HES</t>
  </si>
  <si>
    <t>Aksu HES</t>
  </si>
  <si>
    <t>Kaletepe HES</t>
  </si>
  <si>
    <t>Kandil Dağdelen HES</t>
  </si>
  <si>
    <t>Karaköy HES</t>
  </si>
  <si>
    <t xml:space="preserve">Karasu HES </t>
  </si>
  <si>
    <t>Karasu I HES</t>
  </si>
  <si>
    <t>Karasu V  HES</t>
  </si>
  <si>
    <t>Kargılık HES (Serbest Ürt)</t>
  </si>
  <si>
    <t>Karşıyaka HES</t>
  </si>
  <si>
    <t>Kartalkaya HES</t>
  </si>
  <si>
    <t>Kavakçalı HES</t>
  </si>
  <si>
    <t>Kavşak Bendi HES</t>
  </si>
  <si>
    <t>Kayabükü HES</t>
  </si>
  <si>
    <t xml:space="preserve">Keban Deresi HES </t>
  </si>
  <si>
    <t>Keklicek HES</t>
  </si>
  <si>
    <t>Kemerçayır HES</t>
  </si>
  <si>
    <t>Kepezkaya HES</t>
  </si>
  <si>
    <t>Kıran HES</t>
  </si>
  <si>
    <t>Kırıkdağ HES</t>
  </si>
  <si>
    <t>Kıy HES</t>
  </si>
  <si>
    <t>Kirazlık HES</t>
  </si>
  <si>
    <t>Koçak HES</t>
  </si>
  <si>
    <t>Koruköy HES</t>
  </si>
  <si>
    <t>Kozan HES (Kozan Barajı Dipsavak Çıkışı)</t>
  </si>
  <si>
    <t>Kozdere HES</t>
  </si>
  <si>
    <t>Köknar HES</t>
  </si>
  <si>
    <t>Köprübaşı HES</t>
  </si>
  <si>
    <t>Köyobası HES</t>
  </si>
  <si>
    <t>Kulp I HES</t>
  </si>
  <si>
    <t>Kumköy HES</t>
  </si>
  <si>
    <t>Kürce HES</t>
  </si>
  <si>
    <t>Mavi HES</t>
  </si>
  <si>
    <t xml:space="preserve">Molu HES  </t>
  </si>
  <si>
    <t>Murgul HES</t>
  </si>
  <si>
    <t>Narinkale HES</t>
  </si>
  <si>
    <t>Niksar HES</t>
  </si>
  <si>
    <t>Ordu HES</t>
  </si>
  <si>
    <t>Ortaçağ HES</t>
  </si>
  <si>
    <t>Osmancık HES</t>
  </si>
  <si>
    <t>Otluca HES</t>
  </si>
  <si>
    <t>Oylat I HES</t>
  </si>
  <si>
    <t>Ören HES</t>
  </si>
  <si>
    <t>Özlüce (Çoruh) HES</t>
  </si>
  <si>
    <t>Pamukova HES (Serbest Ürt)</t>
  </si>
  <si>
    <t>Papart HES</t>
  </si>
  <si>
    <t>Pirinçli HES</t>
  </si>
  <si>
    <t xml:space="preserve">Polat HES </t>
  </si>
  <si>
    <t>Poyraz HES</t>
  </si>
  <si>
    <t>Remsu HES</t>
  </si>
  <si>
    <t>Saf I HES</t>
  </si>
  <si>
    <t>Sancar HES</t>
  </si>
  <si>
    <t>Saraçbendi HES</t>
  </si>
  <si>
    <t>Sarıhıdır I HES</t>
  </si>
  <si>
    <t>Sarıkavak HES</t>
  </si>
  <si>
    <t>Sarımehmet HES</t>
  </si>
  <si>
    <t>Sarıtepe HES</t>
  </si>
  <si>
    <t xml:space="preserve">Sarmaşık I HES </t>
  </si>
  <si>
    <t>Sayan HES</t>
  </si>
  <si>
    <t>Sena HES</t>
  </si>
  <si>
    <t>Sırakonaklar HES</t>
  </si>
  <si>
    <t>Sırma HES</t>
  </si>
  <si>
    <t>Soğukpınar HES</t>
  </si>
  <si>
    <t>Sukenarı HES</t>
  </si>
  <si>
    <t>Suluköy HES</t>
  </si>
  <si>
    <t>Sümer HES</t>
  </si>
  <si>
    <t>Şifrin HES</t>
  </si>
  <si>
    <t>Taşova-Yenidereköy HES</t>
  </si>
  <si>
    <t xml:space="preserve">Tayfun HES </t>
  </si>
  <si>
    <t>Tefen HES</t>
  </si>
  <si>
    <t>Telli-I HES</t>
  </si>
  <si>
    <t>Tınaztepe HES</t>
  </si>
  <si>
    <t>Tocak I HES</t>
  </si>
  <si>
    <t>Torlar HES</t>
  </si>
  <si>
    <t>Toros HES</t>
  </si>
  <si>
    <t>Tuztaşı HES</t>
  </si>
  <si>
    <t>Üçhanlar HES</t>
  </si>
  <si>
    <t>Üçharmanlar HES</t>
  </si>
  <si>
    <t>Üçkaya HES</t>
  </si>
  <si>
    <t>Üzümlü HES</t>
  </si>
  <si>
    <t>Vizara Reg. HES</t>
  </si>
  <si>
    <t>Yahyabey HES</t>
  </si>
  <si>
    <t>Yamaç HES   (Mehmetli Barajı )</t>
  </si>
  <si>
    <t>Yaprak HES</t>
  </si>
  <si>
    <t>Yaşıl HES</t>
  </si>
  <si>
    <t>Yavuz  HES</t>
  </si>
  <si>
    <t>Yavuz HES</t>
  </si>
  <si>
    <t>Yayla HES</t>
  </si>
  <si>
    <t>Yaylabel HES</t>
  </si>
  <si>
    <t>Yazı HES</t>
  </si>
  <si>
    <t>Yazyurdu HES</t>
  </si>
  <si>
    <t>Yeşil HES</t>
  </si>
  <si>
    <t>Yeşilvadi HES</t>
  </si>
  <si>
    <t>Yokuşlu Kalkandere HES</t>
  </si>
  <si>
    <t xml:space="preserve">Yukarı Mercan HES </t>
  </si>
  <si>
    <t>Yüce HES</t>
  </si>
  <si>
    <t>Gönen Barajı ve HES</t>
  </si>
  <si>
    <t xml:space="preserve">Aksu Reg. ve Şahmallar HES </t>
  </si>
  <si>
    <t>Alkumru Barajı ve HES</t>
  </si>
  <si>
    <t>Araklı I Reg. ve HES</t>
  </si>
  <si>
    <t>Arca Reg. ve HES</t>
  </si>
  <si>
    <t>Arpa Reg. ve HES</t>
  </si>
  <si>
    <t>Avanos Reg. ve Cemel HES</t>
  </si>
  <si>
    <t>Avcılar Reg. ve  HES</t>
  </si>
  <si>
    <t>Bağışlı Reg. ve HES</t>
  </si>
  <si>
    <t>Balkodu I Reg. ve HES</t>
  </si>
  <si>
    <t>Balkusan Barajı ve HES</t>
  </si>
  <si>
    <t>Bayramhacılı Barajı ve HES</t>
  </si>
  <si>
    <t>Boyabat Barajı ve HES</t>
  </si>
  <si>
    <t>Boztepe Reg. ve HES</t>
  </si>
  <si>
    <t>Bulam Reg ve  HES</t>
  </si>
  <si>
    <t>Burç Bendi ve HES</t>
  </si>
  <si>
    <t>Cevizlik Barajı ve HES</t>
  </si>
  <si>
    <t>Ceyhan Barajı ve HES</t>
  </si>
  <si>
    <t>Cindere Barajı ve HES</t>
  </si>
  <si>
    <t>Cüniş Reg. ve HES</t>
  </si>
  <si>
    <t>Çağlayan Reg. ve HES</t>
  </si>
  <si>
    <t>Çakırman Reg. ve HES</t>
  </si>
  <si>
    <t xml:space="preserve">Çalkışla Reg. ve HES </t>
  </si>
  <si>
    <t>Çambaşı Reg. ve HES</t>
  </si>
  <si>
    <t>Çarşamba Reg. ve HES</t>
  </si>
  <si>
    <t xml:space="preserve">Çaygören Barajı ve HES </t>
  </si>
  <si>
    <t>Çenger Reg. ve HES</t>
  </si>
  <si>
    <t>Çermikler Barajı ve HES</t>
  </si>
  <si>
    <t>Çırakdamı Reg. ve HES</t>
  </si>
  <si>
    <t>Çiğdem Reg. ve HES</t>
  </si>
  <si>
    <t>Devecikonağı Barajı ve HES</t>
  </si>
  <si>
    <t>Dim Barajı ve HES</t>
  </si>
  <si>
    <t>Dumlu Reg. ve HES</t>
  </si>
  <si>
    <t>Erkenek Reg. ve HES</t>
  </si>
  <si>
    <t>Garzan Barajı ve HES</t>
  </si>
  <si>
    <t>Gemciler Reg.ve HES</t>
  </si>
  <si>
    <t>Güllübağ Barajı ve HES</t>
  </si>
  <si>
    <t>Günayşe Reg. ve HES</t>
  </si>
  <si>
    <t>Günder Barajı ve HES</t>
  </si>
  <si>
    <t>Kahraman Reg. ve HES</t>
  </si>
  <si>
    <t>Kale Reg. ve HES</t>
  </si>
  <si>
    <t>Kandil Barajı ve HES</t>
  </si>
  <si>
    <t>Kayalık Reg.ve HES</t>
  </si>
  <si>
    <t>Kesme Reg ve HES</t>
  </si>
  <si>
    <t>Kozak Bendi ve HES</t>
  </si>
  <si>
    <t>Köprü Barajı ve HES</t>
  </si>
  <si>
    <t>Köprübaşı  Barajı ve HES</t>
  </si>
  <si>
    <t>Kuşaklı Barajı ve HES</t>
  </si>
  <si>
    <t>Menge Barajı ve HES</t>
  </si>
  <si>
    <t xml:space="preserve">Mentaş Reg. ve HES </t>
  </si>
  <si>
    <t>Merekler Reg. ve Algölü HES</t>
  </si>
  <si>
    <t>Midilli Reg. ve HES</t>
  </si>
  <si>
    <t>Muratlı Reg. ve HES</t>
  </si>
  <si>
    <t>Pamuk Reg. ve HES (Serbest Ürt)</t>
  </si>
  <si>
    <t>Paşa Reg. ve HES</t>
  </si>
  <si>
    <t>Pınar Reg. ve HES</t>
  </si>
  <si>
    <t xml:space="preserve">Kandil Sarıgüzel Barajı ve HES </t>
  </si>
  <si>
    <t>Sefaköy Barajı ve HES</t>
  </si>
  <si>
    <t>Selimoğlu Reg.ve HES</t>
  </si>
  <si>
    <t>Sırımtaş Barajı ve HES</t>
  </si>
  <si>
    <t xml:space="preserve">Sugözü Reg. ve Kızıldüz HES </t>
  </si>
  <si>
    <t xml:space="preserve">Tahta Reg. ve HES </t>
  </si>
  <si>
    <t>Tatar Barajı ve HES</t>
  </si>
  <si>
    <t>Teleme Reg.ve HES</t>
  </si>
  <si>
    <t>Tuna  Barajı ve HES</t>
  </si>
  <si>
    <t>Tuzköy Reg. ve HES</t>
  </si>
  <si>
    <t>Uluabat Kuvvet Tüneli ve HES</t>
  </si>
  <si>
    <t xml:space="preserve">Uzunçayır Barajı ve HES </t>
  </si>
  <si>
    <t>Yağmur Reg. ve HES (Akfen)</t>
  </si>
  <si>
    <t>Yedigöl Reg. ve HES</t>
  </si>
  <si>
    <t>Yedigöze Barajı  ve  HES</t>
  </si>
  <si>
    <t>Yedisu Barajı ve HES</t>
  </si>
  <si>
    <t>Yeşilırmak I Reg. ve HES</t>
  </si>
  <si>
    <t>Yıldırım Reg. ve HES</t>
  </si>
  <si>
    <t>Yıldızlı Reg. ve HES</t>
  </si>
  <si>
    <t xml:space="preserve">Yukarı Manahoz Reg. ve HES </t>
  </si>
  <si>
    <t>Zamantı Bahçelik Barajı ve HES</t>
  </si>
  <si>
    <t>Zeytin Reg. ve HES</t>
  </si>
  <si>
    <t>Yaprak II HES</t>
  </si>
  <si>
    <t>Yamanlı III (Gökkaya Barajı)</t>
  </si>
  <si>
    <t>Yamanlı III (Himmetli)</t>
  </si>
  <si>
    <t>Hazar I (İHD) HES</t>
  </si>
  <si>
    <t>Akköy II Barajı ve HES</t>
  </si>
  <si>
    <t>Aksu Reg. ve HES</t>
  </si>
  <si>
    <t>Visera (Işıklar) HES</t>
  </si>
  <si>
    <t>Çamlıca I Barajı ve HES</t>
  </si>
  <si>
    <t>Hazar II (İHD) HES</t>
  </si>
  <si>
    <t>Akköy I Barajı ve HES</t>
  </si>
  <si>
    <t>Alabalık I-II Reg. ve HES</t>
  </si>
  <si>
    <t xml:space="preserve">Altıntepe-Suşehri HES </t>
  </si>
  <si>
    <t xml:space="preserve">Beypınarı-Suşehri HES </t>
  </si>
  <si>
    <t xml:space="preserve">Gölova HES-Suşehri HES </t>
  </si>
  <si>
    <t>Konak-Suşehri HES</t>
  </si>
  <si>
    <t xml:space="preserve">Sevindik HES-Suşehri HES </t>
  </si>
  <si>
    <t>Araklı IV. Reg. ve HES</t>
  </si>
  <si>
    <t>Aşağıdalaman I HES (OTOP)</t>
  </si>
  <si>
    <t>Aşağıdalaman II HES (OTOP)</t>
  </si>
  <si>
    <t>Aşağıdalaman III HES (OTOP)</t>
  </si>
  <si>
    <t>Aşağıdalaman IV HES (OTOP)</t>
  </si>
  <si>
    <t>Aşağıdalaman V HES (OTOP)</t>
  </si>
  <si>
    <t>Azmak I-II ve Kirpilik HES</t>
  </si>
  <si>
    <t>Ayvasıl Reg. ve HES</t>
  </si>
  <si>
    <t>Bağcı-Beyobası HES (OTOP)</t>
  </si>
  <si>
    <t>Hacılar (Gökpınar) (OTOP)</t>
  </si>
  <si>
    <t>Süleymanlı HES (OTOP)</t>
  </si>
  <si>
    <t>Bağıştaş II  HES</t>
  </si>
  <si>
    <t>Bangal Reg. ve Kuşluk HES</t>
  </si>
  <si>
    <t>Bereket II HES (Serbest Ürt)</t>
  </si>
  <si>
    <t>Bükor II HES</t>
  </si>
  <si>
    <t>Cevher I-II HES</t>
  </si>
  <si>
    <t>Darıca HES I</t>
  </si>
  <si>
    <t>Dinar Reg. ve HES</t>
  </si>
  <si>
    <t>Dinç Reg. ve HES</t>
  </si>
  <si>
    <t>Duru I Reg ve HES</t>
  </si>
  <si>
    <t>Duru II Reg. ve HES</t>
  </si>
  <si>
    <t>Egemen I HES</t>
  </si>
  <si>
    <t>Eğlence II HES</t>
  </si>
  <si>
    <t>Eşen  II  HES (Serbest Ürt)</t>
  </si>
  <si>
    <t xml:space="preserve">Feke II Barajı ve HES </t>
  </si>
  <si>
    <t>Gözede II HES</t>
  </si>
  <si>
    <t>Güdül I-II HES</t>
  </si>
  <si>
    <t>Güneşli II HES</t>
  </si>
  <si>
    <t>Kabaca Reg. ve HES</t>
  </si>
  <si>
    <t>Kalecik I-II-III HES</t>
  </si>
  <si>
    <t>Kalen II HES</t>
  </si>
  <si>
    <t>Karasu II  HES</t>
  </si>
  <si>
    <t>Karasu IV-II</t>
  </si>
  <si>
    <t>Karasu IV-III</t>
  </si>
  <si>
    <t>Kayaköprü II HES</t>
  </si>
  <si>
    <t>Kirazdere HES (Kızkalesi HES)</t>
  </si>
  <si>
    <t>Kulp IV HES</t>
  </si>
  <si>
    <t>Lamas III-IV HES</t>
  </si>
  <si>
    <t xml:space="preserve">Mor-II HES </t>
  </si>
  <si>
    <t xml:space="preserve">Muradiye-Ayrancılar  (Şelale-Ayrancılar HES) </t>
  </si>
  <si>
    <t>Murat-I-II HES</t>
  </si>
  <si>
    <t xml:space="preserve">Mursal I-II HES </t>
  </si>
  <si>
    <t>Reşadiye I-II-III HES</t>
  </si>
  <si>
    <t>Sabunsuyu II HES</t>
  </si>
  <si>
    <t xml:space="preserve">Sarmaşık II HES </t>
  </si>
  <si>
    <t>Seyrantepe Barajı ve HES</t>
  </si>
  <si>
    <t>Söğütlükaya (Posof III) HES</t>
  </si>
  <si>
    <t>Tonya I-II HES</t>
  </si>
  <si>
    <t>Tuğra I-II-III HES</t>
  </si>
  <si>
    <t>Tuzlaköy-Serge Reg. ve HES</t>
  </si>
  <si>
    <t>Uzundere I HES</t>
  </si>
  <si>
    <t>Uzundere II HES</t>
  </si>
  <si>
    <t>Yalnızca Reg. ve HES</t>
  </si>
  <si>
    <t>Yaprak I Barajı ve HES</t>
  </si>
  <si>
    <t>IBBS(1) - 3. Düzey</t>
  </si>
  <si>
    <t>(1) İstatistiki Bölge Birimleri Sınıflaması.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</si>
  <si>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</si>
  <si>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Ortalama Enerji Üretimi (GWh/Yıl)</t>
  </si>
  <si>
    <t>Akdere Reg. ve HES</t>
  </si>
  <si>
    <t>Akköy I Cansuyu HES</t>
  </si>
  <si>
    <t>Akköy II Aladereçam HES</t>
  </si>
  <si>
    <t>Aksu Reg ve HES</t>
  </si>
  <si>
    <t>Arısu HES</t>
  </si>
  <si>
    <t>Arkun  Barajı ve HES</t>
  </si>
  <si>
    <t>Baran HES</t>
  </si>
  <si>
    <t>Boğazköy Barajı Ve HES</t>
  </si>
  <si>
    <t>Çağlayan HES</t>
  </si>
  <si>
    <t>Çamlıca II HES</t>
  </si>
  <si>
    <t>Dağbaşı HES</t>
  </si>
  <si>
    <t>Dereli HES</t>
  </si>
  <si>
    <t>Doğançay HES</t>
  </si>
  <si>
    <t>Ekincik HES</t>
  </si>
  <si>
    <t>Ekinözü I-II HES</t>
  </si>
  <si>
    <t>Eren HES</t>
  </si>
  <si>
    <t>General HES</t>
  </si>
  <si>
    <t>Gökbel I-II HES</t>
  </si>
  <si>
    <t>Havva HES</t>
  </si>
  <si>
    <t>Kamer Reg. Ve HES</t>
  </si>
  <si>
    <t>Koçlu HES</t>
  </si>
  <si>
    <t xml:space="preserve">Köroğlu HES </t>
  </si>
  <si>
    <t xml:space="preserve">Murat HES </t>
  </si>
  <si>
    <t>Pirinçlik HES</t>
  </si>
  <si>
    <t>Saray HES</t>
  </si>
  <si>
    <t>Serap HES</t>
  </si>
  <si>
    <t>Sölperen HES</t>
  </si>
  <si>
    <t>Tokmadin HES</t>
  </si>
  <si>
    <t>Tuana HES</t>
  </si>
  <si>
    <t>Üçgen HES</t>
  </si>
  <si>
    <t>Yakınca Reg. Ve HES</t>
  </si>
  <si>
    <t>Yazılı I-II-III HES</t>
  </si>
  <si>
    <t>Yeşilköy Reg. Ve HES</t>
  </si>
  <si>
    <t>Zala HES</t>
  </si>
  <si>
    <t>Zekere HES</t>
  </si>
  <si>
    <t>Gökboyun Reg ve HES</t>
  </si>
  <si>
    <t>Gürgen Reg. ve HES</t>
  </si>
  <si>
    <t>Hamzabey Reg. ve HES</t>
  </si>
  <si>
    <t xml:space="preserve">Kanal </t>
  </si>
  <si>
    <t>Araklı -III Reg. ve HES</t>
  </si>
  <si>
    <t>Üçgen II HES</t>
  </si>
  <si>
    <t>Düzce - Aksu HES</t>
  </si>
  <si>
    <t>Genel Toplam</t>
  </si>
  <si>
    <t>Hes Sayısı</t>
  </si>
  <si>
    <t>Toplam Balıkesir</t>
  </si>
  <si>
    <t>Toplam Aydın</t>
  </si>
  <si>
    <t>Toplam Denizli</t>
  </si>
  <si>
    <t>Toplam Muğla</t>
  </si>
  <si>
    <t>Toplam Afyonkarahisar</t>
  </si>
  <si>
    <t>Toplam Kütahya</t>
  </si>
  <si>
    <t>Toplam Bursa</t>
  </si>
  <si>
    <t>Toplam Eskişehir</t>
  </si>
  <si>
    <t>Toplam Bilecik</t>
  </si>
  <si>
    <t>Toplam Kocaeli</t>
  </si>
  <si>
    <t>Toplam Sakarya</t>
  </si>
  <si>
    <t>Toplam Düzce</t>
  </si>
  <si>
    <t>Toplam Bolu</t>
  </si>
  <si>
    <t>Toplam Ankara</t>
  </si>
  <si>
    <t>Toplam Konya</t>
  </si>
  <si>
    <t>Toplam Karaman</t>
  </si>
  <si>
    <t>Toplam Antalya</t>
  </si>
  <si>
    <t>Toplam Isparta</t>
  </si>
  <si>
    <t>Toplam Adana</t>
  </si>
  <si>
    <t>Toplam Mersin</t>
  </si>
  <si>
    <t>Toplam Hatay</t>
  </si>
  <si>
    <t>Toplam Kahramanmaraş</t>
  </si>
  <si>
    <t>Toplam Osmaniye</t>
  </si>
  <si>
    <t>Toplam Kırıkkale</t>
  </si>
  <si>
    <t>Toplam Niğde</t>
  </si>
  <si>
    <t>Toplam Nevşehir</t>
  </si>
  <si>
    <t>Toplam Kayseri</t>
  </si>
  <si>
    <t>Toplam Sivas</t>
  </si>
  <si>
    <t>Toplam Zonguldak</t>
  </si>
  <si>
    <t>Toplam Karabük</t>
  </si>
  <si>
    <t>Toplam Bartın</t>
  </si>
  <si>
    <t>Toplam Kastamonu</t>
  </si>
  <si>
    <t>Toplam Çankırı</t>
  </si>
  <si>
    <t>Toplam Sinop</t>
  </si>
  <si>
    <t>Toplam Samsun</t>
  </si>
  <si>
    <t>Toplam Tokat</t>
  </si>
  <si>
    <t>Toplam Çorum</t>
  </si>
  <si>
    <t>Toplam Amasya</t>
  </si>
  <si>
    <t>Toplam Trabzon</t>
  </si>
  <si>
    <t>Toplam Ordu</t>
  </si>
  <si>
    <t>Toplam Giresun</t>
  </si>
  <si>
    <t>Toplam Rize</t>
  </si>
  <si>
    <t>Toplam Artvin</t>
  </si>
  <si>
    <t>Toplam Gümüşhane</t>
  </si>
  <si>
    <t>Toplam Erzurum</t>
  </si>
  <si>
    <t>Toplam Erzincan</t>
  </si>
  <si>
    <t>Toplam Bayburt</t>
  </si>
  <si>
    <t>Toplam Kars</t>
  </si>
  <si>
    <t>Toplam Iğdır</t>
  </si>
  <si>
    <t>Toplam Ardahan</t>
  </si>
  <si>
    <t>Toplam Malatya</t>
  </si>
  <si>
    <t>Toplam Elazığ</t>
  </si>
  <si>
    <t>Toplam Bingöl</t>
  </si>
  <si>
    <t>Toplam Tunceli</t>
  </si>
  <si>
    <t>Toplam Van</t>
  </si>
  <si>
    <t>Toplam Muş</t>
  </si>
  <si>
    <t>Toplam Bitlis</t>
  </si>
  <si>
    <t>Toplam Hakkari</t>
  </si>
  <si>
    <t>Toplam Gaziantep</t>
  </si>
  <si>
    <t>Toplam Adıyaman</t>
  </si>
  <si>
    <t>Toplam Şanlıurfa</t>
  </si>
  <si>
    <t>Toplam Diyarbakır</t>
  </si>
  <si>
    <t>Toplam Batman</t>
  </si>
  <si>
    <t>Toplam Siirt</t>
  </si>
  <si>
    <t xml:space="preserve"> IBBS(1) - 3. Düzey</t>
  </si>
  <si>
    <t xml:space="preserve"> Hes Sayısı</t>
  </si>
  <si>
    <t xml:space="preserve"> Kurulu Güç (MW)</t>
  </si>
  <si>
    <t xml:space="preserve"> Ortalama Enerji Üretimi (GWh/Yıl)</t>
  </si>
  <si>
    <t>2.4.2.İllere Göre Özel Sektör Tarafından İnşa Edilen Hidroelektrik Santraller, 1924-2015</t>
  </si>
  <si>
    <t>2.4.2.Özel Sektör Tarafından İnşa Edilen Hidroelektrik Santraller, 1924-2015</t>
  </si>
  <si>
    <t>Adıgüzel Barajı ve HES</t>
  </si>
  <si>
    <t xml:space="preserve">Sekiyaka II HES </t>
  </si>
  <si>
    <t>Heymeana I-II HES</t>
  </si>
  <si>
    <t>Tüfekçikonağı HES</t>
  </si>
  <si>
    <t>Sarıyer H.Polat Baraj ve HES</t>
  </si>
  <si>
    <t>Güneyyaka HES</t>
  </si>
  <si>
    <t>Bucakkışla HES</t>
  </si>
  <si>
    <t>Erik HES</t>
  </si>
  <si>
    <r>
      <t>Aksu Reg. ve Şahmallar</t>
    </r>
    <r>
      <rPr>
        <sz val="12"/>
        <color rgb="FFFF0000"/>
        <rFont val="Times New Roman"/>
        <family val="1"/>
        <charset val="162"/>
      </rPr>
      <t xml:space="preserve"> </t>
    </r>
    <r>
      <rPr>
        <sz val="12"/>
        <rFont val="Times New Roman"/>
        <family val="1"/>
        <charset val="162"/>
      </rPr>
      <t xml:space="preserve">HES </t>
    </r>
  </si>
  <si>
    <t>Yalnızardıç HES</t>
  </si>
  <si>
    <t>Karacaören Barajı ve HES</t>
  </si>
  <si>
    <t>Çandır I Reg ve HES</t>
  </si>
  <si>
    <t>Kepez I HES</t>
  </si>
  <si>
    <t>Kepez II HES</t>
  </si>
  <si>
    <t>Manavgat Barajı ve HES</t>
  </si>
  <si>
    <t>Karakuz Barajı ve HES</t>
  </si>
  <si>
    <t>Yamanlı II HES</t>
  </si>
  <si>
    <t>Seyhan II HES</t>
  </si>
  <si>
    <t>Bozyazı HES</t>
  </si>
  <si>
    <t>Kadıncık I HES</t>
  </si>
  <si>
    <t>Kadıncık II HES</t>
  </si>
  <si>
    <t>Mut-Derinçay HES</t>
  </si>
  <si>
    <t>Zeyne  HES</t>
  </si>
  <si>
    <t>Alaköprü Barajı ve HES</t>
  </si>
  <si>
    <t>Sebil HES</t>
  </si>
  <si>
    <t>Çakmak HES</t>
  </si>
  <si>
    <t>Söğütlü HES</t>
  </si>
  <si>
    <t>Sır Barajı ve HES</t>
  </si>
  <si>
    <t>Akçakoyun HES</t>
  </si>
  <si>
    <t>Göktaş I-II  Barajı veHES</t>
  </si>
  <si>
    <t>Berke Barajı ve HES</t>
  </si>
  <si>
    <t>Sema HES</t>
  </si>
  <si>
    <t>Çamlıca III Barajı ve  HES</t>
  </si>
  <si>
    <t>STS I HES</t>
  </si>
  <si>
    <t>Alçe HES</t>
  </si>
  <si>
    <t>Sütlüce HES</t>
  </si>
  <si>
    <t>Koyulhisar HES</t>
  </si>
  <si>
    <t>Eğerci HES</t>
  </si>
  <si>
    <t>Demirci  HES</t>
  </si>
  <si>
    <t>Yunuslar HES</t>
  </si>
  <si>
    <t>Kızılçam HES</t>
  </si>
  <si>
    <t>Çilehane HES</t>
  </si>
  <si>
    <t>Onur HES</t>
  </si>
  <si>
    <t>Suçatı HES</t>
  </si>
  <si>
    <t>Tepekışla  Barajı ve (Erbaa) HES</t>
  </si>
  <si>
    <t>TR723</t>
  </si>
  <si>
    <t>Yozgat</t>
  </si>
  <si>
    <t>Kargı Barajı ve HES</t>
  </si>
  <si>
    <t>Ataköy  HES</t>
  </si>
  <si>
    <t>Çaykara HES</t>
  </si>
  <si>
    <t>Kadahor HES</t>
  </si>
  <si>
    <t>Karakaya Reg ve  HES</t>
  </si>
  <si>
    <t>Köprübaşı Reg ve HES</t>
  </si>
  <si>
    <t>Köprüyanı Reg ve HES</t>
  </si>
  <si>
    <t>Manahoz HES</t>
  </si>
  <si>
    <t>Yanbolu Reg ve  HES</t>
  </si>
  <si>
    <t xml:space="preserve">Piro HES </t>
  </si>
  <si>
    <t xml:space="preserve">Umut HES </t>
  </si>
  <si>
    <t>Angutlu HES</t>
  </si>
  <si>
    <t>Arpacık HES</t>
  </si>
  <si>
    <t>Çay HES</t>
  </si>
  <si>
    <t>Çileklitepe HES</t>
  </si>
  <si>
    <t>Merek HES</t>
  </si>
  <si>
    <t>Paşalı HES</t>
  </si>
  <si>
    <t>Serhat HES</t>
  </si>
  <si>
    <t>Artvin Barajı ve HES</t>
  </si>
  <si>
    <t>Hızır Reg ve HES</t>
  </si>
  <si>
    <t>Ayvalı (Çoruh) Barajı ve HES</t>
  </si>
  <si>
    <t>Bağbaşı HES</t>
  </si>
  <si>
    <t>Büyükbahçe  HES</t>
  </si>
  <si>
    <t>İncebel HES</t>
  </si>
  <si>
    <t>Tortum HES</t>
  </si>
  <si>
    <t>Bağıştaş I Barajı  HES</t>
  </si>
  <si>
    <t>Hanak HES</t>
  </si>
  <si>
    <t>Kayabeyi Barajı ve Akıncı HES</t>
  </si>
  <si>
    <t>Beyhan I Barajı ve HES</t>
  </si>
  <si>
    <t>Pembelik Barajı ve HES</t>
  </si>
  <si>
    <t>Doğu HES</t>
  </si>
  <si>
    <t>Kaleköy HES</t>
  </si>
  <si>
    <t>Kandil Reg ve HES</t>
  </si>
  <si>
    <t>Botan HES</t>
  </si>
  <si>
    <t>Dereiçi HES</t>
  </si>
  <si>
    <t>Toplam Yozgat</t>
  </si>
  <si>
    <t>Gelen TOP</t>
  </si>
  <si>
    <t>Genel TOP</t>
  </si>
  <si>
    <t>TOPLAM</t>
  </si>
  <si>
    <t>açılış yılı</t>
  </si>
  <si>
    <t>hes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</si>
</sst>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8"/>
      <color indexed="62"/>
      <name val="Cambria"/>
      <family val="2"/>
      <charset val="162"/>
      <scheme val="major"/>
    </font>
    <font>
      <sz val="11"/>
      <color indexed="10"/>
      <name val="Calibri"/>
      <family val="2"/>
      <charset val="162"/>
      <scheme val="minor"/>
    </font>
    <font>
      <b/>
      <sz val="15"/>
      <color indexed="62"/>
      <name val="Calibri"/>
      <family val="2"/>
      <charset val="162"/>
      <scheme val="minor"/>
    </font>
    <font>
      <b/>
      <sz val="13"/>
      <color indexed="62"/>
      <name val="Calibri"/>
      <family val="2"/>
      <charset val="162"/>
      <scheme val="minor"/>
    </font>
    <font>
      <b/>
      <sz val="11"/>
      <color indexed="62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sz val="10"/>
      <name val="Arial Tur"/>
      <charset val="162"/>
    </font>
    <font>
      <sz val="11"/>
      <color indexed="8"/>
      <name val="Calibri"/>
      <family val="2"/>
    </font>
    <font>
      <sz val="11"/>
      <color indexed="8"/>
      <name val="Calibri"/>
      <family val="2"/>
      <charset val="162"/>
    </font>
    <font>
      <sz val="11"/>
      <color indexed="19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0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2"/>
      <color rgb="FFFF0000"/>
      <name val="Times New Roman"/>
      <family val="1"/>
      <charset val="162"/>
    </font>
    <font>
      <b/>
      <sz val="12"/>
      <color theme="1"/>
      <name val="Calibri"/>
      <family val="2"/>
      <scheme val="minor"/>
    </font>
    <font>
      <b/>
      <sz val="11"/>
      <color rgb="FFFF0000"/>
      <name val="Arial"/>
      <family val="2"/>
      <charset val="162"/>
    </font>
    <font>
      <b/>
      <sz val="9"/>
      <color theme="1"/>
      <name val="Calibri"/>
      <family val="2"/>
      <charset val="16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medium">
        <color indexed="64"/>
      </left>
      <right/>
      <top style="thin">
        <color rgb="FFABABAB"/>
      </top>
      <bottom/>
      <diagonal/>
    </border>
    <border>
      <left/>
      <right style="medium">
        <color indexed="64"/>
      </right>
      <top style="thin">
        <color rgb="FFABABAB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ABABAB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3">
    <xf numFmtId="0" fontId="0" fillId="0" borderId="0"/>
    <xf numFmtId="0" fontId="10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3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6" fillId="16" borderId="2" applyNumberFormat="0" applyAlignment="0" applyProtection="0"/>
    <xf numFmtId="0" fontId="5" fillId="17" borderId="1" applyNumberFormat="0" applyAlignment="0" applyProtection="0"/>
    <xf numFmtId="0" fontId="16" fillId="16" borderId="1" applyNumberFormat="0" applyAlignment="0" applyProtection="0"/>
    <xf numFmtId="0" fontId="3" fillId="12" borderId="0" applyNumberFormat="0" applyBorder="0" applyAlignment="0" applyProtection="0"/>
    <xf numFmtId="0" fontId="4" fillId="18" borderId="0" applyNumberFormat="0" applyBorder="0" applyAlignment="0" applyProtection="0"/>
    <xf numFmtId="0" fontId="17" fillId="0" borderId="0"/>
    <xf numFmtId="0" fontId="1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8" fillId="0" borderId="0"/>
    <xf numFmtId="0" fontId="2" fillId="0" borderId="0"/>
    <xf numFmtId="0" fontId="19" fillId="3" borderId="3" applyNumberFormat="0" applyFont="0" applyAlignment="0" applyProtection="0"/>
    <xf numFmtId="0" fontId="19" fillId="3" borderId="3" applyNumberFormat="0" applyFont="0" applyAlignment="0" applyProtection="0"/>
    <xf numFmtId="0" fontId="20" fillId="2" borderId="0" applyNumberFormat="0" applyBorder="0" applyAlignment="0" applyProtection="0"/>
    <xf numFmtId="0" fontId="7" fillId="0" borderId="9" applyNumberFormat="0" applyFill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</cellStyleXfs>
  <cellXfs count="277">
    <xf numFmtId="0" fontId="0" fillId="0" borderId="0" xfId="0"/>
    <xf numFmtId="0" fontId="22" fillId="22" borderId="0" xfId="0" applyFont="1" applyFill="1"/>
    <xf numFmtId="164" fontId="22" fillId="22" borderId="0" xfId="0" applyNumberFormat="1" applyFont="1" applyFill="1"/>
    <xf numFmtId="0" fontId="22" fillId="22" borderId="0" xfId="0" applyFont="1" applyFill="1" applyAlignment="1"/>
    <xf numFmtId="14" fontId="22" fillId="22" borderId="0" xfId="0" applyNumberFormat="1" applyFont="1" applyFill="1"/>
    <xf numFmtId="0" fontId="21" fillId="22" borderId="26" xfId="0" applyFont="1" applyFill="1" applyBorder="1" applyAlignment="1">
      <alignment horizontal="left" vertical="center" wrapText="1" shrinkToFit="1"/>
    </xf>
    <xf numFmtId="0" fontId="21" fillId="22" borderId="27" xfId="0" applyFont="1" applyFill="1" applyBorder="1" applyAlignment="1">
      <alignment horizontal="left" vertical="center"/>
    </xf>
    <xf numFmtId="0" fontId="21" fillId="22" borderId="26" xfId="0" applyFont="1" applyFill="1" applyBorder="1" applyAlignment="1">
      <alignment horizontal="left" vertical="center"/>
    </xf>
    <xf numFmtId="0" fontId="21" fillId="22" borderId="26" xfId="0" applyFont="1" applyFill="1" applyBorder="1" applyAlignment="1">
      <alignment horizontal="center" vertical="center" wrapText="1"/>
    </xf>
    <xf numFmtId="0" fontId="21" fillId="0" borderId="0" xfId="0" applyFont="1"/>
    <xf numFmtId="0" fontId="21" fillId="22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2" xfId="0" applyBorder="1" applyAlignment="1">
      <alignment horizontal="left"/>
    </xf>
    <xf numFmtId="0" fontId="0" fillId="0" borderId="33" xfId="0" applyBorder="1"/>
    <xf numFmtId="0" fontId="0" fillId="0" borderId="34" xfId="0" applyBorder="1"/>
    <xf numFmtId="2" fontId="22" fillId="22" borderId="0" xfId="0" applyNumberFormat="1" applyFont="1" applyFill="1"/>
    <xf numFmtId="2" fontId="21" fillId="22" borderId="26" xfId="0" applyNumberFormat="1" applyFont="1" applyFill="1" applyBorder="1" applyAlignment="1">
      <alignment horizontal="center" vertical="center" wrapText="1"/>
    </xf>
    <xf numFmtId="2" fontId="21" fillId="22" borderId="12" xfId="0" applyNumberFormat="1" applyFont="1" applyFill="1" applyBorder="1" applyAlignment="1">
      <alignment horizontal="center" vertical="top" wrapText="1"/>
    </xf>
    <xf numFmtId="0" fontId="22" fillId="24" borderId="28" xfId="63" applyFont="1" applyFill="1" applyBorder="1" applyAlignment="1">
      <alignment horizontal="left" vertical="center" wrapText="1" shrinkToFit="1"/>
    </xf>
    <xf numFmtId="0" fontId="22" fillId="24" borderId="17" xfId="63" applyFont="1" applyFill="1" applyBorder="1" applyAlignment="1">
      <alignment horizontal="left" vertical="center" shrinkToFit="1"/>
    </xf>
    <xf numFmtId="0" fontId="22" fillId="24" borderId="25" xfId="63" applyFont="1" applyFill="1" applyBorder="1" applyAlignment="1">
      <alignment horizontal="left" vertical="center" wrapText="1" shrinkToFit="1"/>
    </xf>
    <xf numFmtId="0" fontId="22" fillId="24" borderId="17" xfId="1" applyFont="1" applyFill="1" applyBorder="1" applyAlignment="1">
      <alignment horizontal="left" vertical="center" shrinkToFit="1"/>
    </xf>
    <xf numFmtId="0" fontId="22" fillId="24" borderId="17" xfId="63" applyFont="1" applyFill="1" applyBorder="1" applyAlignment="1">
      <alignment horizontal="center" vertical="center" wrapText="1" shrinkToFit="1"/>
    </xf>
    <xf numFmtId="0" fontId="22" fillId="24" borderId="17" xfId="1" applyFont="1" applyFill="1" applyBorder="1" applyAlignment="1">
      <alignment horizontal="center" vertical="center" shrinkToFit="1"/>
    </xf>
    <xf numFmtId="2" fontId="22" fillId="24" borderId="17" xfId="63" applyNumberFormat="1" applyFont="1" applyFill="1" applyBorder="1" applyAlignment="1">
      <alignment horizontal="right" vertical="center" wrapText="1" shrinkToFit="1"/>
    </xf>
    <xf numFmtId="2" fontId="22" fillId="24" borderId="20" xfId="63" applyNumberFormat="1" applyFont="1" applyFill="1" applyBorder="1" applyAlignment="1">
      <alignment horizontal="right" vertical="center" wrapText="1" shrinkToFit="1"/>
    </xf>
    <xf numFmtId="0" fontId="22" fillId="24" borderId="4" xfId="0" applyFont="1" applyFill="1" applyBorder="1" applyAlignment="1">
      <alignment horizontal="left" vertical="center" wrapText="1" shrinkToFit="1"/>
    </xf>
    <xf numFmtId="0" fontId="22" fillId="24" borderId="24" xfId="63" applyFont="1" applyFill="1" applyBorder="1" applyAlignment="1">
      <alignment horizontal="left" vertical="center" wrapText="1" shrinkToFit="1"/>
    </xf>
    <xf numFmtId="0" fontId="22" fillId="24" borderId="4" xfId="1" applyFont="1" applyFill="1" applyBorder="1" applyAlignment="1">
      <alignment horizontal="left" vertical="center" shrinkToFit="1"/>
    </xf>
    <xf numFmtId="0" fontId="22" fillId="24" borderId="4" xfId="0" applyNumberFormat="1" applyFont="1" applyFill="1" applyBorder="1" applyAlignment="1">
      <alignment horizontal="center" vertical="center" wrapText="1" shrinkToFit="1"/>
    </xf>
    <xf numFmtId="2" fontId="28" fillId="24" borderId="4" xfId="0" applyNumberFormat="1" applyFont="1" applyFill="1" applyBorder="1" applyAlignment="1">
      <alignment horizontal="right" vertical="center" wrapText="1" shrinkToFit="1"/>
    </xf>
    <xf numFmtId="2" fontId="22" fillId="24" borderId="18" xfId="0" applyNumberFormat="1" applyFont="1" applyFill="1" applyBorder="1" applyAlignment="1">
      <alignment horizontal="right" vertical="center" wrapText="1" shrinkToFit="1"/>
    </xf>
    <xf numFmtId="0" fontId="22" fillId="24" borderId="23" xfId="0" applyFont="1" applyFill="1" applyBorder="1" applyAlignment="1">
      <alignment horizontal="left" vertical="center" wrapText="1" shrinkToFit="1"/>
    </xf>
    <xf numFmtId="0" fontId="22" fillId="24" borderId="24" xfId="0" applyFont="1" applyFill="1" applyBorder="1" applyAlignment="1">
      <alignment horizontal="left" vertical="center" wrapText="1" shrinkToFit="1"/>
    </xf>
    <xf numFmtId="2" fontId="22" fillId="24" borderId="4" xfId="0" applyNumberFormat="1" applyFont="1" applyFill="1" applyBorder="1" applyAlignment="1">
      <alignment horizontal="right" vertical="center" wrapText="1" shrinkToFit="1"/>
    </xf>
    <xf numFmtId="0" fontId="22" fillId="24" borderId="23" xfId="63" applyFont="1" applyFill="1" applyBorder="1" applyAlignment="1">
      <alignment horizontal="left" vertical="center" wrapText="1" shrinkToFit="1"/>
    </xf>
    <xf numFmtId="0" fontId="24" fillId="24" borderId="4" xfId="0" applyFont="1" applyFill="1" applyBorder="1" applyAlignment="1">
      <alignment vertical="center"/>
    </xf>
    <xf numFmtId="0" fontId="22" fillId="24" borderId="4" xfId="63" applyFont="1" applyFill="1" applyBorder="1" applyAlignment="1">
      <alignment horizontal="center" vertical="center" wrapText="1" shrinkToFit="1"/>
    </xf>
    <xf numFmtId="2" fontId="22" fillId="24" borderId="4" xfId="63" applyNumberFormat="1" applyFont="1" applyFill="1" applyBorder="1" applyAlignment="1">
      <alignment horizontal="right" vertical="center" wrapText="1" shrinkToFit="1"/>
    </xf>
    <xf numFmtId="2" fontId="22" fillId="24" borderId="18" xfId="63" applyNumberFormat="1" applyFont="1" applyFill="1" applyBorder="1" applyAlignment="1">
      <alignment horizontal="right" vertical="center" wrapText="1" shrinkToFit="1"/>
    </xf>
    <xf numFmtId="14" fontId="22" fillId="24" borderId="4" xfId="0" applyNumberFormat="1" applyFont="1" applyFill="1" applyBorder="1" applyAlignment="1">
      <alignment horizontal="center" vertical="center" wrapText="1" shrinkToFit="1"/>
    </xf>
    <xf numFmtId="0" fontId="22" fillId="24" borderId="4" xfId="0" applyFont="1" applyFill="1" applyBorder="1" applyAlignment="1">
      <alignment horizontal="left" vertical="center" wrapText="1"/>
    </xf>
    <xf numFmtId="2" fontId="28" fillId="24" borderId="4" xfId="0" applyNumberFormat="1" applyFont="1" applyFill="1" applyBorder="1" applyAlignment="1">
      <alignment horizontal="right" vertical="center" wrapText="1"/>
    </xf>
    <xf numFmtId="2" fontId="22" fillId="24" borderId="18" xfId="0" applyNumberFormat="1" applyFont="1" applyFill="1" applyBorder="1" applyAlignment="1">
      <alignment horizontal="right" vertical="center" wrapText="1"/>
    </xf>
    <xf numFmtId="2" fontId="22" fillId="24" borderId="18" xfId="0" applyNumberFormat="1" applyFont="1" applyFill="1" applyBorder="1" applyAlignment="1">
      <alignment horizontal="right" vertical="center"/>
    </xf>
    <xf numFmtId="0" fontId="22" fillId="24" borderId="4" xfId="1" applyFont="1" applyFill="1" applyBorder="1" applyAlignment="1">
      <alignment horizontal="left" vertical="center" wrapText="1" shrinkToFit="1"/>
    </xf>
    <xf numFmtId="0" fontId="22" fillId="24" borderId="4" xfId="1" applyNumberFormat="1" applyFont="1" applyFill="1" applyBorder="1" applyAlignment="1">
      <alignment horizontal="center" vertical="center" wrapText="1" shrinkToFit="1"/>
    </xf>
    <xf numFmtId="2" fontId="22" fillId="24" borderId="4" xfId="1" applyNumberFormat="1" applyFont="1" applyFill="1" applyBorder="1" applyAlignment="1">
      <alignment horizontal="right" vertical="center" wrapText="1" shrinkToFit="1"/>
    </xf>
    <xf numFmtId="2" fontId="22" fillId="24" borderId="18" xfId="1" applyNumberFormat="1" applyFont="1" applyFill="1" applyBorder="1" applyAlignment="1">
      <alignment horizontal="right" vertical="center" wrapText="1" shrinkToFit="1"/>
    </xf>
    <xf numFmtId="14" fontId="22" fillId="24" borderId="4" xfId="0" applyNumberFormat="1" applyFont="1" applyFill="1" applyBorder="1" applyAlignment="1">
      <alignment horizontal="center" vertical="center" wrapText="1"/>
    </xf>
    <xf numFmtId="2" fontId="28" fillId="24" borderId="4" xfId="0" applyNumberFormat="1" applyFont="1" applyFill="1" applyBorder="1" applyAlignment="1">
      <alignment horizontal="right" vertical="center" shrinkToFit="1"/>
    </xf>
    <xf numFmtId="2" fontId="22" fillId="24" borderId="4" xfId="0" applyNumberFormat="1" applyFont="1" applyFill="1" applyBorder="1" applyAlignment="1">
      <alignment horizontal="right" vertical="center" shrinkToFit="1"/>
    </xf>
    <xf numFmtId="0" fontId="28" fillId="24" borderId="23" xfId="63" applyFont="1" applyFill="1" applyBorder="1" applyAlignment="1">
      <alignment horizontal="left" vertical="center" wrapText="1" shrinkToFit="1"/>
    </xf>
    <xf numFmtId="0" fontId="28" fillId="24" borderId="4" xfId="0" applyFont="1" applyFill="1" applyBorder="1" applyAlignment="1">
      <alignment horizontal="left" vertical="center" wrapText="1" shrinkToFit="1"/>
    </xf>
    <xf numFmtId="0" fontId="28" fillId="24" borderId="24" xfId="63" applyFont="1" applyFill="1" applyBorder="1" applyAlignment="1">
      <alignment horizontal="left" vertical="center" wrapText="1" shrinkToFit="1"/>
    </xf>
    <xf numFmtId="0" fontId="28" fillId="24" borderId="4" xfId="1" applyFont="1" applyFill="1" applyBorder="1" applyAlignment="1">
      <alignment horizontal="left" vertical="center" shrinkToFit="1"/>
    </xf>
    <xf numFmtId="0" fontId="28" fillId="24" borderId="4" xfId="0" applyNumberFormat="1" applyFont="1" applyFill="1" applyBorder="1" applyAlignment="1">
      <alignment horizontal="center" vertical="center" wrapText="1" shrinkToFit="1"/>
    </xf>
    <xf numFmtId="0" fontId="28" fillId="24" borderId="17" xfId="1" applyFont="1" applyFill="1" applyBorder="1" applyAlignment="1">
      <alignment horizontal="center" vertical="center" shrinkToFit="1"/>
    </xf>
    <xf numFmtId="2" fontId="28" fillId="24" borderId="18" xfId="0" applyNumberFormat="1" applyFont="1" applyFill="1" applyBorder="1" applyAlignment="1">
      <alignment horizontal="right" vertical="center"/>
    </xf>
    <xf numFmtId="0" fontId="22" fillId="24" borderId="4" xfId="0" applyFont="1" applyFill="1" applyBorder="1" applyAlignment="1">
      <alignment vertical="center"/>
    </xf>
    <xf numFmtId="2" fontId="28" fillId="24" borderId="18" xfId="0" applyNumberFormat="1" applyFont="1" applyFill="1" applyBorder="1" applyAlignment="1">
      <alignment horizontal="right" vertical="center" wrapText="1" shrinkToFit="1"/>
    </xf>
    <xf numFmtId="2" fontId="22" fillId="24" borderId="4" xfId="0" applyNumberFormat="1" applyFont="1" applyFill="1" applyBorder="1" applyAlignment="1">
      <alignment horizontal="right" vertical="center" wrapText="1"/>
    </xf>
    <xf numFmtId="1" fontId="28" fillId="24" borderId="4" xfId="0" applyNumberFormat="1" applyFont="1" applyFill="1" applyBorder="1" applyAlignment="1">
      <alignment horizontal="center" vertical="center" wrapText="1" shrinkToFit="1"/>
    </xf>
    <xf numFmtId="0" fontId="22" fillId="24" borderId="23" xfId="0" applyFont="1" applyFill="1" applyBorder="1"/>
    <xf numFmtId="0" fontId="22" fillId="24" borderId="24" xfId="0" applyFont="1" applyFill="1" applyBorder="1"/>
    <xf numFmtId="0" fontId="28" fillId="24" borderId="4" xfId="63" applyNumberFormat="1" applyFont="1" applyFill="1" applyBorder="1" applyAlignment="1">
      <alignment horizontal="center" vertical="center" shrinkToFit="1"/>
    </xf>
    <xf numFmtId="2" fontId="28" fillId="24" borderId="18" xfId="0" applyNumberFormat="1" applyFont="1" applyFill="1" applyBorder="1" applyAlignment="1">
      <alignment horizontal="right" vertical="center" wrapText="1"/>
    </xf>
    <xf numFmtId="0" fontId="22" fillId="24" borderId="23" xfId="1" applyFont="1" applyFill="1" applyBorder="1" applyAlignment="1">
      <alignment horizontal="left" vertical="center" shrinkToFit="1"/>
    </xf>
    <xf numFmtId="0" fontId="22" fillId="24" borderId="24" xfId="1" applyFont="1" applyFill="1" applyBorder="1" applyAlignment="1">
      <alignment horizontal="left" vertical="center" shrinkToFit="1"/>
    </xf>
    <xf numFmtId="0" fontId="22" fillId="24" borderId="4" xfId="1" applyFont="1" applyFill="1" applyBorder="1" applyAlignment="1">
      <alignment horizontal="center" vertical="center" shrinkToFit="1"/>
    </xf>
    <xf numFmtId="0" fontId="0" fillId="0" borderId="37" xfId="0" pivotButton="1" applyBorder="1"/>
    <xf numFmtId="0" fontId="0" fillId="0" borderId="39" xfId="0" pivotButton="1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7" xfId="0" pivotButton="1" applyBorder="1" applyAlignment="1">
      <alignment horizontal="center"/>
    </xf>
    <xf numFmtId="0" fontId="0" fillId="0" borderId="42" xfId="0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43" xfId="0" applyFont="1" applyBorder="1" applyAlignment="1">
      <alignment horizontal="left"/>
    </xf>
    <xf numFmtId="0" fontId="27" fillId="0" borderId="14" xfId="0" applyFont="1" applyBorder="1" applyAlignment="1">
      <alignment horizontal="center"/>
    </xf>
    <xf numFmtId="4" fontId="0" fillId="0" borderId="15" xfId="0" applyNumberFormat="1" applyBorder="1" applyAlignment="1">
      <alignment horizontal="center"/>
    </xf>
    <xf numFmtId="4" fontId="27" fillId="0" borderId="15" xfId="0" applyNumberFormat="1" applyFont="1" applyBorder="1" applyAlignment="1">
      <alignment horizontal="center"/>
    </xf>
    <xf numFmtId="14" fontId="28" fillId="24" borderId="4" xfId="0" applyNumberFormat="1" applyFont="1" applyFill="1" applyBorder="1" applyAlignment="1">
      <alignment horizontal="center" vertical="center" wrapText="1" shrinkToFit="1"/>
    </xf>
    <xf numFmtId="0" fontId="22" fillId="24" borderId="4" xfId="1" applyFont="1" applyFill="1" applyBorder="1" applyAlignment="1">
      <alignment horizontal="center" vertical="center"/>
    </xf>
    <xf numFmtId="2" fontId="22" fillId="24" borderId="4" xfId="1" applyNumberFormat="1" applyFont="1" applyFill="1" applyBorder="1" applyAlignment="1">
      <alignment horizontal="right" vertical="center" wrapText="1"/>
    </xf>
    <xf numFmtId="2" fontId="22" fillId="24" borderId="18" xfId="1" applyNumberFormat="1" applyFont="1" applyFill="1" applyBorder="1" applyAlignment="1">
      <alignment horizontal="right" vertical="center" wrapText="1"/>
    </xf>
    <xf numFmtId="0" fontId="28" fillId="24" borderId="23" xfId="1" applyFont="1" applyFill="1" applyBorder="1" applyAlignment="1">
      <alignment horizontal="left" vertical="center"/>
    </xf>
    <xf numFmtId="0" fontId="28" fillId="24" borderId="4" xfId="0" applyFont="1" applyFill="1" applyBorder="1" applyAlignment="1">
      <alignment vertical="center"/>
    </xf>
    <xf numFmtId="0" fontId="28" fillId="24" borderId="24" xfId="1" applyFont="1" applyFill="1" applyBorder="1" applyAlignment="1">
      <alignment horizontal="left" vertical="center"/>
    </xf>
    <xf numFmtId="0" fontId="28" fillId="24" borderId="4" xfId="1" applyFont="1" applyFill="1" applyBorder="1" applyAlignment="1">
      <alignment horizontal="center" vertical="center"/>
    </xf>
    <xf numFmtId="2" fontId="28" fillId="24" borderId="4" xfId="1" applyNumberFormat="1" applyFont="1" applyFill="1" applyBorder="1" applyAlignment="1">
      <alignment horizontal="right" vertical="center" wrapText="1"/>
    </xf>
    <xf numFmtId="2" fontId="28" fillId="24" borderId="18" xfId="1" applyNumberFormat="1" applyFont="1" applyFill="1" applyBorder="1" applyAlignment="1">
      <alignment horizontal="right" vertical="center" wrapText="1"/>
    </xf>
    <xf numFmtId="2" fontId="22" fillId="24" borderId="4" xfId="0" applyNumberFormat="1" applyFont="1" applyFill="1" applyBorder="1" applyAlignment="1">
      <alignment horizontal="right" vertical="center"/>
    </xf>
    <xf numFmtId="2" fontId="28" fillId="24" borderId="18" xfId="63" applyNumberFormat="1" applyFont="1" applyFill="1" applyBorder="1" applyAlignment="1">
      <alignment horizontal="right" vertical="center" wrapText="1" shrinkToFit="1"/>
    </xf>
    <xf numFmtId="0" fontId="28" fillId="24" borderId="24" xfId="0" applyFont="1" applyFill="1" applyBorder="1" applyAlignment="1">
      <alignment horizontal="left" vertical="center" wrapText="1" shrinkToFit="1"/>
    </xf>
    <xf numFmtId="0" fontId="22" fillId="24" borderId="22" xfId="0" applyFont="1" applyFill="1" applyBorder="1" applyAlignment="1">
      <alignment horizontal="left" vertical="center" wrapText="1"/>
    </xf>
    <xf numFmtId="0" fontId="22" fillId="24" borderId="24" xfId="0" applyFont="1" applyFill="1" applyBorder="1" applyAlignment="1">
      <alignment horizontal="left" vertical="center" wrapText="1"/>
    </xf>
    <xf numFmtId="0" fontId="22" fillId="24" borderId="23" xfId="0" applyFont="1" applyFill="1" applyBorder="1" applyAlignment="1">
      <alignment horizontal="left" vertical="center" wrapText="1"/>
    </xf>
    <xf numFmtId="0" fontId="28" fillId="24" borderId="23" xfId="1" applyFont="1" applyFill="1" applyBorder="1" applyAlignment="1">
      <alignment horizontal="left" vertical="center" shrinkToFit="1"/>
    </xf>
    <xf numFmtId="0" fontId="28" fillId="24" borderId="24" xfId="1" applyFont="1" applyFill="1" applyBorder="1" applyAlignment="1">
      <alignment horizontal="left" vertical="center" shrinkToFit="1"/>
    </xf>
    <xf numFmtId="0" fontId="22" fillId="24" borderId="10" xfId="0" applyFont="1" applyFill="1" applyBorder="1" applyAlignment="1">
      <alignment horizontal="left" vertical="center" wrapText="1" shrinkToFit="1"/>
    </xf>
    <xf numFmtId="0" fontId="22" fillId="24" borderId="17" xfId="0" applyFont="1" applyFill="1" applyBorder="1" applyAlignment="1">
      <alignment horizontal="left" vertical="center" wrapText="1" shrinkToFit="1"/>
    </xf>
    <xf numFmtId="0" fontId="28" fillId="24" borderId="10" xfId="0" applyFont="1" applyFill="1" applyBorder="1" applyAlignment="1">
      <alignment horizontal="left" vertical="center" wrapText="1" shrinkToFit="1"/>
    </xf>
    <xf numFmtId="0" fontId="22" fillId="24" borderId="10" xfId="1" applyFont="1" applyFill="1" applyBorder="1" applyAlignment="1">
      <alignment horizontal="left" vertical="center" shrinkToFit="1"/>
    </xf>
    <xf numFmtId="0" fontId="22" fillId="24" borderId="10" xfId="63" applyFont="1" applyFill="1" applyBorder="1" applyAlignment="1">
      <alignment horizontal="left" vertical="center"/>
    </xf>
    <xf numFmtId="0" fontId="22" fillId="24" borderId="4" xfId="63" applyFont="1" applyFill="1" applyBorder="1" applyAlignment="1">
      <alignment horizontal="left" vertical="center"/>
    </xf>
    <xf numFmtId="0" fontId="22" fillId="24" borderId="4" xfId="0" applyFont="1" applyFill="1" applyBorder="1" applyAlignment="1">
      <alignment horizontal="left" vertical="center"/>
    </xf>
    <xf numFmtId="0" fontId="22" fillId="24" borderId="10" xfId="63" applyFont="1" applyFill="1" applyBorder="1" applyAlignment="1">
      <alignment horizontal="left" vertical="center" wrapText="1" shrinkToFit="1"/>
    </xf>
    <xf numFmtId="0" fontId="22" fillId="24" borderId="4" xfId="63" applyFont="1" applyFill="1" applyBorder="1" applyAlignment="1">
      <alignment horizontal="left" vertical="center" wrapText="1" shrinkToFit="1"/>
    </xf>
    <xf numFmtId="2" fontId="22" fillId="24" borderId="4" xfId="63" applyNumberFormat="1" applyFont="1" applyFill="1" applyBorder="1" applyAlignment="1">
      <alignment horizontal="left" vertical="center" shrinkToFit="1"/>
    </xf>
    <xf numFmtId="0" fontId="28" fillId="24" borderId="10" xfId="63" applyFont="1" applyFill="1" applyBorder="1" applyAlignment="1">
      <alignment horizontal="left" vertical="center" wrapText="1" shrinkToFit="1"/>
    </xf>
    <xf numFmtId="0" fontId="28" fillId="24" borderId="4" xfId="63" applyFont="1" applyFill="1" applyBorder="1" applyAlignment="1">
      <alignment horizontal="left" vertical="center" wrapText="1" shrinkToFit="1"/>
    </xf>
    <xf numFmtId="14" fontId="22" fillId="24" borderId="4" xfId="1" applyNumberFormat="1" applyFont="1" applyFill="1" applyBorder="1" applyAlignment="1">
      <alignment horizontal="center" vertical="center" wrapText="1" shrinkToFit="1"/>
    </xf>
    <xf numFmtId="0" fontId="23" fillId="24" borderId="4" xfId="0" applyFont="1" applyFill="1" applyBorder="1" applyAlignment="1">
      <alignment horizontal="left" vertical="center" wrapText="1"/>
    </xf>
    <xf numFmtId="0" fontId="22" fillId="24" borderId="4" xfId="0" applyNumberFormat="1" applyFont="1" applyFill="1" applyBorder="1" applyAlignment="1">
      <alignment horizontal="center" vertical="center"/>
    </xf>
    <xf numFmtId="0" fontId="22" fillId="24" borderId="10" xfId="63" applyFont="1" applyFill="1" applyBorder="1" applyAlignment="1">
      <alignment horizontal="left" vertical="center" wrapText="1"/>
    </xf>
    <xf numFmtId="0" fontId="22" fillId="24" borderId="4" xfId="63" applyFont="1" applyFill="1" applyBorder="1" applyAlignment="1">
      <alignment horizontal="left" vertical="center" wrapText="1"/>
    </xf>
    <xf numFmtId="2" fontId="28" fillId="24" borderId="4" xfId="0" applyNumberFormat="1" applyFont="1" applyFill="1" applyBorder="1" applyAlignment="1">
      <alignment horizontal="right" vertical="center"/>
    </xf>
    <xf numFmtId="2" fontId="22" fillId="24" borderId="4" xfId="1" applyNumberFormat="1" applyFont="1" applyFill="1" applyBorder="1" applyAlignment="1">
      <alignment horizontal="right" vertical="center"/>
    </xf>
    <xf numFmtId="2" fontId="22" fillId="24" borderId="18" xfId="1" applyNumberFormat="1" applyFont="1" applyFill="1" applyBorder="1" applyAlignment="1">
      <alignment horizontal="right" vertical="center"/>
    </xf>
    <xf numFmtId="2" fontId="28" fillId="24" borderId="4" xfId="63" applyNumberFormat="1" applyFont="1" applyFill="1" applyBorder="1" applyAlignment="1">
      <alignment horizontal="right" vertical="center" wrapText="1" shrinkToFit="1"/>
    </xf>
    <xf numFmtId="2" fontId="22" fillId="24" borderId="4" xfId="63" applyNumberFormat="1" applyFont="1" applyFill="1" applyBorder="1" applyAlignment="1">
      <alignment horizontal="right" vertical="center" shrinkToFit="1"/>
    </xf>
    <xf numFmtId="2" fontId="22" fillId="24" borderId="18" xfId="63" applyNumberFormat="1" applyFont="1" applyFill="1" applyBorder="1" applyAlignment="1">
      <alignment horizontal="right" vertical="center" shrinkToFit="1"/>
    </xf>
    <xf numFmtId="0" fontId="22" fillId="24" borderId="10" xfId="0" applyFont="1" applyFill="1" applyBorder="1" applyAlignment="1">
      <alignment horizontal="left" vertical="center" wrapText="1"/>
    </xf>
    <xf numFmtId="0" fontId="28" fillId="24" borderId="10" xfId="0" applyFont="1" applyFill="1" applyBorder="1" applyAlignment="1">
      <alignment horizontal="left" vertical="center" wrapText="1"/>
    </xf>
    <xf numFmtId="0" fontId="28" fillId="24" borderId="4" xfId="0" applyFont="1" applyFill="1" applyBorder="1" applyAlignment="1">
      <alignment horizontal="left" vertical="center" wrapText="1"/>
    </xf>
    <xf numFmtId="14" fontId="22" fillId="24" borderId="4" xfId="0" applyNumberFormat="1" applyFont="1" applyFill="1" applyBorder="1" applyAlignment="1">
      <alignment horizontal="center" vertical="center"/>
    </xf>
    <xf numFmtId="2" fontId="28" fillId="24" borderId="4" xfId="1" applyNumberFormat="1" applyFont="1" applyFill="1" applyBorder="1" applyAlignment="1">
      <alignment horizontal="right" vertical="center"/>
    </xf>
    <xf numFmtId="0" fontId="22" fillId="24" borderId="10" xfId="1" applyFont="1" applyFill="1" applyBorder="1" applyAlignment="1">
      <alignment horizontal="left" vertical="center"/>
    </xf>
    <xf numFmtId="0" fontId="22" fillId="24" borderId="4" xfId="1" applyFont="1" applyFill="1" applyBorder="1" applyAlignment="1">
      <alignment horizontal="left" vertical="center"/>
    </xf>
    <xf numFmtId="0" fontId="28" fillId="24" borderId="10" xfId="63" applyFont="1" applyFill="1" applyBorder="1" applyAlignment="1">
      <alignment horizontal="left" vertical="center" wrapText="1"/>
    </xf>
    <xf numFmtId="0" fontId="28" fillId="24" borderId="4" xfId="63" applyFont="1" applyFill="1" applyBorder="1" applyAlignment="1">
      <alignment horizontal="left" vertical="center" wrapText="1"/>
    </xf>
    <xf numFmtId="0" fontId="22" fillId="24" borderId="4" xfId="63" applyFont="1" applyFill="1" applyBorder="1" applyAlignment="1">
      <alignment horizontal="center" vertical="center"/>
    </xf>
    <xf numFmtId="2" fontId="22" fillId="24" borderId="4" xfId="63" applyNumberFormat="1" applyFont="1" applyFill="1" applyBorder="1" applyAlignment="1">
      <alignment horizontal="right" vertical="center" wrapText="1"/>
    </xf>
    <xf numFmtId="2" fontId="22" fillId="24" borderId="18" xfId="63" applyNumberFormat="1" applyFont="1" applyFill="1" applyBorder="1" applyAlignment="1">
      <alignment horizontal="right" vertical="center" wrapText="1"/>
    </xf>
    <xf numFmtId="0" fontId="28" fillId="24" borderId="10" xfId="1" applyFont="1" applyFill="1" applyBorder="1" applyAlignment="1">
      <alignment horizontal="left" vertical="center"/>
    </xf>
    <xf numFmtId="0" fontId="28" fillId="24" borderId="4" xfId="1" applyFont="1" applyFill="1" applyBorder="1" applyAlignment="1">
      <alignment horizontal="left" vertical="center"/>
    </xf>
    <xf numFmtId="0" fontId="22" fillId="24" borderId="4" xfId="0" applyFont="1" applyFill="1" applyBorder="1" applyAlignment="1">
      <alignment horizontal="left" vertical="center" shrinkToFit="1"/>
    </xf>
    <xf numFmtId="2" fontId="28" fillId="24" borderId="18" xfId="1" applyNumberFormat="1" applyFont="1" applyFill="1" applyBorder="1" applyAlignment="1">
      <alignment horizontal="right" vertical="center"/>
    </xf>
    <xf numFmtId="2" fontId="24" fillId="24" borderId="18" xfId="63" applyNumberFormat="1" applyFont="1" applyFill="1" applyBorder="1" applyAlignment="1">
      <alignment vertical="center" wrapText="1" shrinkToFit="1"/>
    </xf>
    <xf numFmtId="2" fontId="30" fillId="24" borderId="4" xfId="65" applyNumberFormat="1" applyFont="1" applyFill="1" applyBorder="1" applyAlignment="1">
      <alignment horizontal="right" vertical="center" shrinkToFit="1"/>
    </xf>
    <xf numFmtId="0" fontId="28" fillId="24" borderId="10" xfId="1" applyFont="1" applyFill="1" applyBorder="1" applyAlignment="1">
      <alignment horizontal="left" vertical="center" shrinkToFit="1"/>
    </xf>
    <xf numFmtId="2" fontId="22" fillId="24" borderId="16" xfId="63" applyNumberFormat="1" applyFont="1" applyFill="1" applyBorder="1" applyAlignment="1">
      <alignment horizontal="right" vertical="center" wrapText="1" shrinkToFit="1"/>
    </xf>
    <xf numFmtId="2" fontId="22" fillId="24" borderId="19" xfId="63" applyNumberFormat="1" applyFont="1" applyFill="1" applyBorder="1" applyAlignment="1">
      <alignment horizontal="right" vertical="center" wrapText="1" shrinkToFit="1"/>
    </xf>
    <xf numFmtId="2" fontId="22" fillId="24" borderId="4" xfId="1" applyNumberFormat="1" applyFont="1" applyFill="1" applyBorder="1" applyAlignment="1">
      <alignment horizontal="right" vertical="center" shrinkToFit="1"/>
    </xf>
    <xf numFmtId="2" fontId="22" fillId="24" borderId="18" xfId="1" applyNumberFormat="1" applyFont="1" applyFill="1" applyBorder="1" applyAlignment="1">
      <alignment horizontal="right" vertical="center" shrinkToFit="1"/>
    </xf>
    <xf numFmtId="2" fontId="24" fillId="24" borderId="18" xfId="1" applyNumberFormat="1" applyFont="1" applyFill="1" applyBorder="1" applyAlignment="1">
      <alignment vertical="center" wrapText="1" shrinkToFit="1"/>
    </xf>
    <xf numFmtId="0" fontId="22" fillId="24" borderId="10" xfId="1" applyFont="1" applyFill="1" applyBorder="1" applyAlignment="1">
      <alignment horizontal="left" vertical="center" wrapText="1" shrinkToFit="1"/>
    </xf>
    <xf numFmtId="0" fontId="22" fillId="24" borderId="4" xfId="1" applyFont="1" applyFill="1" applyBorder="1" applyAlignment="1">
      <alignment vertical="center"/>
    </xf>
    <xf numFmtId="0" fontId="28" fillId="24" borderId="10" xfId="1" applyFont="1" applyFill="1" applyBorder="1" applyAlignment="1">
      <alignment horizontal="left" vertical="center" wrapText="1" shrinkToFit="1"/>
    </xf>
    <xf numFmtId="0" fontId="28" fillId="24" borderId="4" xfId="1" applyFont="1" applyFill="1" applyBorder="1" applyAlignment="1">
      <alignment horizontal="left" vertical="center" wrapText="1" shrinkToFit="1"/>
    </xf>
    <xf numFmtId="0" fontId="22" fillId="24" borderId="45" xfId="0" applyFont="1" applyFill="1" applyBorder="1" applyAlignment="1">
      <alignment horizontal="left" vertical="center" wrapText="1" shrinkToFit="1"/>
    </xf>
    <xf numFmtId="0" fontId="22" fillId="24" borderId="16" xfId="0" applyFont="1" applyFill="1" applyBorder="1" applyAlignment="1">
      <alignment horizontal="left" vertical="center" wrapText="1" shrinkToFit="1"/>
    </xf>
    <xf numFmtId="0" fontId="22" fillId="24" borderId="16" xfId="1" applyFont="1" applyFill="1" applyBorder="1" applyAlignment="1">
      <alignment horizontal="left" vertical="center" shrinkToFit="1"/>
    </xf>
    <xf numFmtId="2" fontId="22" fillId="24" borderId="16" xfId="0" applyNumberFormat="1" applyFont="1" applyFill="1" applyBorder="1" applyAlignment="1">
      <alignment horizontal="right" vertical="center" wrapText="1" shrinkToFit="1"/>
    </xf>
    <xf numFmtId="2" fontId="22" fillId="24" borderId="19" xfId="0" applyNumberFormat="1" applyFont="1" applyFill="1" applyBorder="1" applyAlignment="1">
      <alignment horizontal="right" vertical="center"/>
    </xf>
    <xf numFmtId="0" fontId="28" fillId="24" borderId="13" xfId="63" applyFont="1" applyFill="1" applyBorder="1" applyAlignment="1">
      <alignment horizontal="left" vertical="center" wrapText="1" shrinkToFit="1"/>
    </xf>
    <xf numFmtId="0" fontId="28" fillId="24" borderId="11" xfId="0" applyFont="1" applyFill="1" applyBorder="1" applyAlignment="1">
      <alignment horizontal="left" vertical="center" wrapText="1" shrinkToFit="1"/>
    </xf>
    <xf numFmtId="0" fontId="28" fillId="24" borderId="11" xfId="63" applyFont="1" applyFill="1" applyBorder="1" applyAlignment="1">
      <alignment horizontal="left" vertical="center" wrapText="1" shrinkToFit="1"/>
    </xf>
    <xf numFmtId="0" fontId="28" fillId="24" borderId="11" xfId="1" applyFont="1" applyFill="1" applyBorder="1" applyAlignment="1">
      <alignment horizontal="left" vertical="center" shrinkToFit="1"/>
    </xf>
    <xf numFmtId="0" fontId="28" fillId="24" borderId="11" xfId="0" applyNumberFormat="1" applyFont="1" applyFill="1" applyBorder="1" applyAlignment="1">
      <alignment horizontal="center" vertical="center" wrapText="1" shrinkToFit="1"/>
    </xf>
    <xf numFmtId="0" fontId="28" fillId="24" borderId="35" xfId="1" applyFont="1" applyFill="1" applyBorder="1" applyAlignment="1">
      <alignment horizontal="center" vertical="center" shrinkToFit="1"/>
    </xf>
    <xf numFmtId="2" fontId="28" fillId="24" borderId="11" xfId="0" applyNumberFormat="1" applyFont="1" applyFill="1" applyBorder="1" applyAlignment="1">
      <alignment horizontal="right" vertical="center" wrapText="1" shrinkToFit="1"/>
    </xf>
    <xf numFmtId="2" fontId="28" fillId="24" borderId="21" xfId="0" applyNumberFormat="1" applyFont="1" applyFill="1" applyBorder="1" applyAlignment="1">
      <alignment horizontal="right" vertical="center" wrapText="1" shrinkToFit="1"/>
    </xf>
    <xf numFmtId="0" fontId="0" fillId="0" borderId="10" xfId="0" applyNumberFormat="1" applyBorder="1"/>
    <xf numFmtId="0" fontId="0" fillId="0" borderId="46" xfId="0" applyNumberFormat="1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1" xfId="0" applyNumberFormat="1" applyBorder="1"/>
    <xf numFmtId="0" fontId="26" fillId="23" borderId="29" xfId="0" applyFont="1" applyFill="1" applyBorder="1" applyAlignment="1">
      <alignment horizontal="center" vertical="center"/>
    </xf>
    <xf numFmtId="0" fontId="26" fillId="23" borderId="26" xfId="0" applyFont="1" applyFill="1" applyBorder="1" applyAlignment="1">
      <alignment horizontal="center" vertical="center"/>
    </xf>
    <xf numFmtId="0" fontId="26" fillId="23" borderId="44" xfId="0" applyFont="1" applyFill="1" applyBorder="1" applyAlignment="1">
      <alignment horizontal="center" vertical="center"/>
    </xf>
    <xf numFmtId="0" fontId="7" fillId="0" borderId="4" xfId="0" applyFont="1" applyBorder="1"/>
    <xf numFmtId="2" fontId="7" fillId="0" borderId="4" xfId="0" applyNumberFormat="1" applyFont="1" applyBorder="1"/>
    <xf numFmtId="0" fontId="31" fillId="0" borderId="4" xfId="0" applyFont="1" applyBorder="1"/>
    <xf numFmtId="0" fontId="0" fillId="0" borderId="45" xfId="0" applyBorder="1"/>
    <xf numFmtId="0" fontId="0" fillId="0" borderId="16" xfId="0" applyBorder="1"/>
    <xf numFmtId="2" fontId="21" fillId="22" borderId="0" xfId="0" applyNumberFormat="1" applyFont="1" applyFill="1" applyAlignment="1">
      <alignment horizontal="right"/>
    </xf>
    <xf numFmtId="14" fontId="28" fillId="24" borderId="4" xfId="1" applyNumberFormat="1" applyFont="1" applyFill="1" applyBorder="1" applyAlignment="1">
      <alignment horizontal="center" vertical="center" wrapText="1" shrinkToFit="1"/>
    </xf>
    <xf numFmtId="14" fontId="28" fillId="24" borderId="4" xfId="1" applyNumberFormat="1" applyFont="1" applyFill="1" applyBorder="1" applyAlignment="1">
      <alignment horizontal="center" vertical="center"/>
    </xf>
    <xf numFmtId="0" fontId="28" fillId="24" borderId="10" xfId="63" applyFont="1" applyFill="1" applyBorder="1" applyAlignment="1">
      <alignment horizontal="left" vertical="center"/>
    </xf>
    <xf numFmtId="0" fontId="28" fillId="24" borderId="4" xfId="63" applyFont="1" applyFill="1" applyBorder="1" applyAlignment="1">
      <alignment horizontal="left" vertical="center"/>
    </xf>
    <xf numFmtId="14" fontId="28" fillId="24" borderId="4" xfId="0" applyNumberFormat="1" applyFont="1" applyFill="1" applyBorder="1" applyAlignment="1">
      <alignment horizontal="center" vertical="center" wrapText="1"/>
    </xf>
    <xf numFmtId="14" fontId="28" fillId="24" borderId="4" xfId="0" applyNumberFormat="1" applyFont="1" applyFill="1" applyBorder="1" applyAlignment="1">
      <alignment horizontal="center" vertical="center"/>
    </xf>
    <xf numFmtId="14" fontId="28" fillId="24" borderId="4" xfId="63" applyNumberFormat="1" applyFont="1" applyFill="1" applyBorder="1" applyAlignment="1">
      <alignment horizontal="center" vertical="center" wrapText="1" shrinkToFit="1"/>
    </xf>
    <xf numFmtId="0" fontId="1" fillId="0" borderId="29" xfId="0" applyFont="1" applyFill="1" applyBorder="1" applyAlignment="1">
      <alignment horizontal="right"/>
    </xf>
    <xf numFmtId="0" fontId="0" fillId="0" borderId="47" xfId="0" applyBorder="1"/>
    <xf numFmtId="0" fontId="1" fillId="0" borderId="0" xfId="0" applyFont="1" applyBorder="1"/>
    <xf numFmtId="0" fontId="1" fillId="0" borderId="0" xfId="0" applyNumberFormat="1" applyFont="1" applyBorder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NumberFormat="1" applyFont="1" applyFill="1" applyBorder="1"/>
    <xf numFmtId="0" fontId="1" fillId="0" borderId="26" xfId="0" applyFont="1" applyBorder="1"/>
    <xf numFmtId="0" fontId="1" fillId="0" borderId="26" xfId="0" applyFont="1" applyFill="1" applyBorder="1" applyAlignment="1">
      <alignment horizontal="right"/>
    </xf>
    <xf numFmtId="0" fontId="1" fillId="0" borderId="44" xfId="0" applyNumberFormat="1" applyFont="1" applyBorder="1"/>
    <xf numFmtId="0" fontId="26" fillId="23" borderId="0" xfId="0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 vertical="center"/>
    </xf>
    <xf numFmtId="0" fontId="0" fillId="0" borderId="4" xfId="0" applyBorder="1"/>
    <xf numFmtId="1" fontId="22" fillId="24" borderId="4" xfId="0" applyNumberFormat="1" applyFont="1" applyFill="1" applyBorder="1" applyAlignment="1">
      <alignment horizontal="center" vertical="center" wrapText="1" shrinkToFit="1"/>
    </xf>
    <xf numFmtId="1" fontId="21" fillId="22" borderId="26" xfId="0" applyNumberFormat="1" applyFont="1" applyFill="1" applyBorder="1" applyAlignment="1">
      <alignment horizontal="center" vertical="center" wrapText="1"/>
    </xf>
    <xf numFmtId="1" fontId="22" fillId="24" borderId="17" xfId="63" applyNumberFormat="1" applyFont="1" applyFill="1" applyBorder="1" applyAlignment="1">
      <alignment horizontal="center" vertical="center" wrapText="1" shrinkToFit="1"/>
    </xf>
    <xf numFmtId="1" fontId="22" fillId="24" borderId="4" xfId="63" applyNumberFormat="1" applyFont="1" applyFill="1" applyBorder="1" applyAlignment="1">
      <alignment horizontal="center" vertical="center" wrapText="1" shrinkToFit="1"/>
    </xf>
    <xf numFmtId="1" fontId="22" fillId="24" borderId="4" xfId="1" applyNumberFormat="1" applyFont="1" applyFill="1" applyBorder="1" applyAlignment="1">
      <alignment horizontal="center" vertical="center" wrapText="1" shrinkToFit="1"/>
    </xf>
    <xf numFmtId="1" fontId="28" fillId="24" borderId="4" xfId="63" applyNumberFormat="1" applyFont="1" applyFill="1" applyBorder="1" applyAlignment="1">
      <alignment horizontal="center" vertical="center" wrapText="1" shrinkToFit="1"/>
    </xf>
    <xf numFmtId="1" fontId="22" fillId="24" borderId="4" xfId="1" applyNumberFormat="1" applyFont="1" applyFill="1" applyBorder="1" applyAlignment="1">
      <alignment horizontal="center" vertical="center" shrinkToFit="1"/>
    </xf>
    <xf numFmtId="1" fontId="28" fillId="24" borderId="4" xfId="1" applyNumberFormat="1" applyFont="1" applyFill="1" applyBorder="1" applyAlignment="1">
      <alignment horizontal="center" vertical="center"/>
    </xf>
    <xf numFmtId="1" fontId="22" fillId="24" borderId="4" xfId="1" applyNumberFormat="1" applyFont="1" applyFill="1" applyBorder="1" applyAlignment="1">
      <alignment horizontal="center" vertical="center"/>
    </xf>
    <xf numFmtId="1" fontId="22" fillId="24" borderId="4" xfId="0" applyNumberFormat="1" applyFont="1" applyFill="1" applyBorder="1" applyAlignment="1">
      <alignment horizontal="center" vertical="center"/>
    </xf>
    <xf numFmtId="1" fontId="28" fillId="24" borderId="4" xfId="0" applyNumberFormat="1" applyFont="1" applyFill="1" applyBorder="1" applyAlignment="1">
      <alignment horizontal="center" vertical="center" wrapText="1"/>
    </xf>
    <xf numFmtId="1" fontId="22" fillId="24" borderId="4" xfId="0" applyNumberFormat="1" applyFont="1" applyFill="1" applyBorder="1" applyAlignment="1">
      <alignment horizontal="center" vertical="center" wrapText="1"/>
    </xf>
    <xf numFmtId="1" fontId="22" fillId="24" borderId="4" xfId="63" applyNumberFormat="1" applyFont="1" applyFill="1" applyBorder="1" applyAlignment="1">
      <alignment horizontal="center" vertical="center"/>
    </xf>
    <xf numFmtId="1" fontId="28" fillId="24" borderId="4" xfId="1" applyNumberFormat="1" applyFont="1" applyFill="1" applyBorder="1" applyAlignment="1">
      <alignment horizontal="center" vertical="center" wrapText="1" shrinkToFit="1"/>
    </xf>
    <xf numFmtId="1" fontId="28" fillId="24" borderId="11" xfId="0" applyNumberFormat="1" applyFont="1" applyFill="1" applyBorder="1" applyAlignment="1">
      <alignment horizontal="center" vertical="center" wrapText="1" shrinkToFit="1"/>
    </xf>
    <xf numFmtId="1" fontId="0" fillId="0" borderId="0" xfId="0" applyNumberFormat="1"/>
    <xf numFmtId="0" fontId="21" fillId="22" borderId="14" xfId="0" applyFont="1" applyFill="1" applyBorder="1" applyAlignment="1">
      <alignment horizontal="left" vertical="center"/>
    </xf>
    <xf numFmtId="0" fontId="21" fillId="22" borderId="15" xfId="0" applyFont="1" applyFill="1" applyBorder="1" applyAlignment="1">
      <alignment horizontal="left" vertical="center"/>
    </xf>
    <xf numFmtId="0" fontId="21" fillId="22" borderId="12" xfId="0" applyFont="1" applyFill="1" applyBorder="1" applyAlignment="1">
      <alignment horizontal="left" vertical="center"/>
    </xf>
    <xf numFmtId="2" fontId="28" fillId="24" borderId="16" xfId="0" applyNumberFormat="1" applyFont="1" applyFill="1" applyBorder="1" applyAlignment="1">
      <alignment horizontal="right" vertical="center" wrapText="1" shrinkToFit="1"/>
    </xf>
    <xf numFmtId="2" fontId="28" fillId="24" borderId="17" xfId="0" applyNumberFormat="1" applyFont="1" applyFill="1" applyBorder="1" applyAlignment="1">
      <alignment horizontal="right" vertical="center" wrapText="1" shrinkToFit="1"/>
    </xf>
    <xf numFmtId="2" fontId="28" fillId="24" borderId="36" xfId="0" applyNumberFormat="1" applyFont="1" applyFill="1" applyBorder="1" applyAlignment="1">
      <alignment horizontal="right" vertical="center" wrapText="1" shrinkToFit="1"/>
    </xf>
    <xf numFmtId="2" fontId="28" fillId="24" borderId="31" xfId="0" applyNumberFormat="1" applyFont="1" applyFill="1" applyBorder="1" applyAlignment="1">
      <alignment horizontal="right" vertical="center" wrapText="1" shrinkToFit="1"/>
    </xf>
    <xf numFmtId="2" fontId="22" fillId="24" borderId="16" xfId="0" applyNumberFormat="1" applyFont="1" applyFill="1" applyBorder="1" applyAlignment="1">
      <alignment horizontal="right" vertical="center"/>
    </xf>
    <xf numFmtId="2" fontId="22" fillId="24" borderId="17" xfId="0" applyNumberFormat="1" applyFont="1" applyFill="1" applyBorder="1" applyAlignment="1">
      <alignment horizontal="right" vertical="center"/>
    </xf>
    <xf numFmtId="2" fontId="22" fillId="24" borderId="36" xfId="0" applyNumberFormat="1" applyFont="1" applyFill="1" applyBorder="1" applyAlignment="1">
      <alignment horizontal="right" vertical="center"/>
    </xf>
    <xf numFmtId="2" fontId="22" fillId="24" borderId="31" xfId="0" applyNumberFormat="1" applyFont="1" applyFill="1" applyBorder="1" applyAlignment="1">
      <alignment horizontal="right" vertical="center"/>
    </xf>
    <xf numFmtId="0" fontId="0" fillId="0" borderId="43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0" fillId="0" borderId="0" xfId="0" applyFont="1" applyBorder="1"/>
    <xf numFmtId="14" fontId="0" fillId="0" borderId="0" xfId="0" applyNumberFormat="1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0" xfId="0" applyBorder="1" applyAlignment="1">
      <alignment horizontal="center"/>
    </xf>
    <xf numFmtId="3" fontId="0" fillId="0" borderId="50" xfId="0" applyNumberFormat="1" applyBorder="1" applyAlignment="1">
      <alignment horizontal="center"/>
    </xf>
    <xf numFmtId="4" fontId="0" fillId="0" borderId="50" xfId="0" applyNumberFormat="1" applyBorder="1" applyAlignment="1">
      <alignment horizontal="center"/>
    </xf>
    <xf numFmtId="4" fontId="0" fillId="0" borderId="51" xfId="0" applyNumberFormat="1" applyBorder="1" applyAlignment="1">
      <alignment horizontal="center"/>
    </xf>
    <xf numFmtId="0" fontId="0" fillId="0" borderId="22" xfId="0" applyFont="1" applyBorder="1"/>
    <xf numFmtId="4" fontId="0" fillId="0" borderId="52" xfId="0" applyNumberFormat="1" applyBorder="1" applyAlignment="1">
      <alignment horizontal="center"/>
    </xf>
    <xf numFmtId="0" fontId="27" fillId="0" borderId="49" xfId="0" applyFont="1" applyBorder="1" applyAlignment="1">
      <alignment horizontal="center"/>
    </xf>
    <xf numFmtId="3" fontId="27" fillId="0" borderId="49" xfId="0" applyNumberFormat="1" applyFont="1" applyBorder="1" applyAlignment="1">
      <alignment horizontal="center"/>
    </xf>
    <xf numFmtId="4" fontId="27" fillId="0" borderId="49" xfId="0" applyNumberFormat="1" applyFont="1" applyBorder="1" applyAlignment="1">
      <alignment horizontal="center"/>
    </xf>
    <xf numFmtId="4" fontId="27" fillId="0" borderId="53" xfId="0" applyNumberFormat="1" applyFont="1" applyBorder="1" applyAlignment="1">
      <alignment horizontal="center"/>
    </xf>
    <xf numFmtId="4" fontId="27" fillId="0" borderId="12" xfId="0" applyNumberFormat="1" applyFont="1" applyBorder="1" applyAlignment="1">
      <alignment horizontal="center"/>
    </xf>
    <xf numFmtId="3" fontId="27" fillId="0" borderId="48" xfId="0" applyNumberFormat="1" applyFont="1" applyBorder="1" applyAlignment="1">
      <alignment horizontal="center"/>
    </xf>
    <xf numFmtId="0" fontId="0" fillId="0" borderId="48" xfId="0" applyFont="1" applyBorder="1"/>
    <xf numFmtId="0" fontId="0" fillId="0" borderId="49" xfId="0" applyBorder="1" applyAlignment="1">
      <alignment horizontal="left"/>
    </xf>
    <xf numFmtId="0" fontId="0" fillId="0" borderId="49" xfId="0" applyBorder="1" applyAlignment="1">
      <alignment horizontal="center"/>
    </xf>
    <xf numFmtId="3" fontId="0" fillId="0" borderId="49" xfId="0" applyNumberFormat="1" applyBorder="1" applyAlignment="1">
      <alignment horizontal="center"/>
    </xf>
    <xf numFmtId="4" fontId="0" fillId="0" borderId="49" xfId="0" applyNumberFormat="1" applyBorder="1" applyAlignment="1">
      <alignment horizontal="center"/>
    </xf>
    <xf numFmtId="4" fontId="0" fillId="0" borderId="53" xfId="0" applyNumberFormat="1" applyBorder="1" applyAlignment="1">
      <alignment horizontal="center"/>
    </xf>
    <xf numFmtId="0" fontId="0" fillId="0" borderId="48" xfId="0" applyBorder="1" applyAlignment="1">
      <alignment horizontal="left"/>
    </xf>
    <xf numFmtId="0" fontId="27" fillId="0" borderId="15" xfId="0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0" fontId="0" fillId="0" borderId="37" xfId="0" applyBorder="1"/>
    <xf numFmtId="0" fontId="0" fillId="0" borderId="41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0" fillId="0" borderId="50" xfId="0" applyFont="1" applyBorder="1" applyAlignment="1">
      <alignment horizontal="left"/>
    </xf>
    <xf numFmtId="0" fontId="0" fillId="0" borderId="49" xfId="0" applyFont="1" applyBorder="1"/>
    <xf numFmtId="0" fontId="0" fillId="0" borderId="22" xfId="0" applyBorder="1" applyAlignment="1">
      <alignment horizontal="left"/>
    </xf>
    <xf numFmtId="0" fontId="0" fillId="0" borderId="54" xfId="0" applyBorder="1" applyAlignment="1">
      <alignment horizontal="left"/>
    </xf>
    <xf numFmtId="0" fontId="27" fillId="0" borderId="12" xfId="0" applyFont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3" fontId="29" fillId="0" borderId="14" xfId="0" applyNumberFormat="1" applyFont="1" applyBorder="1" applyAlignment="1">
      <alignment horizontal="center"/>
    </xf>
    <xf numFmtId="4" fontId="29" fillId="0" borderId="15" xfId="0" applyNumberFormat="1" applyFont="1" applyBorder="1" applyAlignment="1">
      <alignment horizontal="center"/>
    </xf>
    <xf numFmtId="4" fontId="29" fillId="0" borderId="12" xfId="0" applyNumberFormat="1" applyFont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0" fillId="0" borderId="22" xfId="0" applyFont="1" applyBorder="1" applyAlignment="1">
      <alignment horizontal="left"/>
    </xf>
  </cellXfs>
  <cellStyles count="83">
    <cellStyle name="%20 - Vurgu1 2" xfId="2"/>
    <cellStyle name="%20 - Vurgu1 2 2" xfId="3"/>
    <cellStyle name="%20 - Vurgu1 3" xfId="4"/>
    <cellStyle name="%20 - Vurgu1 3 2" xfId="5"/>
    <cellStyle name="%20 - Vurgu2 2" xfId="6"/>
    <cellStyle name="%20 - Vurgu2 2 2" xfId="7"/>
    <cellStyle name="%20 - Vurgu2 3" xfId="8"/>
    <cellStyle name="%20 - Vurgu2 3 2" xfId="9"/>
    <cellStyle name="%20 - Vurgu3 2" xfId="10"/>
    <cellStyle name="%20 - Vurgu3 2 2" xfId="11"/>
    <cellStyle name="%20 - Vurgu3 3" xfId="12"/>
    <cellStyle name="%20 - Vurgu3 3 2" xfId="13"/>
    <cellStyle name="%20 - Vurgu4 2" xfId="14"/>
    <cellStyle name="%20 - Vurgu4 2 2" xfId="15"/>
    <cellStyle name="%20 - Vurgu4 3" xfId="16"/>
    <cellStyle name="%20 - Vurgu4 3 2" xfId="17"/>
    <cellStyle name="%20 - Vurgu5 2" xfId="18"/>
    <cellStyle name="%20 - Vurgu5 2 2" xfId="19"/>
    <cellStyle name="%20 - Vurgu6 2" xfId="20"/>
    <cellStyle name="%20 - Vurgu6 2 2" xfId="21"/>
    <cellStyle name="%20 - Vurgu6 3" xfId="22"/>
    <cellStyle name="%20 - Vurgu6 3 2" xfId="23"/>
    <cellStyle name="%40 - Vurgu1 2" xfId="24"/>
    <cellStyle name="%40 - Vurgu1 2 2" xfId="25"/>
    <cellStyle name="%40 - Vurgu1 3" xfId="26"/>
    <cellStyle name="%40 - Vurgu1 3 2" xfId="27"/>
    <cellStyle name="%40 - Vurgu2 2" xfId="28"/>
    <cellStyle name="%40 - Vurgu2 2 2" xfId="29"/>
    <cellStyle name="%40 - Vurgu3 2" xfId="30"/>
    <cellStyle name="%40 - Vurgu3 2 2" xfId="31"/>
    <cellStyle name="%40 - Vurgu3 3" xfId="32"/>
    <cellStyle name="%40 - Vurgu3 3 2" xfId="33"/>
    <cellStyle name="%40 - Vurgu4 2" xfId="34"/>
    <cellStyle name="%40 - Vurgu4 2 2" xfId="35"/>
    <cellStyle name="%40 - Vurgu4 3" xfId="36"/>
    <cellStyle name="%40 - Vurgu4 3 2" xfId="37"/>
    <cellStyle name="%40 - Vurgu5 2" xfId="38"/>
    <cellStyle name="%40 - Vurgu5 2 2" xfId="39"/>
    <cellStyle name="%40 - Vurgu5 3" xfId="40"/>
    <cellStyle name="%40 - Vurgu5 3 2" xfId="41"/>
    <cellStyle name="%40 - Vurgu6 2" xfId="42"/>
    <cellStyle name="%40 - Vurgu6 2 2" xfId="43"/>
    <cellStyle name="%40 - Vurgu6 3" xfId="44"/>
    <cellStyle name="%40 - Vurgu6 3 2" xfId="45"/>
    <cellStyle name="%60 - Vurgu1 2" xfId="46"/>
    <cellStyle name="%60 - Vurgu2 2" xfId="47"/>
    <cellStyle name="%60 - Vurgu3 2" xfId="48"/>
    <cellStyle name="%60 - Vurgu4 2" xfId="49"/>
    <cellStyle name="%60 - Vurgu5 2" xfId="50"/>
    <cellStyle name="%60 - Vurgu6 2" xfId="51"/>
    <cellStyle name="Ana Başlık 2" xfId="52"/>
    <cellStyle name="Bağlı Hücre 2" xfId="53"/>
    <cellStyle name="Başlık 1 2" xfId="54"/>
    <cellStyle name="Başlık 2 2" xfId="55"/>
    <cellStyle name="Başlık 3 2" xfId="56"/>
    <cellStyle name="Başlık 4 2" xfId="57"/>
    <cellStyle name="Çıkış 2" xfId="58"/>
    <cellStyle name="Giriş 2" xfId="59"/>
    <cellStyle name="Hesaplama 2" xfId="60"/>
    <cellStyle name="İyi 2" xfId="61"/>
    <cellStyle name="Kötü 2" xfId="62"/>
    <cellStyle name="Normal" xfId="0" builtinId="0"/>
    <cellStyle name="Normal 2" xfId="63"/>
    <cellStyle name="Normal 2 2" xfId="64"/>
    <cellStyle name="Normal 3" xfId="65"/>
    <cellStyle name="Normal 4" xfId="66"/>
    <cellStyle name="Normal 4 2" xfId="67"/>
    <cellStyle name="Normal 4 2 2" xfId="68"/>
    <cellStyle name="Normal 4 3" xfId="69"/>
    <cellStyle name="Normal 4 4" xfId="70"/>
    <cellStyle name="Normal 5" xfId="71"/>
    <cellStyle name="Normal 6" xfId="72"/>
    <cellStyle name="Normal 7" xfId="73"/>
    <cellStyle name="Normal_Sayfa1" xfId="1"/>
    <cellStyle name="Not 2" xfId="74"/>
    <cellStyle name="Not 3" xfId="75"/>
    <cellStyle name="Nötr 2" xfId="76"/>
    <cellStyle name="Toplam 2" xfId="77"/>
    <cellStyle name="Vurgu1 2" xfId="78"/>
    <cellStyle name="Vurgu2 2" xfId="79"/>
    <cellStyle name="Vurgu3 2" xfId="80"/>
    <cellStyle name="Vurgu4 2" xfId="81"/>
    <cellStyle name="Vurgu6 2" xfId="82"/>
  </cellStyles>
  <dxfs count="8107"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1"/>
      </font>
    </dxf>
    <dxf>
      <font>
        <color theme="5" tint="-0.249977111117893"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font>
        <sz val="12"/>
      </font>
    </dxf>
    <dxf>
      <numFmt numFmtId="4" formatCode="#,##0.00"/>
    </dxf>
    <dxf>
      <numFmt numFmtId="3" formatCode="#,##0"/>
    </dxf>
    <dxf>
      <border>
        <left style="thin">
          <color indexed="64"/>
        </left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alignment horizontal="general" vertical="bottom" textRotation="0" wrapText="0" indent="0" justifyLastLine="0" shrinkToFit="0" readingOrder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2.4.2.Özel Sektör Tarafından İnşa Edilen Hidroelektrik Santraller,  Kurulu Güç (MW) 1924-2015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3540516787306079E-2"/>
          <c:y val="0.13040079129657256"/>
          <c:w val="0.96433138012381769"/>
          <c:h val="0.70387774627966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layout>
                <c:manualLayout>
                  <c:x val="-4.6568416396867973E-4"/>
                  <c:y val="-7.96401759024126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Sayfa1!$J$2:$J$66</c:f>
              <c:strCache>
                <c:ptCount val="65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Yozgat</c:v>
                </c:pt>
                <c:pt idx="29">
                  <c:v>Zonguldak</c:v>
                </c:pt>
                <c:pt idx="30">
                  <c:v>Karabük</c:v>
                </c:pt>
                <c:pt idx="31">
                  <c:v>Bartın</c:v>
                </c:pt>
                <c:pt idx="32">
                  <c:v>Kastamonu</c:v>
                </c:pt>
                <c:pt idx="33">
                  <c:v>Çankırı</c:v>
                </c:pt>
                <c:pt idx="34">
                  <c:v>Sinop</c:v>
                </c:pt>
                <c:pt idx="35">
                  <c:v>Samsun</c:v>
                </c:pt>
                <c:pt idx="36">
                  <c:v>Tokat</c:v>
                </c:pt>
                <c:pt idx="37">
                  <c:v>Çorum</c:v>
                </c:pt>
                <c:pt idx="38">
                  <c:v>Amasya</c:v>
                </c:pt>
                <c:pt idx="39">
                  <c:v>Trabzon</c:v>
                </c:pt>
                <c:pt idx="40">
                  <c:v>Ordu</c:v>
                </c:pt>
                <c:pt idx="41">
                  <c:v>Giresun</c:v>
                </c:pt>
                <c:pt idx="42">
                  <c:v>Rize</c:v>
                </c:pt>
                <c:pt idx="43">
                  <c:v>Artvin</c:v>
                </c:pt>
                <c:pt idx="44">
                  <c:v>Gümüşhane</c:v>
                </c:pt>
                <c:pt idx="45">
                  <c:v>Erzurum</c:v>
                </c:pt>
                <c:pt idx="46">
                  <c:v>Erzincan</c:v>
                </c:pt>
                <c:pt idx="47">
                  <c:v>Bayburt</c:v>
                </c:pt>
                <c:pt idx="48">
                  <c:v>Kars</c:v>
                </c:pt>
                <c:pt idx="49">
                  <c:v>Iğdır</c:v>
                </c:pt>
                <c:pt idx="50">
                  <c:v>Ardahan</c:v>
                </c:pt>
                <c:pt idx="51">
                  <c:v>Malatya</c:v>
                </c:pt>
                <c:pt idx="52">
                  <c:v>Elazığ</c:v>
                </c:pt>
                <c:pt idx="53">
                  <c:v>Bingöl</c:v>
                </c:pt>
                <c:pt idx="54">
                  <c:v>Tunceli</c:v>
                </c:pt>
                <c:pt idx="55">
                  <c:v>Van</c:v>
                </c:pt>
                <c:pt idx="56">
                  <c:v>Muş</c:v>
                </c:pt>
                <c:pt idx="57">
                  <c:v>Bitlis</c:v>
                </c:pt>
                <c:pt idx="58">
                  <c:v>Hakkari</c:v>
                </c:pt>
                <c:pt idx="59">
                  <c:v>Gaziantep</c:v>
                </c:pt>
                <c:pt idx="60">
                  <c:v>Adıyaman</c:v>
                </c:pt>
                <c:pt idx="61">
                  <c:v>Şanlıurfa</c:v>
                </c:pt>
                <c:pt idx="62">
                  <c:v>Diyarbakır</c:v>
                </c:pt>
                <c:pt idx="63">
                  <c:v>Batman</c:v>
                </c:pt>
                <c:pt idx="64">
                  <c:v>Siirt</c:v>
                </c:pt>
              </c:strCache>
            </c:strRef>
          </c:cat>
          <c:val>
            <c:numRef>
              <c:f>Sayfa1!$K$2:$K$66</c:f>
              <c:numCache>
                <c:formatCode>General</c:formatCode>
                <c:ptCount val="65"/>
                <c:pt idx="0">
                  <c:v>15.2</c:v>
                </c:pt>
                <c:pt idx="1">
                  <c:v>44.02</c:v>
                </c:pt>
                <c:pt idx="2">
                  <c:v>106.557</c:v>
                </c:pt>
                <c:pt idx="3">
                  <c:v>190.56299999999999</c:v>
                </c:pt>
                <c:pt idx="4">
                  <c:v>3</c:v>
                </c:pt>
                <c:pt idx="5">
                  <c:v>16.579999999999998</c:v>
                </c:pt>
                <c:pt idx="6">
                  <c:v>190.03400000000002</c:v>
                </c:pt>
                <c:pt idx="7">
                  <c:v>160</c:v>
                </c:pt>
                <c:pt idx="8">
                  <c:v>21.876999999999999</c:v>
                </c:pt>
                <c:pt idx="9">
                  <c:v>0.38</c:v>
                </c:pt>
                <c:pt idx="10">
                  <c:v>49.584000000000003</c:v>
                </c:pt>
                <c:pt idx="11">
                  <c:v>84.734000000000009</c:v>
                </c:pt>
                <c:pt idx="12">
                  <c:v>124.06399999999999</c:v>
                </c:pt>
                <c:pt idx="13">
                  <c:v>27.309000000000001</c:v>
                </c:pt>
                <c:pt idx="14">
                  <c:v>19.145</c:v>
                </c:pt>
                <c:pt idx="15">
                  <c:v>226.00500000000002</c:v>
                </c:pt>
                <c:pt idx="16">
                  <c:v>317.233</c:v>
                </c:pt>
                <c:pt idx="17">
                  <c:v>50.92</c:v>
                </c:pt>
                <c:pt idx="18">
                  <c:v>1286.1490000000001</c:v>
                </c:pt>
                <c:pt idx="19">
                  <c:v>430.89400000000001</c:v>
                </c:pt>
                <c:pt idx="20">
                  <c:v>14.071999999999999</c:v>
                </c:pt>
                <c:pt idx="21">
                  <c:v>1072.2703999999999</c:v>
                </c:pt>
                <c:pt idx="22">
                  <c:v>821.48800000000006</c:v>
                </c:pt>
                <c:pt idx="23">
                  <c:v>33.700000000000003</c:v>
                </c:pt>
                <c:pt idx="24">
                  <c:v>6.88E-2</c:v>
                </c:pt>
                <c:pt idx="25">
                  <c:v>87.13000000000001</c:v>
                </c:pt>
                <c:pt idx="26">
                  <c:v>249.71019999999999</c:v>
                </c:pt>
                <c:pt idx="27">
                  <c:v>240.352</c:v>
                </c:pt>
                <c:pt idx="28">
                  <c:v>2.8690000000000002</c:v>
                </c:pt>
                <c:pt idx="29">
                  <c:v>34.343000000000004</c:v>
                </c:pt>
                <c:pt idx="30">
                  <c:v>71.335999999999999</c:v>
                </c:pt>
                <c:pt idx="31">
                  <c:v>7.3140000000000001</c:v>
                </c:pt>
                <c:pt idx="32">
                  <c:v>43.322000000000003</c:v>
                </c:pt>
                <c:pt idx="33">
                  <c:v>1.06</c:v>
                </c:pt>
                <c:pt idx="34">
                  <c:v>536.13000000000011</c:v>
                </c:pt>
                <c:pt idx="35">
                  <c:v>29.2</c:v>
                </c:pt>
                <c:pt idx="36">
                  <c:v>284.15100000000001</c:v>
                </c:pt>
                <c:pt idx="37">
                  <c:v>134.9</c:v>
                </c:pt>
                <c:pt idx="38">
                  <c:v>133.19800000000001</c:v>
                </c:pt>
                <c:pt idx="39">
                  <c:v>517.14</c:v>
                </c:pt>
                <c:pt idx="40">
                  <c:v>201.68899999999999</c:v>
                </c:pt>
                <c:pt idx="41">
                  <c:v>943.85599999999999</c:v>
                </c:pt>
                <c:pt idx="42">
                  <c:v>337.70400000000006</c:v>
                </c:pt>
                <c:pt idx="43">
                  <c:v>564.721</c:v>
                </c:pt>
                <c:pt idx="44">
                  <c:v>238.917</c:v>
                </c:pt>
                <c:pt idx="45">
                  <c:v>739.7700000000001</c:v>
                </c:pt>
                <c:pt idx="46">
                  <c:v>266.46799999999996</c:v>
                </c:pt>
                <c:pt idx="47">
                  <c:v>25.703000000000003</c:v>
                </c:pt>
                <c:pt idx="48">
                  <c:v>133.51140000000001</c:v>
                </c:pt>
                <c:pt idx="49">
                  <c:v>11.1</c:v>
                </c:pt>
                <c:pt idx="50">
                  <c:v>110.74799999999999</c:v>
                </c:pt>
                <c:pt idx="51">
                  <c:v>63.844000000000008</c:v>
                </c:pt>
                <c:pt idx="52">
                  <c:v>929.99500000000012</c:v>
                </c:pt>
                <c:pt idx="53">
                  <c:v>51.436</c:v>
                </c:pt>
                <c:pt idx="54">
                  <c:v>86.56</c:v>
                </c:pt>
                <c:pt idx="55">
                  <c:v>44.764000000000003</c:v>
                </c:pt>
                <c:pt idx="56">
                  <c:v>5.258</c:v>
                </c:pt>
                <c:pt idx="57">
                  <c:v>1.464</c:v>
                </c:pt>
                <c:pt idx="58">
                  <c:v>47.712000000000003</c:v>
                </c:pt>
                <c:pt idx="59">
                  <c:v>2.25</c:v>
                </c:pt>
                <c:pt idx="60">
                  <c:v>190.76000000000002</c:v>
                </c:pt>
                <c:pt idx="61">
                  <c:v>672</c:v>
                </c:pt>
                <c:pt idx="62">
                  <c:v>47.152999999999999</c:v>
                </c:pt>
                <c:pt idx="63">
                  <c:v>52</c:v>
                </c:pt>
                <c:pt idx="64">
                  <c:v>344.48399999999998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31312"/>
        <c:axId val="241531872"/>
      </c:barChart>
      <c:catAx>
        <c:axId val="2415313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531872"/>
        <c:crosses val="autoZero"/>
        <c:auto val="1"/>
        <c:lblAlgn val="ctr"/>
        <c:lblOffset val="100"/>
        <c:noMultiLvlLbl val="0"/>
      </c:catAx>
      <c:valAx>
        <c:axId val="24153187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24153131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2.4.2.Özel Sektör Tarafından İnşa Edilen Hidroelektrik Santraller,  Ortalama Enerji Üretimi (GWh/Yıl), 1924-2015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14582369815406E-2"/>
          <c:y val="0.15034874169470369"/>
          <c:w val="0.96254425242657804"/>
          <c:h val="0.636875441613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Sayfa1!$M$2:$M$66</c:f>
              <c:strCache>
                <c:ptCount val="65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Yozgat</c:v>
                </c:pt>
                <c:pt idx="29">
                  <c:v>Zonguldak</c:v>
                </c:pt>
                <c:pt idx="30">
                  <c:v>Karabük</c:v>
                </c:pt>
                <c:pt idx="31">
                  <c:v>Bartın</c:v>
                </c:pt>
                <c:pt idx="32">
                  <c:v>Kastamonu</c:v>
                </c:pt>
                <c:pt idx="33">
                  <c:v>Çankırı</c:v>
                </c:pt>
                <c:pt idx="34">
                  <c:v>Sinop</c:v>
                </c:pt>
                <c:pt idx="35">
                  <c:v>Samsun</c:v>
                </c:pt>
                <c:pt idx="36">
                  <c:v>Tokat</c:v>
                </c:pt>
                <c:pt idx="37">
                  <c:v>Çorum</c:v>
                </c:pt>
                <c:pt idx="38">
                  <c:v>Amasya</c:v>
                </c:pt>
                <c:pt idx="39">
                  <c:v>Trabzon</c:v>
                </c:pt>
                <c:pt idx="40">
                  <c:v>Ordu</c:v>
                </c:pt>
                <c:pt idx="41">
                  <c:v>Giresun</c:v>
                </c:pt>
                <c:pt idx="42">
                  <c:v>Rize</c:v>
                </c:pt>
                <c:pt idx="43">
                  <c:v>Artvin</c:v>
                </c:pt>
                <c:pt idx="44">
                  <c:v>Gümüşhane</c:v>
                </c:pt>
                <c:pt idx="45">
                  <c:v>Erzurum</c:v>
                </c:pt>
                <c:pt idx="46">
                  <c:v>Erzincan</c:v>
                </c:pt>
                <c:pt idx="47">
                  <c:v>Bayburt</c:v>
                </c:pt>
                <c:pt idx="48">
                  <c:v>Kars</c:v>
                </c:pt>
                <c:pt idx="49">
                  <c:v>Iğdır</c:v>
                </c:pt>
                <c:pt idx="50">
                  <c:v>Ardahan</c:v>
                </c:pt>
                <c:pt idx="51">
                  <c:v>Malatya</c:v>
                </c:pt>
                <c:pt idx="52">
                  <c:v>Elazığ</c:v>
                </c:pt>
                <c:pt idx="53">
                  <c:v>Bingöl</c:v>
                </c:pt>
                <c:pt idx="54">
                  <c:v>Tunceli</c:v>
                </c:pt>
                <c:pt idx="55">
                  <c:v>Van</c:v>
                </c:pt>
                <c:pt idx="56">
                  <c:v>Muş</c:v>
                </c:pt>
                <c:pt idx="57">
                  <c:v>Bitlis</c:v>
                </c:pt>
                <c:pt idx="58">
                  <c:v>Hakkari</c:v>
                </c:pt>
                <c:pt idx="59">
                  <c:v>Gaziantep</c:v>
                </c:pt>
                <c:pt idx="60">
                  <c:v>Adıyaman</c:v>
                </c:pt>
                <c:pt idx="61">
                  <c:v>Şanlıurfa</c:v>
                </c:pt>
                <c:pt idx="62">
                  <c:v>Diyarbakır</c:v>
                </c:pt>
                <c:pt idx="63">
                  <c:v>Batman</c:v>
                </c:pt>
                <c:pt idx="64">
                  <c:v>Siirt</c:v>
                </c:pt>
              </c:strCache>
            </c:strRef>
          </c:cat>
          <c:val>
            <c:numRef>
              <c:f>Sayfa1!$N$2:$N$66</c:f>
              <c:numCache>
                <c:formatCode>General</c:formatCode>
                <c:ptCount val="65"/>
                <c:pt idx="0">
                  <c:v>67.66</c:v>
                </c:pt>
                <c:pt idx="1">
                  <c:v>163.34999999999997</c:v>
                </c:pt>
                <c:pt idx="2">
                  <c:v>327.84399999999999</c:v>
                </c:pt>
                <c:pt idx="3">
                  <c:v>797.7</c:v>
                </c:pt>
                <c:pt idx="4">
                  <c:v>22.3</c:v>
                </c:pt>
                <c:pt idx="5">
                  <c:v>67.91</c:v>
                </c:pt>
                <c:pt idx="6">
                  <c:v>668.54000000000008</c:v>
                </c:pt>
                <c:pt idx="7">
                  <c:v>400</c:v>
                </c:pt>
                <c:pt idx="8">
                  <c:v>122.11</c:v>
                </c:pt>
                <c:pt idx="9">
                  <c:v>1.44</c:v>
                </c:pt>
                <c:pt idx="10">
                  <c:v>277.39</c:v>
                </c:pt>
                <c:pt idx="11">
                  <c:v>290.97000000000003</c:v>
                </c:pt>
                <c:pt idx="12">
                  <c:v>367.17</c:v>
                </c:pt>
                <c:pt idx="13">
                  <c:v>171</c:v>
                </c:pt>
                <c:pt idx="14">
                  <c:v>86.4</c:v>
                </c:pt>
                <c:pt idx="15">
                  <c:v>777.90000000000009</c:v>
                </c:pt>
                <c:pt idx="16">
                  <c:v>1199.5</c:v>
                </c:pt>
                <c:pt idx="17">
                  <c:v>171.09</c:v>
                </c:pt>
                <c:pt idx="18">
                  <c:v>4462.2890000000007</c:v>
                </c:pt>
                <c:pt idx="19">
                  <c:v>1714.06</c:v>
                </c:pt>
                <c:pt idx="20">
                  <c:v>50.67</c:v>
                </c:pt>
                <c:pt idx="21">
                  <c:v>2894.62</c:v>
                </c:pt>
                <c:pt idx="22">
                  <c:v>2814.59</c:v>
                </c:pt>
                <c:pt idx="23">
                  <c:v>146</c:v>
                </c:pt>
                <c:pt idx="24">
                  <c:v>0.6</c:v>
                </c:pt>
                <c:pt idx="25">
                  <c:v>376.64</c:v>
                </c:pt>
                <c:pt idx="26">
                  <c:v>1104.73</c:v>
                </c:pt>
                <c:pt idx="27">
                  <c:v>1035.9659999999999</c:v>
                </c:pt>
                <c:pt idx="28">
                  <c:v>13.2</c:v>
                </c:pt>
                <c:pt idx="29">
                  <c:v>147</c:v>
                </c:pt>
                <c:pt idx="30">
                  <c:v>250.43</c:v>
                </c:pt>
                <c:pt idx="31">
                  <c:v>24</c:v>
                </c:pt>
                <c:pt idx="32">
                  <c:v>159.79999999999998</c:v>
                </c:pt>
                <c:pt idx="33">
                  <c:v>5</c:v>
                </c:pt>
                <c:pt idx="34">
                  <c:v>1560.03</c:v>
                </c:pt>
                <c:pt idx="35">
                  <c:v>161.96800000000002</c:v>
                </c:pt>
                <c:pt idx="36">
                  <c:v>1234.6600000000001</c:v>
                </c:pt>
                <c:pt idx="37">
                  <c:v>668</c:v>
                </c:pt>
                <c:pt idx="38">
                  <c:v>483.56699999999995</c:v>
                </c:pt>
                <c:pt idx="39">
                  <c:v>1850.0080000000003</c:v>
                </c:pt>
                <c:pt idx="40">
                  <c:v>677.55499999999995</c:v>
                </c:pt>
                <c:pt idx="41">
                  <c:v>3260.7730000000006</c:v>
                </c:pt>
                <c:pt idx="42">
                  <c:v>1330.8300000000004</c:v>
                </c:pt>
                <c:pt idx="43">
                  <c:v>1720.248</c:v>
                </c:pt>
                <c:pt idx="44">
                  <c:v>711.57</c:v>
                </c:pt>
                <c:pt idx="45">
                  <c:v>2473.3200000000002</c:v>
                </c:pt>
                <c:pt idx="46">
                  <c:v>966.94999999999993</c:v>
                </c:pt>
                <c:pt idx="47">
                  <c:v>94.55</c:v>
                </c:pt>
                <c:pt idx="48">
                  <c:v>474.221</c:v>
                </c:pt>
                <c:pt idx="49">
                  <c:v>50</c:v>
                </c:pt>
                <c:pt idx="50">
                  <c:v>388.06</c:v>
                </c:pt>
                <c:pt idx="51">
                  <c:v>288.53499999999997</c:v>
                </c:pt>
                <c:pt idx="52">
                  <c:v>2316.2719999999999</c:v>
                </c:pt>
                <c:pt idx="53">
                  <c:v>150.97999999999999</c:v>
                </c:pt>
                <c:pt idx="54">
                  <c:v>338.75</c:v>
                </c:pt>
                <c:pt idx="55">
                  <c:v>180.2</c:v>
                </c:pt>
                <c:pt idx="56">
                  <c:v>14.93</c:v>
                </c:pt>
                <c:pt idx="57">
                  <c:v>2.0649999999999999</c:v>
                </c:pt>
                <c:pt idx="58">
                  <c:v>160.41800000000001</c:v>
                </c:pt>
                <c:pt idx="59">
                  <c:v>11.52</c:v>
                </c:pt>
                <c:pt idx="60">
                  <c:v>762.72</c:v>
                </c:pt>
                <c:pt idx="61">
                  <c:v>2516</c:v>
                </c:pt>
                <c:pt idx="62">
                  <c:v>150.095</c:v>
                </c:pt>
                <c:pt idx="63">
                  <c:v>225.34</c:v>
                </c:pt>
                <c:pt idx="64">
                  <c:v>1097.3000000000002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34112"/>
        <c:axId val="241534672"/>
      </c:barChart>
      <c:catAx>
        <c:axId val="2415341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534672"/>
        <c:crosses val="autoZero"/>
        <c:auto val="1"/>
        <c:lblAlgn val="ctr"/>
        <c:lblOffset val="100"/>
        <c:noMultiLvlLbl val="0"/>
      </c:catAx>
      <c:valAx>
        <c:axId val="24153467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4153411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2.4.</a:t>
            </a:r>
            <a:r>
              <a:rPr lang="tr-TR" sz="1800" b="1" i="0" baseline="0">
                <a:effectLst/>
              </a:rPr>
              <a:t>2</a:t>
            </a:r>
            <a:r>
              <a:rPr lang="en-US" sz="1800" b="1" i="0" baseline="0">
                <a:effectLst/>
              </a:rPr>
              <a:t>.İl Bazında Özel Sektör Tarafından İnşa Edilen Hidroelektrik Santraller</a:t>
            </a:r>
            <a:r>
              <a:rPr lang="tr-TR" sz="1800" b="1" i="0" baseline="0">
                <a:effectLst/>
              </a:rPr>
              <a:t> (adet)</a:t>
            </a:r>
            <a:r>
              <a:rPr lang="en-US" sz="1800" b="1" i="0" baseline="0">
                <a:effectLst/>
              </a:rPr>
              <a:t>, 1924-201</a:t>
            </a:r>
            <a:r>
              <a:rPr lang="tr-TR" sz="1800" b="1" i="0" baseline="0">
                <a:effectLst/>
              </a:rPr>
              <a:t>5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6209135894271266E-2"/>
          <c:y val="0.13362290333151636"/>
          <c:w val="0.96266636873935574"/>
          <c:h val="0.6627470534208764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Sayfa1!$J$2:$J$66</c:f>
              <c:strCache>
                <c:ptCount val="65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Yozgat</c:v>
                </c:pt>
                <c:pt idx="29">
                  <c:v>Zonguldak</c:v>
                </c:pt>
                <c:pt idx="30">
                  <c:v>Karabük</c:v>
                </c:pt>
                <c:pt idx="31">
                  <c:v>Bartın</c:v>
                </c:pt>
                <c:pt idx="32">
                  <c:v>Kastamonu</c:v>
                </c:pt>
                <c:pt idx="33">
                  <c:v>Çankırı</c:v>
                </c:pt>
                <c:pt idx="34">
                  <c:v>Sinop</c:v>
                </c:pt>
                <c:pt idx="35">
                  <c:v>Samsun</c:v>
                </c:pt>
                <c:pt idx="36">
                  <c:v>Tokat</c:v>
                </c:pt>
                <c:pt idx="37">
                  <c:v>Çorum</c:v>
                </c:pt>
                <c:pt idx="38">
                  <c:v>Amasya</c:v>
                </c:pt>
                <c:pt idx="39">
                  <c:v>Trabzon</c:v>
                </c:pt>
                <c:pt idx="40">
                  <c:v>Ordu</c:v>
                </c:pt>
                <c:pt idx="41">
                  <c:v>Giresun</c:v>
                </c:pt>
                <c:pt idx="42">
                  <c:v>Rize</c:v>
                </c:pt>
                <c:pt idx="43">
                  <c:v>Artvin</c:v>
                </c:pt>
                <c:pt idx="44">
                  <c:v>Gümüşhane</c:v>
                </c:pt>
                <c:pt idx="45">
                  <c:v>Erzurum</c:v>
                </c:pt>
                <c:pt idx="46">
                  <c:v>Erzincan</c:v>
                </c:pt>
                <c:pt idx="47">
                  <c:v>Bayburt</c:v>
                </c:pt>
                <c:pt idx="48">
                  <c:v>Kars</c:v>
                </c:pt>
                <c:pt idx="49">
                  <c:v>Iğdır</c:v>
                </c:pt>
                <c:pt idx="50">
                  <c:v>Ardahan</c:v>
                </c:pt>
                <c:pt idx="51">
                  <c:v>Malatya</c:v>
                </c:pt>
                <c:pt idx="52">
                  <c:v>Elazığ</c:v>
                </c:pt>
                <c:pt idx="53">
                  <c:v>Bingöl</c:v>
                </c:pt>
                <c:pt idx="54">
                  <c:v>Tunceli</c:v>
                </c:pt>
                <c:pt idx="55">
                  <c:v>Van</c:v>
                </c:pt>
                <c:pt idx="56">
                  <c:v>Muş</c:v>
                </c:pt>
                <c:pt idx="57">
                  <c:v>Bitlis</c:v>
                </c:pt>
                <c:pt idx="58">
                  <c:v>Hakkari</c:v>
                </c:pt>
                <c:pt idx="59">
                  <c:v>Gaziantep</c:v>
                </c:pt>
                <c:pt idx="60">
                  <c:v>Adıyaman</c:v>
                </c:pt>
                <c:pt idx="61">
                  <c:v>Şanlıurfa</c:v>
                </c:pt>
                <c:pt idx="62">
                  <c:v>Diyarbakır</c:v>
                </c:pt>
                <c:pt idx="63">
                  <c:v>Batman</c:v>
                </c:pt>
                <c:pt idx="64">
                  <c:v>Siirt</c:v>
                </c:pt>
              </c:strCache>
            </c:strRef>
          </c:cat>
          <c:val>
            <c:numRef>
              <c:f>Sayfa1!$L$2:$L$66</c:f>
              <c:numCache>
                <c:formatCode>General</c:formatCode>
                <c:ptCount val="65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13</c:v>
                </c:pt>
                <c:pt idx="4">
                  <c:v>1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8</c:v>
                </c:pt>
                <c:pt idx="16">
                  <c:v>21</c:v>
                </c:pt>
                <c:pt idx="17">
                  <c:v>6</c:v>
                </c:pt>
                <c:pt idx="18">
                  <c:v>19</c:v>
                </c:pt>
                <c:pt idx="19">
                  <c:v>20</c:v>
                </c:pt>
                <c:pt idx="20">
                  <c:v>2</c:v>
                </c:pt>
                <c:pt idx="21">
                  <c:v>32</c:v>
                </c:pt>
                <c:pt idx="22">
                  <c:v>16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10</c:v>
                </c:pt>
                <c:pt idx="27">
                  <c:v>22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7</c:v>
                </c:pt>
                <c:pt idx="33">
                  <c:v>1</c:v>
                </c:pt>
                <c:pt idx="34">
                  <c:v>4</c:v>
                </c:pt>
                <c:pt idx="35">
                  <c:v>3</c:v>
                </c:pt>
                <c:pt idx="36">
                  <c:v>9</c:v>
                </c:pt>
                <c:pt idx="37">
                  <c:v>3</c:v>
                </c:pt>
                <c:pt idx="38">
                  <c:v>10</c:v>
                </c:pt>
                <c:pt idx="39">
                  <c:v>40</c:v>
                </c:pt>
                <c:pt idx="40">
                  <c:v>8</c:v>
                </c:pt>
                <c:pt idx="41">
                  <c:v>35</c:v>
                </c:pt>
                <c:pt idx="42">
                  <c:v>14</c:v>
                </c:pt>
                <c:pt idx="43">
                  <c:v>15</c:v>
                </c:pt>
                <c:pt idx="44">
                  <c:v>8</c:v>
                </c:pt>
                <c:pt idx="45">
                  <c:v>24</c:v>
                </c:pt>
                <c:pt idx="46">
                  <c:v>11</c:v>
                </c:pt>
                <c:pt idx="47">
                  <c:v>3</c:v>
                </c:pt>
                <c:pt idx="48">
                  <c:v>8</c:v>
                </c:pt>
                <c:pt idx="49">
                  <c:v>1</c:v>
                </c:pt>
                <c:pt idx="50">
                  <c:v>4</c:v>
                </c:pt>
                <c:pt idx="51">
                  <c:v>9</c:v>
                </c:pt>
                <c:pt idx="52">
                  <c:v>7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13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9"/>
        <c:axId val="241536912"/>
        <c:axId val="241537472"/>
      </c:barChart>
      <c:catAx>
        <c:axId val="241536912"/>
        <c:scaling>
          <c:orientation val="minMax"/>
        </c:scaling>
        <c:delete val="0"/>
        <c:axPos val="b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537472"/>
        <c:crosses val="autoZero"/>
        <c:auto val="1"/>
        <c:lblAlgn val="ctr"/>
        <c:lblOffset val="100"/>
        <c:noMultiLvlLbl val="0"/>
      </c:catAx>
      <c:valAx>
        <c:axId val="241537472"/>
        <c:scaling>
          <c:orientation val="minMax"/>
          <c:max val="35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24153691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2.4.</a:t>
            </a:r>
            <a:r>
              <a:rPr lang="tr-TR" sz="1800" b="1" i="0" baseline="0">
                <a:effectLst/>
              </a:rPr>
              <a:t>2</a:t>
            </a:r>
            <a:r>
              <a:rPr lang="en-US" sz="1800" b="1" i="0" baseline="0">
                <a:effectLst/>
              </a:rPr>
              <a:t>.</a:t>
            </a:r>
            <a:r>
              <a:rPr lang="tr-TR" sz="1800" b="1" i="0" baseline="0">
                <a:effectLst/>
              </a:rPr>
              <a:t>Yıl</a:t>
            </a:r>
            <a:r>
              <a:rPr lang="en-US" sz="1800" b="1" i="0" baseline="0">
                <a:effectLst/>
              </a:rPr>
              <a:t> Bazında Özel Sektör Tarafından İnşa Edilen Hidroelektrik Santraller</a:t>
            </a:r>
            <a:r>
              <a:rPr lang="tr-TR" sz="1800" b="1" i="0" baseline="0">
                <a:effectLst/>
              </a:rPr>
              <a:t> (adet)</a:t>
            </a:r>
            <a:r>
              <a:rPr lang="en-US" sz="1800" b="1" i="0" baseline="0">
                <a:effectLst/>
              </a:rPr>
              <a:t>, 1924-201</a:t>
            </a:r>
            <a:r>
              <a:rPr lang="tr-TR" sz="1800" b="1" i="0" baseline="0">
                <a:effectLst/>
              </a:rPr>
              <a:t>5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4568092594507682E-2"/>
          <c:y val="8.7361215094014885E-2"/>
          <c:w val="0.96266636873935574"/>
          <c:h val="0.8511291252527860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Sayfa1!$P$2:$P$93</c:f>
              <c:numCache>
                <c:formatCode>General</c:formatCode>
                <c:ptCount val="92"/>
                <c:pt idx="0">
                  <c:v>1924</c:v>
                </c:pt>
                <c:pt idx="1">
                  <c:v>1925</c:v>
                </c:pt>
                <c:pt idx="2">
                  <c:v>1926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1941</c:v>
                </c:pt>
                <c:pt idx="18">
                  <c:v>1942</c:v>
                </c:pt>
                <c:pt idx="19">
                  <c:v>1943</c:v>
                </c:pt>
                <c:pt idx="20">
                  <c:v>1944</c:v>
                </c:pt>
                <c:pt idx="21">
                  <c:v>1945</c:v>
                </c:pt>
                <c:pt idx="22">
                  <c:v>1946</c:v>
                </c:pt>
                <c:pt idx="23">
                  <c:v>1947</c:v>
                </c:pt>
                <c:pt idx="24">
                  <c:v>1948</c:v>
                </c:pt>
                <c:pt idx="25">
                  <c:v>1949</c:v>
                </c:pt>
                <c:pt idx="26">
                  <c:v>1950</c:v>
                </c:pt>
                <c:pt idx="27">
                  <c:v>1951</c:v>
                </c:pt>
                <c:pt idx="28">
                  <c:v>1952</c:v>
                </c:pt>
                <c:pt idx="29">
                  <c:v>1953</c:v>
                </c:pt>
                <c:pt idx="30">
                  <c:v>1954</c:v>
                </c:pt>
                <c:pt idx="31">
                  <c:v>1955</c:v>
                </c:pt>
                <c:pt idx="32">
                  <c:v>1956</c:v>
                </c:pt>
                <c:pt idx="33">
                  <c:v>1957</c:v>
                </c:pt>
                <c:pt idx="34">
                  <c:v>1958</c:v>
                </c:pt>
                <c:pt idx="35">
                  <c:v>1959</c:v>
                </c:pt>
                <c:pt idx="36">
                  <c:v>1960</c:v>
                </c:pt>
                <c:pt idx="37">
                  <c:v>1961</c:v>
                </c:pt>
                <c:pt idx="38">
                  <c:v>1962</c:v>
                </c:pt>
                <c:pt idx="39">
                  <c:v>1963</c:v>
                </c:pt>
                <c:pt idx="40">
                  <c:v>1964</c:v>
                </c:pt>
                <c:pt idx="41">
                  <c:v>1965</c:v>
                </c:pt>
                <c:pt idx="42">
                  <c:v>1966</c:v>
                </c:pt>
                <c:pt idx="43">
                  <c:v>1967</c:v>
                </c:pt>
                <c:pt idx="44">
                  <c:v>1968</c:v>
                </c:pt>
                <c:pt idx="45">
                  <c:v>1969</c:v>
                </c:pt>
                <c:pt idx="46">
                  <c:v>1970</c:v>
                </c:pt>
                <c:pt idx="47">
                  <c:v>1971</c:v>
                </c:pt>
                <c:pt idx="48">
                  <c:v>1972</c:v>
                </c:pt>
                <c:pt idx="49">
                  <c:v>1973</c:v>
                </c:pt>
                <c:pt idx="50">
                  <c:v>1974</c:v>
                </c:pt>
                <c:pt idx="51">
                  <c:v>1975</c:v>
                </c:pt>
                <c:pt idx="52">
                  <c:v>1976</c:v>
                </c:pt>
                <c:pt idx="53">
                  <c:v>1977</c:v>
                </c:pt>
                <c:pt idx="54">
                  <c:v>1978</c:v>
                </c:pt>
                <c:pt idx="55">
                  <c:v>1979</c:v>
                </c:pt>
                <c:pt idx="56">
                  <c:v>1980</c:v>
                </c:pt>
                <c:pt idx="57">
                  <c:v>1981</c:v>
                </c:pt>
                <c:pt idx="58">
                  <c:v>1982</c:v>
                </c:pt>
                <c:pt idx="59">
                  <c:v>1983</c:v>
                </c:pt>
                <c:pt idx="60">
                  <c:v>1984</c:v>
                </c:pt>
                <c:pt idx="61">
                  <c:v>1985</c:v>
                </c:pt>
                <c:pt idx="62">
                  <c:v>1986</c:v>
                </c:pt>
                <c:pt idx="63">
                  <c:v>1987</c:v>
                </c:pt>
                <c:pt idx="64">
                  <c:v>1988</c:v>
                </c:pt>
                <c:pt idx="65">
                  <c:v>1989</c:v>
                </c:pt>
                <c:pt idx="66">
                  <c:v>1990</c:v>
                </c:pt>
                <c:pt idx="67">
                  <c:v>1991</c:v>
                </c:pt>
                <c:pt idx="68">
                  <c:v>1992</c:v>
                </c:pt>
                <c:pt idx="69">
                  <c:v>1993</c:v>
                </c:pt>
                <c:pt idx="70">
                  <c:v>1994</c:v>
                </c:pt>
                <c:pt idx="71">
                  <c:v>1995</c:v>
                </c:pt>
                <c:pt idx="72">
                  <c:v>1996</c:v>
                </c:pt>
                <c:pt idx="73">
                  <c:v>1997</c:v>
                </c:pt>
                <c:pt idx="74">
                  <c:v>1998</c:v>
                </c:pt>
                <c:pt idx="75">
                  <c:v>1999</c:v>
                </c:pt>
                <c:pt idx="76">
                  <c:v>2000</c:v>
                </c:pt>
                <c:pt idx="77">
                  <c:v>2001</c:v>
                </c:pt>
                <c:pt idx="78">
                  <c:v>2002</c:v>
                </c:pt>
                <c:pt idx="79">
                  <c:v>2003</c:v>
                </c:pt>
                <c:pt idx="80">
                  <c:v>2004</c:v>
                </c:pt>
                <c:pt idx="81">
                  <c:v>2005</c:v>
                </c:pt>
                <c:pt idx="82">
                  <c:v>2006</c:v>
                </c:pt>
                <c:pt idx="83">
                  <c:v>2007</c:v>
                </c:pt>
                <c:pt idx="84">
                  <c:v>2008</c:v>
                </c:pt>
                <c:pt idx="85">
                  <c:v>2009</c:v>
                </c:pt>
                <c:pt idx="86">
                  <c:v>2010</c:v>
                </c:pt>
                <c:pt idx="87">
                  <c:v>2011</c:v>
                </c:pt>
                <c:pt idx="88">
                  <c:v>2012</c:v>
                </c:pt>
                <c:pt idx="89">
                  <c:v>2013</c:v>
                </c:pt>
                <c:pt idx="90">
                  <c:v>2014</c:v>
                </c:pt>
                <c:pt idx="91">
                  <c:v>2015</c:v>
                </c:pt>
              </c:numCache>
            </c:numRef>
          </c:cat>
          <c:val>
            <c:numRef>
              <c:f>Sayfa1!$Q$2:$Q$93</c:f>
              <c:numCache>
                <c:formatCode>General</c:formatCode>
                <c:ptCount val="9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4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3</c:v>
                </c:pt>
                <c:pt idx="37">
                  <c:v>5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4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5</c:v>
                </c:pt>
                <c:pt idx="75">
                  <c:v>2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2</c:v>
                </c:pt>
                <c:pt idx="80">
                  <c:v>6</c:v>
                </c:pt>
                <c:pt idx="81">
                  <c:v>4</c:v>
                </c:pt>
                <c:pt idx="82">
                  <c:v>10</c:v>
                </c:pt>
                <c:pt idx="83">
                  <c:v>7</c:v>
                </c:pt>
                <c:pt idx="84">
                  <c:v>18</c:v>
                </c:pt>
                <c:pt idx="85">
                  <c:v>32</c:v>
                </c:pt>
                <c:pt idx="86">
                  <c:v>34</c:v>
                </c:pt>
                <c:pt idx="87">
                  <c:v>48</c:v>
                </c:pt>
                <c:pt idx="88">
                  <c:v>76</c:v>
                </c:pt>
                <c:pt idx="89">
                  <c:v>86</c:v>
                </c:pt>
                <c:pt idx="90">
                  <c:v>47</c:v>
                </c:pt>
                <c:pt idx="91">
                  <c:v>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9"/>
        <c:axId val="241539712"/>
        <c:axId val="241540272"/>
      </c:barChart>
      <c:catAx>
        <c:axId val="241539712"/>
        <c:scaling>
          <c:orientation val="minMax"/>
        </c:scaling>
        <c:delete val="0"/>
        <c:axPos val="b"/>
        <c:majorGridlines>
          <c:spPr>
            <a:ln w="6350"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540272"/>
        <c:crosses val="autoZero"/>
        <c:auto val="1"/>
        <c:lblAlgn val="ctr"/>
        <c:lblOffset val="100"/>
        <c:noMultiLvlLbl val="0"/>
      </c:catAx>
      <c:valAx>
        <c:axId val="241540272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/>
        </c:spPr>
        <c:txPr>
          <a:bodyPr/>
          <a:lstStyle/>
          <a:p>
            <a:pPr>
              <a:defRPr sz="1100"/>
            </a:pPr>
            <a:endParaRPr lang="tr-TR"/>
          </a:p>
        </c:txPr>
        <c:crossAx val="241539712"/>
        <c:crosses val="autoZero"/>
        <c:crossBetween val="between"/>
        <c:majorUnit val="5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2.4.2.Özel Sektör Tarafından İnşa Edilen Hidroelektrik Santraller,  Kurulu Güç (MW) 1924-2015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124008326247868E-2"/>
          <c:y val="0.15881996396059861"/>
          <c:w val="0.92095899222787436"/>
          <c:h val="0.6754586117505634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layout>
                <c:manualLayout>
                  <c:x val="3.240748752559776E-4"/>
                  <c:y val="-1.2245320082547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Sayfa1!$J$2:$J$66</c:f>
              <c:strCache>
                <c:ptCount val="65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Yozgat</c:v>
                </c:pt>
                <c:pt idx="29">
                  <c:v>Zonguldak</c:v>
                </c:pt>
                <c:pt idx="30">
                  <c:v>Karabük</c:v>
                </c:pt>
                <c:pt idx="31">
                  <c:v>Bartın</c:v>
                </c:pt>
                <c:pt idx="32">
                  <c:v>Kastamonu</c:v>
                </c:pt>
                <c:pt idx="33">
                  <c:v>Çankırı</c:v>
                </c:pt>
                <c:pt idx="34">
                  <c:v>Sinop</c:v>
                </c:pt>
                <c:pt idx="35">
                  <c:v>Samsun</c:v>
                </c:pt>
                <c:pt idx="36">
                  <c:v>Tokat</c:v>
                </c:pt>
                <c:pt idx="37">
                  <c:v>Çorum</c:v>
                </c:pt>
                <c:pt idx="38">
                  <c:v>Amasya</c:v>
                </c:pt>
                <c:pt idx="39">
                  <c:v>Trabzon</c:v>
                </c:pt>
                <c:pt idx="40">
                  <c:v>Ordu</c:v>
                </c:pt>
                <c:pt idx="41">
                  <c:v>Giresun</c:v>
                </c:pt>
                <c:pt idx="42">
                  <c:v>Rize</c:v>
                </c:pt>
                <c:pt idx="43">
                  <c:v>Artvin</c:v>
                </c:pt>
                <c:pt idx="44">
                  <c:v>Gümüşhane</c:v>
                </c:pt>
                <c:pt idx="45">
                  <c:v>Erzurum</c:v>
                </c:pt>
                <c:pt idx="46">
                  <c:v>Erzincan</c:v>
                </c:pt>
                <c:pt idx="47">
                  <c:v>Bayburt</c:v>
                </c:pt>
                <c:pt idx="48">
                  <c:v>Kars</c:v>
                </c:pt>
                <c:pt idx="49">
                  <c:v>Iğdır</c:v>
                </c:pt>
                <c:pt idx="50">
                  <c:v>Ardahan</c:v>
                </c:pt>
                <c:pt idx="51">
                  <c:v>Malatya</c:v>
                </c:pt>
                <c:pt idx="52">
                  <c:v>Elazığ</c:v>
                </c:pt>
                <c:pt idx="53">
                  <c:v>Bingöl</c:v>
                </c:pt>
                <c:pt idx="54">
                  <c:v>Tunceli</c:v>
                </c:pt>
                <c:pt idx="55">
                  <c:v>Van</c:v>
                </c:pt>
                <c:pt idx="56">
                  <c:v>Muş</c:v>
                </c:pt>
                <c:pt idx="57">
                  <c:v>Bitlis</c:v>
                </c:pt>
                <c:pt idx="58">
                  <c:v>Hakkari</c:v>
                </c:pt>
                <c:pt idx="59">
                  <c:v>Gaziantep</c:v>
                </c:pt>
                <c:pt idx="60">
                  <c:v>Adıyaman</c:v>
                </c:pt>
                <c:pt idx="61">
                  <c:v>Şanlıurfa</c:v>
                </c:pt>
                <c:pt idx="62">
                  <c:v>Diyarbakır</c:v>
                </c:pt>
                <c:pt idx="63">
                  <c:v>Batman</c:v>
                </c:pt>
                <c:pt idx="64">
                  <c:v>Siirt</c:v>
                </c:pt>
              </c:strCache>
            </c:strRef>
          </c:cat>
          <c:val>
            <c:numRef>
              <c:f>Sayfa1!$K$2:$K$66</c:f>
              <c:numCache>
                <c:formatCode>General</c:formatCode>
                <c:ptCount val="65"/>
                <c:pt idx="0">
                  <c:v>15.2</c:v>
                </c:pt>
                <c:pt idx="1">
                  <c:v>44.02</c:v>
                </c:pt>
                <c:pt idx="2">
                  <c:v>106.557</c:v>
                </c:pt>
                <c:pt idx="3">
                  <c:v>190.56299999999999</c:v>
                </c:pt>
                <c:pt idx="4">
                  <c:v>3</c:v>
                </c:pt>
                <c:pt idx="5">
                  <c:v>16.579999999999998</c:v>
                </c:pt>
                <c:pt idx="6">
                  <c:v>190.03400000000002</c:v>
                </c:pt>
                <c:pt idx="7">
                  <c:v>160</c:v>
                </c:pt>
                <c:pt idx="8">
                  <c:v>21.876999999999999</c:v>
                </c:pt>
                <c:pt idx="9">
                  <c:v>0.38</c:v>
                </c:pt>
                <c:pt idx="10">
                  <c:v>49.584000000000003</c:v>
                </c:pt>
                <c:pt idx="11">
                  <c:v>84.734000000000009</c:v>
                </c:pt>
                <c:pt idx="12">
                  <c:v>124.06399999999999</c:v>
                </c:pt>
                <c:pt idx="13">
                  <c:v>27.309000000000001</c:v>
                </c:pt>
                <c:pt idx="14">
                  <c:v>19.145</c:v>
                </c:pt>
                <c:pt idx="15">
                  <c:v>226.00500000000002</c:v>
                </c:pt>
                <c:pt idx="16">
                  <c:v>317.233</c:v>
                </c:pt>
                <c:pt idx="17">
                  <c:v>50.92</c:v>
                </c:pt>
                <c:pt idx="18">
                  <c:v>1286.1490000000001</c:v>
                </c:pt>
                <c:pt idx="19">
                  <c:v>430.89400000000001</c:v>
                </c:pt>
                <c:pt idx="20">
                  <c:v>14.071999999999999</c:v>
                </c:pt>
                <c:pt idx="21">
                  <c:v>1072.2703999999999</c:v>
                </c:pt>
                <c:pt idx="22">
                  <c:v>821.48800000000006</c:v>
                </c:pt>
                <c:pt idx="23">
                  <c:v>33.700000000000003</c:v>
                </c:pt>
                <c:pt idx="24">
                  <c:v>6.88E-2</c:v>
                </c:pt>
                <c:pt idx="25">
                  <c:v>87.13000000000001</c:v>
                </c:pt>
                <c:pt idx="26">
                  <c:v>249.71019999999999</c:v>
                </c:pt>
                <c:pt idx="27">
                  <c:v>240.352</c:v>
                </c:pt>
                <c:pt idx="28">
                  <c:v>2.8690000000000002</c:v>
                </c:pt>
                <c:pt idx="29">
                  <c:v>34.343000000000004</c:v>
                </c:pt>
                <c:pt idx="30">
                  <c:v>71.335999999999999</c:v>
                </c:pt>
                <c:pt idx="31">
                  <c:v>7.3140000000000001</c:v>
                </c:pt>
                <c:pt idx="32">
                  <c:v>43.322000000000003</c:v>
                </c:pt>
                <c:pt idx="33">
                  <c:v>1.06</c:v>
                </c:pt>
                <c:pt idx="34">
                  <c:v>536.13000000000011</c:v>
                </c:pt>
                <c:pt idx="35">
                  <c:v>29.2</c:v>
                </c:pt>
                <c:pt idx="36">
                  <c:v>284.15100000000001</c:v>
                </c:pt>
                <c:pt idx="37">
                  <c:v>134.9</c:v>
                </c:pt>
                <c:pt idx="38">
                  <c:v>133.19800000000001</c:v>
                </c:pt>
                <c:pt idx="39">
                  <c:v>517.14</c:v>
                </c:pt>
                <c:pt idx="40">
                  <c:v>201.68899999999999</c:v>
                </c:pt>
                <c:pt idx="41">
                  <c:v>943.85599999999999</c:v>
                </c:pt>
                <c:pt idx="42">
                  <c:v>337.70400000000006</c:v>
                </c:pt>
                <c:pt idx="43">
                  <c:v>564.721</c:v>
                </c:pt>
                <c:pt idx="44">
                  <c:v>238.917</c:v>
                </c:pt>
                <c:pt idx="45">
                  <c:v>739.7700000000001</c:v>
                </c:pt>
                <c:pt idx="46">
                  <c:v>266.46799999999996</c:v>
                </c:pt>
                <c:pt idx="47">
                  <c:v>25.703000000000003</c:v>
                </c:pt>
                <c:pt idx="48">
                  <c:v>133.51140000000001</c:v>
                </c:pt>
                <c:pt idx="49">
                  <c:v>11.1</c:v>
                </c:pt>
                <c:pt idx="50">
                  <c:v>110.74799999999999</c:v>
                </c:pt>
                <c:pt idx="51">
                  <c:v>63.844000000000008</c:v>
                </c:pt>
                <c:pt idx="52">
                  <c:v>929.99500000000012</c:v>
                </c:pt>
                <c:pt idx="53">
                  <c:v>51.436</c:v>
                </c:pt>
                <c:pt idx="54">
                  <c:v>86.56</c:v>
                </c:pt>
                <c:pt idx="55">
                  <c:v>44.764000000000003</c:v>
                </c:pt>
                <c:pt idx="56">
                  <c:v>5.258</c:v>
                </c:pt>
                <c:pt idx="57">
                  <c:v>1.464</c:v>
                </c:pt>
                <c:pt idx="58">
                  <c:v>47.712000000000003</c:v>
                </c:pt>
                <c:pt idx="59">
                  <c:v>2.25</c:v>
                </c:pt>
                <c:pt idx="60">
                  <c:v>190.76000000000002</c:v>
                </c:pt>
                <c:pt idx="61">
                  <c:v>672</c:v>
                </c:pt>
                <c:pt idx="62">
                  <c:v>47.152999999999999</c:v>
                </c:pt>
                <c:pt idx="63">
                  <c:v>52</c:v>
                </c:pt>
                <c:pt idx="64">
                  <c:v>344.48399999999998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43072"/>
        <c:axId val="241543632"/>
      </c:barChart>
      <c:catAx>
        <c:axId val="2415430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543632"/>
        <c:crosses val="autoZero"/>
        <c:auto val="1"/>
        <c:lblAlgn val="ctr"/>
        <c:lblOffset val="100"/>
        <c:noMultiLvlLbl val="0"/>
      </c:catAx>
      <c:valAx>
        <c:axId val="2415436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24154307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2.4.2.Özel Sektör Tarafından İnşa Edilen Hidroelektrik Santraller,  Ortalama Enerji Üretimi (GWh/Yıl), 1924-2015</a:t>
            </a:r>
            <a:endParaRPr lang="tr-TR">
              <a:effectLst/>
            </a:endParaRPr>
          </a:p>
        </c:rich>
      </c:tx>
      <c:layout>
        <c:manualLayout>
          <c:xMode val="edge"/>
          <c:yMode val="edge"/>
          <c:x val="0.20641102968743008"/>
          <c:y val="5.429967950362397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14582369815406E-2"/>
          <c:y val="0.15034874169470369"/>
          <c:w val="0.96254425242657804"/>
          <c:h val="0.636875441613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Sayfa1!$M$2:$M$66</c:f>
              <c:strCache>
                <c:ptCount val="65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Yozgat</c:v>
                </c:pt>
                <c:pt idx="29">
                  <c:v>Zonguldak</c:v>
                </c:pt>
                <c:pt idx="30">
                  <c:v>Karabük</c:v>
                </c:pt>
                <c:pt idx="31">
                  <c:v>Bartın</c:v>
                </c:pt>
                <c:pt idx="32">
                  <c:v>Kastamonu</c:v>
                </c:pt>
                <c:pt idx="33">
                  <c:v>Çankırı</c:v>
                </c:pt>
                <c:pt idx="34">
                  <c:v>Sinop</c:v>
                </c:pt>
                <c:pt idx="35">
                  <c:v>Samsun</c:v>
                </c:pt>
                <c:pt idx="36">
                  <c:v>Tokat</c:v>
                </c:pt>
                <c:pt idx="37">
                  <c:v>Çorum</c:v>
                </c:pt>
                <c:pt idx="38">
                  <c:v>Amasya</c:v>
                </c:pt>
                <c:pt idx="39">
                  <c:v>Trabzon</c:v>
                </c:pt>
                <c:pt idx="40">
                  <c:v>Ordu</c:v>
                </c:pt>
                <c:pt idx="41">
                  <c:v>Giresun</c:v>
                </c:pt>
                <c:pt idx="42">
                  <c:v>Rize</c:v>
                </c:pt>
                <c:pt idx="43">
                  <c:v>Artvin</c:v>
                </c:pt>
                <c:pt idx="44">
                  <c:v>Gümüşhane</c:v>
                </c:pt>
                <c:pt idx="45">
                  <c:v>Erzurum</c:v>
                </c:pt>
                <c:pt idx="46">
                  <c:v>Erzincan</c:v>
                </c:pt>
                <c:pt idx="47">
                  <c:v>Bayburt</c:v>
                </c:pt>
                <c:pt idx="48">
                  <c:v>Kars</c:v>
                </c:pt>
                <c:pt idx="49">
                  <c:v>Iğdır</c:v>
                </c:pt>
                <c:pt idx="50">
                  <c:v>Ardahan</c:v>
                </c:pt>
                <c:pt idx="51">
                  <c:v>Malatya</c:v>
                </c:pt>
                <c:pt idx="52">
                  <c:v>Elazığ</c:v>
                </c:pt>
                <c:pt idx="53">
                  <c:v>Bingöl</c:v>
                </c:pt>
                <c:pt idx="54">
                  <c:v>Tunceli</c:v>
                </c:pt>
                <c:pt idx="55">
                  <c:v>Van</c:v>
                </c:pt>
                <c:pt idx="56">
                  <c:v>Muş</c:v>
                </c:pt>
                <c:pt idx="57">
                  <c:v>Bitlis</c:v>
                </c:pt>
                <c:pt idx="58">
                  <c:v>Hakkari</c:v>
                </c:pt>
                <c:pt idx="59">
                  <c:v>Gaziantep</c:v>
                </c:pt>
                <c:pt idx="60">
                  <c:v>Adıyaman</c:v>
                </c:pt>
                <c:pt idx="61">
                  <c:v>Şanlıurfa</c:v>
                </c:pt>
                <c:pt idx="62">
                  <c:v>Diyarbakır</c:v>
                </c:pt>
                <c:pt idx="63">
                  <c:v>Batman</c:v>
                </c:pt>
                <c:pt idx="64">
                  <c:v>Siirt</c:v>
                </c:pt>
              </c:strCache>
            </c:strRef>
          </c:cat>
          <c:val>
            <c:numRef>
              <c:f>Sayfa1!$N$2:$N$66</c:f>
              <c:numCache>
                <c:formatCode>General</c:formatCode>
                <c:ptCount val="65"/>
                <c:pt idx="0">
                  <c:v>67.66</c:v>
                </c:pt>
                <c:pt idx="1">
                  <c:v>163.34999999999997</c:v>
                </c:pt>
                <c:pt idx="2">
                  <c:v>327.84399999999999</c:v>
                </c:pt>
                <c:pt idx="3">
                  <c:v>797.7</c:v>
                </c:pt>
                <c:pt idx="4">
                  <c:v>22.3</c:v>
                </c:pt>
                <c:pt idx="5">
                  <c:v>67.91</c:v>
                </c:pt>
                <c:pt idx="6">
                  <c:v>668.54000000000008</c:v>
                </c:pt>
                <c:pt idx="7">
                  <c:v>400</c:v>
                </c:pt>
                <c:pt idx="8">
                  <c:v>122.11</c:v>
                </c:pt>
                <c:pt idx="9">
                  <c:v>1.44</c:v>
                </c:pt>
                <c:pt idx="10">
                  <c:v>277.39</c:v>
                </c:pt>
                <c:pt idx="11">
                  <c:v>290.97000000000003</c:v>
                </c:pt>
                <c:pt idx="12">
                  <c:v>367.17</c:v>
                </c:pt>
                <c:pt idx="13">
                  <c:v>171</c:v>
                </c:pt>
                <c:pt idx="14">
                  <c:v>86.4</c:v>
                </c:pt>
                <c:pt idx="15">
                  <c:v>777.90000000000009</c:v>
                </c:pt>
                <c:pt idx="16">
                  <c:v>1199.5</c:v>
                </c:pt>
                <c:pt idx="17">
                  <c:v>171.09</c:v>
                </c:pt>
                <c:pt idx="18">
                  <c:v>4462.2890000000007</c:v>
                </c:pt>
                <c:pt idx="19">
                  <c:v>1714.06</c:v>
                </c:pt>
                <c:pt idx="20">
                  <c:v>50.67</c:v>
                </c:pt>
                <c:pt idx="21">
                  <c:v>2894.62</c:v>
                </c:pt>
                <c:pt idx="22">
                  <c:v>2814.59</c:v>
                </c:pt>
                <c:pt idx="23">
                  <c:v>146</c:v>
                </c:pt>
                <c:pt idx="24">
                  <c:v>0.6</c:v>
                </c:pt>
                <c:pt idx="25">
                  <c:v>376.64</c:v>
                </c:pt>
                <c:pt idx="26">
                  <c:v>1104.73</c:v>
                </c:pt>
                <c:pt idx="27">
                  <c:v>1035.9659999999999</c:v>
                </c:pt>
                <c:pt idx="28">
                  <c:v>13.2</c:v>
                </c:pt>
                <c:pt idx="29">
                  <c:v>147</c:v>
                </c:pt>
                <c:pt idx="30">
                  <c:v>250.43</c:v>
                </c:pt>
                <c:pt idx="31">
                  <c:v>24</c:v>
                </c:pt>
                <c:pt idx="32">
                  <c:v>159.79999999999998</c:v>
                </c:pt>
                <c:pt idx="33">
                  <c:v>5</c:v>
                </c:pt>
                <c:pt idx="34">
                  <c:v>1560.03</c:v>
                </c:pt>
                <c:pt idx="35">
                  <c:v>161.96800000000002</c:v>
                </c:pt>
                <c:pt idx="36">
                  <c:v>1234.6600000000001</c:v>
                </c:pt>
                <c:pt idx="37">
                  <c:v>668</c:v>
                </c:pt>
                <c:pt idx="38">
                  <c:v>483.56699999999995</c:v>
                </c:pt>
                <c:pt idx="39">
                  <c:v>1850.0080000000003</c:v>
                </c:pt>
                <c:pt idx="40">
                  <c:v>677.55499999999995</c:v>
                </c:pt>
                <c:pt idx="41">
                  <c:v>3260.7730000000006</c:v>
                </c:pt>
                <c:pt idx="42">
                  <c:v>1330.8300000000004</c:v>
                </c:pt>
                <c:pt idx="43">
                  <c:v>1720.248</c:v>
                </c:pt>
                <c:pt idx="44">
                  <c:v>711.57</c:v>
                </c:pt>
                <c:pt idx="45">
                  <c:v>2473.3200000000002</c:v>
                </c:pt>
                <c:pt idx="46">
                  <c:v>966.94999999999993</c:v>
                </c:pt>
                <c:pt idx="47">
                  <c:v>94.55</c:v>
                </c:pt>
                <c:pt idx="48">
                  <c:v>474.221</c:v>
                </c:pt>
                <c:pt idx="49">
                  <c:v>50</c:v>
                </c:pt>
                <c:pt idx="50">
                  <c:v>388.06</c:v>
                </c:pt>
                <c:pt idx="51">
                  <c:v>288.53499999999997</c:v>
                </c:pt>
                <c:pt idx="52">
                  <c:v>2316.2719999999999</c:v>
                </c:pt>
                <c:pt idx="53">
                  <c:v>150.97999999999999</c:v>
                </c:pt>
                <c:pt idx="54">
                  <c:v>338.75</c:v>
                </c:pt>
                <c:pt idx="55">
                  <c:v>180.2</c:v>
                </c:pt>
                <c:pt idx="56">
                  <c:v>14.93</c:v>
                </c:pt>
                <c:pt idx="57">
                  <c:v>2.0649999999999999</c:v>
                </c:pt>
                <c:pt idx="58">
                  <c:v>160.41800000000001</c:v>
                </c:pt>
                <c:pt idx="59">
                  <c:v>11.52</c:v>
                </c:pt>
                <c:pt idx="60">
                  <c:v>762.72</c:v>
                </c:pt>
                <c:pt idx="61">
                  <c:v>2516</c:v>
                </c:pt>
                <c:pt idx="62">
                  <c:v>150.095</c:v>
                </c:pt>
                <c:pt idx="63">
                  <c:v>225.34</c:v>
                </c:pt>
                <c:pt idx="64">
                  <c:v>1097.3000000000002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545872"/>
        <c:axId val="241235280"/>
      </c:barChart>
      <c:catAx>
        <c:axId val="2415458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41235280"/>
        <c:crosses val="autoZero"/>
        <c:auto val="1"/>
        <c:lblAlgn val="ctr"/>
        <c:lblOffset val="100"/>
        <c:noMultiLvlLbl val="0"/>
      </c:catAx>
      <c:valAx>
        <c:axId val="24123528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4154587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1741270</xdr:colOff>
      <xdr:row>1</xdr:row>
      <xdr:rowOff>81242</xdr:rowOff>
    </xdr:from>
    <xdr:to>
      <xdr:col>8</xdr:col>
      <xdr:colOff>2122270</xdr:colOff>
      <xdr:row>1</xdr:row>
      <xdr:rowOff>328892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7505" y="226918"/>
          <a:ext cx="3810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139373</xdr:colOff>
      <xdr:row>582</xdr:row>
      <xdr:rowOff>105758</xdr:rowOff>
    </xdr:from>
    <xdr:to>
      <xdr:col>18</xdr:col>
      <xdr:colOff>75641</xdr:colOff>
      <xdr:row>613</xdr:row>
      <xdr:rowOff>109259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137973</xdr:colOff>
      <xdr:row>613</xdr:row>
      <xdr:rowOff>144976</xdr:rowOff>
    </xdr:from>
    <xdr:to>
      <xdr:col>18</xdr:col>
      <xdr:colOff>93149</xdr:colOff>
      <xdr:row>647</xdr:row>
      <xdr:rowOff>32918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137273</xdr:colOff>
      <xdr:row>647</xdr:row>
      <xdr:rowOff>98516</xdr:rowOff>
    </xdr:from>
    <xdr:to>
      <xdr:col>18</xdr:col>
      <xdr:colOff>119063</xdr:colOff>
      <xdr:row>683</xdr:row>
      <xdr:rowOff>133069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154782</xdr:colOff>
      <xdr:row>684</xdr:row>
      <xdr:rowOff>166687</xdr:rowOff>
    </xdr:from>
    <xdr:to>
      <xdr:col>24</xdr:col>
      <xdr:colOff>595313</xdr:colOff>
      <xdr:row>745</xdr:row>
      <xdr:rowOff>166687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0.00304</cdr:x>
      <cdr:y>0.00884</cdr:y>
    </cdr:from>
    <cdr:to>
      <cdr:x>0.04004</cdr:x>
      <cdr:y>0.07699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799" y="50800"/>
          <a:ext cx="618567" cy="3918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0.00302</cdr:x>
      <cdr:y>0.01072</cdr:y>
    </cdr:from>
    <cdr:to>
      <cdr:x>0.034</cdr:x>
      <cdr:y>0.09317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799"/>
          <a:ext cx="520700" cy="390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0.00446</cdr:x>
      <cdr:y>0.0117</cdr:y>
    </cdr:from>
    <cdr:to>
      <cdr:x>0.04189</cdr:x>
      <cdr:y>0.08253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426373" cy="3076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0.00446</cdr:x>
      <cdr:y>0.0117</cdr:y>
    </cdr:from>
    <cdr:to>
      <cdr:x>0.04189</cdr:x>
      <cdr:y>0.08253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426373" cy="3076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497417</xdr:colOff>
      <xdr:row>1</xdr:row>
      <xdr:rowOff>84667</xdr:rowOff>
    </xdr:from>
    <xdr:to>
      <xdr:col>8</xdr:col>
      <xdr:colOff>878417</xdr:colOff>
      <xdr:row>1</xdr:row>
      <xdr:rowOff>370417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328084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25399</xdr:colOff>
      <xdr:row>520</xdr:row>
      <xdr:rowOff>95249</xdr:rowOff>
    </xdr:from>
    <xdr:to>
      <xdr:col>20</xdr:col>
      <xdr:colOff>215899</xdr:colOff>
      <xdr:row>547</xdr:row>
      <xdr:rowOff>47624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23112</xdr:colOff>
      <xdr:row>547</xdr:row>
      <xdr:rowOff>117361</xdr:rowOff>
    </xdr:from>
    <xdr:to>
      <xdr:col>20</xdr:col>
      <xdr:colOff>216013</xdr:colOff>
      <xdr:row>572</xdr:row>
      <xdr:rowOff>83344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0.00304</cdr:x>
      <cdr:y>0.00884</cdr:y>
    </cdr:from>
    <cdr:to>
      <cdr:x>0.04004</cdr:x>
      <cdr:y>0.07699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799" y="50800"/>
          <a:ext cx="618567" cy="3918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0.00302</cdr:x>
      <cdr:y>0.01072</cdr:y>
    </cdr:from>
    <cdr:to>
      <cdr:x>0.034</cdr:x>
      <cdr:y>0.09317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799"/>
          <a:ext cx="520700" cy="390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ylan Sarıaltın" refreshedDate="42717.601497337964" createdVersion="4" refreshedVersion="5" minRefreshableVersion="3" recordCount="513">
  <cacheSource type="worksheet">
    <worksheetSource ref="B3:I516" sheet="Veri"/>
  </cacheSource>
  <cacheFields count="8">
    <cacheField name="IBBS(1) - 3. Düzey" numFmtId="0">
      <sharedItems count="67">
        <s v="TR221"/>
        <s v="TR321"/>
        <s v="TR322"/>
        <s v="TR323"/>
        <s v="TR332"/>
        <s v="TR333"/>
        <s v="TR411"/>
        <s v="TR412"/>
        <s v="TR413"/>
        <s v="TR421"/>
        <s v="TR422"/>
        <s v="TR423"/>
        <s v="TR424"/>
        <s v="TR510"/>
        <s v="TR521"/>
        <s v="TR522"/>
        <s v="TR611"/>
        <s v="TR612"/>
        <s v="TR621"/>
        <s v="TR622"/>
        <s v="TR631"/>
        <s v="TR632"/>
        <s v="TR633"/>
        <s v="TR711"/>
        <s v="TR713"/>
        <s v="TR714"/>
        <s v="TR721"/>
        <s v="TR722"/>
        <s v="TR723"/>
        <s v="TR811"/>
        <s v="TR812"/>
        <s v="TR813"/>
        <s v="TR821"/>
        <s v="TR822"/>
        <s v="TR823"/>
        <s v="TR831"/>
        <s v="TR832"/>
        <s v="TR833"/>
        <s v="TR834"/>
        <s v="TR901"/>
        <s v="TR902"/>
        <s v="TR903"/>
        <s v="TR904"/>
        <s v="TR905"/>
        <s v="TR906"/>
        <s v="TRA11"/>
        <s v="TRA12"/>
        <s v="TRA13"/>
        <s v="TRA22"/>
        <s v="TRA23"/>
        <s v="TRA24"/>
        <s v="TRB11"/>
        <s v="TRB12"/>
        <s v="TRB13"/>
        <s v="TRB14"/>
        <s v="TRB21"/>
        <s v="TRB22"/>
        <s v="TRB23"/>
        <s v="TRB24"/>
        <s v="TRC11"/>
        <s v="TRC12"/>
        <s v="TRC21"/>
        <s v="TRC22"/>
        <s v="TRC32"/>
        <s v="TRC34"/>
        <s v="TRC33" u="1"/>
        <s v="TRC31" u="1"/>
      </sharedItems>
    </cacheField>
    <cacheField name="Proje Adı" numFmtId="0">
      <sharedItems count="530">
        <s v="Gönen Barajı ve HES"/>
        <s v="Çaygören Barajı ve HES "/>
        <s v="Akçay HES"/>
        <s v="Başaran HES "/>
        <s v="Feslek HES (Serbest Ürt)"/>
        <s v="Sırma HES"/>
        <s v="Çal HES"/>
        <s v="Akbaş HES"/>
        <s v="Akkent-Çalkuyucak HES"/>
        <s v="Bereket I HES (Serbest Ürt)"/>
        <s v="Bereket II HES (Serbest Ürt)"/>
        <s v="Cindere Barajı ve HES"/>
        <s v="Darıveren HES"/>
        <s v="Demirciler HES"/>
        <s v="Dodurgalar HES"/>
        <s v="Ege I HES"/>
        <s v="Adıgüzel Barajı ve HES"/>
        <s v="Fethiye HES"/>
        <s v="Aşağıdalaman I HES (OTOP)"/>
        <s v="Aşağıdalaman II HES (OTOP)"/>
        <s v="Aşağıdalaman III HES (OTOP)"/>
        <s v="Aşağıdalaman IV HES (OTOP)"/>
        <s v="Aşağıdalaman V HES (OTOP)"/>
        <s v="Bağcı-Beyobası HES (OTOP)"/>
        <s v="Çaldere HES "/>
        <s v="Eşen I Barajı HES"/>
        <s v="Eşen  II  HES (Serbest Ürt)"/>
        <s v="Gökyar HES "/>
        <s v="Kavakçalı HES"/>
        <s v="Sekiyaka II HES "/>
        <s v="Dinar II HES"/>
        <s v="Kayaköy HES"/>
        <s v="Eğer HES"/>
        <s v="Heymeana I-II HES"/>
        <s v="Suuçtu-Mustafa Kemal Paşa HES"/>
        <s v="İnegöl-Cerrah HES"/>
        <s v="İznik-Dereköy HES"/>
        <s v="Devecikonağı Barajı ve HES"/>
        <s v="Egemen I HES"/>
        <s v="Gözede I HES "/>
        <s v="Gözede II HES"/>
        <s v="Oylat I HES"/>
        <s v="Suluköy HES"/>
        <s v="Uluabat Kuvvet Tüneli ve HES"/>
        <s v="Akdere Reg. ve HES"/>
        <s v="Boğazköy Barajı Ve HES"/>
        <s v="Tüfekçikonağı HES"/>
        <s v="Sarıyer H.Polat Baraj ve HES"/>
        <s v="Bozüyük HES"/>
        <s v="Bükor II HES"/>
        <s v="Darca HES"/>
        <s v="Kirazdere HES (Kızkalesi HES)"/>
        <s v="Pazarköy-Akyazı HES"/>
        <s v="Haraklı-Hendek HES"/>
        <s v="Adasu HES"/>
        <s v="Pamukova HES (Serbest Ürt)"/>
        <s v="Doğançay HES"/>
        <s v="Hasanlar Barajı ve HES"/>
        <s v="Çınar I HES"/>
        <s v="Defne HES"/>
        <s v="Hasanlar Kanal HES"/>
        <s v="Köknar HES"/>
        <s v="Düzce - Aksu HES"/>
        <s v="Cevizlidere HES"/>
        <s v="Çeltikdere HES"/>
        <s v="Karaköy HES"/>
        <s v="Kayabükü HES"/>
        <s v="Köprübaşı  Barajı ve HES"/>
        <s v="Paşa Reg. ve HES"/>
        <s v="Göksu HES"/>
        <s v="Çeşmebaşı HES"/>
        <s v="Kalecik I-II-III HES"/>
        <s v="İvriz  HES"/>
        <s v="Dere HES"/>
        <s v="Bozkır HES"/>
        <s v="Güneyyaka HES"/>
        <s v="Ermenek  HES"/>
        <s v="Balkusan Barajı ve HES"/>
        <s v="Damlapınar HES"/>
        <s v="Daran  HES"/>
        <s v="Günder Barajı ve HES"/>
        <s v="Kepezkaya HES"/>
        <s v="Bucakkışla HES"/>
        <s v="Erik HES"/>
        <s v="Turunçova-Finike HES"/>
        <s v="Aksu Reg. ve Şahmallar HES "/>
        <s v="Alakır HES"/>
        <s v="Anak HES"/>
        <s v="Bucakköy HES"/>
        <s v="Çenger Reg. ve HES"/>
        <s v="Dim Barajı ve HES"/>
        <s v="Eskiköy HES"/>
        <s v="Kozdere HES"/>
        <s v="Kürce HES"/>
        <s v="Sugözü Reg. ve Kızıldüz HES "/>
        <s v="Tınaztepe HES"/>
        <s v="Tocak I HES"/>
        <s v="Yaprak HES"/>
        <s v="Değirmen HES"/>
        <s v="Yalnızardıç HES"/>
        <s v="Karacaören Barajı ve HES"/>
        <s v="Çandır I Reg ve HES"/>
        <s v="Kepez I HES"/>
        <s v="Kepez II HES"/>
        <s v="Manavgat Barajı ve HES"/>
        <s v="Kovada I HES"/>
        <s v="Çayköy (Aksu) HES"/>
        <s v="Sütçüler HES"/>
        <s v="Çukurçayı HES"/>
        <s v="Yaylabel HES"/>
        <s v="Gökbel I-II HES"/>
        <s v="Çoraklı HES"/>
        <s v="Eğlence I HES"/>
        <s v="Eğlence II HES"/>
        <s v="Feke I HES"/>
        <s v="Feke II Barajı ve HES "/>
        <s v="Kavşak Bendi HES"/>
        <s v="Kıy HES"/>
        <s v="Kozan HES (Kozan Barajı Dipsavak Çıkışı)"/>
        <s v="Köprü Barajı ve HES"/>
        <s v="Kuşaklı Barajı ve HES"/>
        <s v="Menge Barajı ve HES"/>
        <s v="Mentaş Reg. ve HES "/>
        <s v="Toros HES"/>
        <s v="Yamanlı III (Himmetli)"/>
        <s v="Yamanlı III (Gökkaya Barajı)"/>
        <s v="Yedigöze Barajı  ve  HES"/>
        <s v="Karakuz Barajı ve HES"/>
        <s v="Yamanlı II HES"/>
        <s v="Seyhan II HES"/>
        <s v="Berdan Barajı ve HES"/>
        <s v="Azmak I-II ve Kirpilik HES"/>
        <s v="Birkapılı HES (Serbest Ürt)"/>
        <s v="Dinç Reg. ve HES"/>
        <s v="Gök HES"/>
        <s v="Lamas III-IV HES"/>
        <s v="Otluca HES"/>
        <s v="Çakıt HES"/>
        <s v="Pamuk Reg. ve HES (Serbest Ürt)"/>
        <s v="Remsu HES"/>
        <s v="Sarıkavak HES"/>
        <s v="Dağbaşı HES"/>
        <s v="Yazılı I-II-III HES"/>
        <s v="Bozyazı HES"/>
        <s v="Kadıncık I HES"/>
        <s v="Kadıncık II HES"/>
        <s v="Mut-Derinçay HES"/>
        <s v="Zeyne  HES"/>
        <s v="Alaköprü Barajı ve HES"/>
        <s v="Sebil HES"/>
        <s v="Kuzuculu HES"/>
        <s v="Yeşilvadi HES"/>
        <s v="Kısık HES "/>
        <s v="Suçatı Barajı ve HES"/>
        <s v="Andırın  HES"/>
        <s v="Avcılar Reg. ve  HES"/>
        <s v="Çataloluk HES"/>
        <s v="Değirmenüstü HES"/>
        <s v="Fırnıs HES "/>
        <s v="Gökgedik HES"/>
        <s v="Güneşli HES"/>
        <s v="Hacınınoğlu Kandil  HES"/>
        <s v="Kale HES "/>
        <s v="Kandil Barajı ve HES"/>
        <s v="Kandil Dağdelen HES"/>
        <s v="Karasu HES "/>
        <s v="Kargılık HES (Serbest Ürt)"/>
        <s v="Kartalkaya HES"/>
        <s v="Kesme Reg ve HES"/>
        <s v="Kozak Bendi ve HES"/>
        <s v="Köyobası HES"/>
        <s v="Poyraz HES"/>
        <s v="Kandil Sarıgüzel Barajı ve HES "/>
        <s v="Süleymanlı HES (OTOP)"/>
        <s v="Tahta Reg. ve HES "/>
        <s v="Tayfun HES "/>
        <s v="Teleme Reg.ve HES"/>
        <s v="Torlar HES"/>
        <s v="Üçkaya HES"/>
        <s v="Yaşıl HES"/>
        <s v="Zeytin Reg. ve HES"/>
        <s v="Çakmak HES"/>
        <s v="Söğütlü HES"/>
        <s v="Sır Barajı ve HES"/>
        <s v="Değirmendere HES"/>
        <s v="Karaçay HES"/>
        <s v="Ceyhan Barajı ve HES"/>
        <s v="Erem HES"/>
        <s v="Horu HES"/>
        <s v="Kalealtı HES "/>
        <s v="Sabunsuyu II HES"/>
        <s v="Sarıtepe HES"/>
        <s v="Sayan HES"/>
        <s v="Yamaç HES   (Mehmetli Barajı )"/>
        <s v="Gökboyun Reg ve HES"/>
        <s v="Köroğlu HES "/>
        <s v="Üçgen HES"/>
        <s v="Akçakoyun HES"/>
        <s v="Göktaş I-II  Barajı veHES"/>
        <s v="Berke Barajı ve HES"/>
        <s v="Hamzalı HES"/>
        <s v="Sema HES"/>
        <s v="Çamardı HES"/>
        <s v="Avanos Reg. ve Cemel HES"/>
        <s v="Bayramhacılı Barajı ve HES"/>
        <s v="Hasankale HES"/>
        <s v="Sarıhıdır I HES"/>
        <s v="Tuzköy Reg. ve HES"/>
        <s v="Pınarbaşı HES"/>
        <s v="Bünyan HES"/>
        <s v="Çamlıca I Barajı ve HES"/>
        <s v="Yamula Barajı ve HES"/>
        <s v="Çamlıca III Barajı ve  HES"/>
        <s v="Molu HES  "/>
        <s v="Yahyabey HES"/>
        <s v="Zamantı Bahçelik Barajı ve HES"/>
        <s v="Çamlıca II HES"/>
        <s v="STS I HES"/>
        <s v="Sızır HES"/>
        <s v="Ahiköy I HES"/>
        <s v="Ahiköy II HES"/>
        <s v="Altıntepe-Suşehri HES "/>
        <s v="Beypınarı-Suşehri HES "/>
        <s v="Gölova HES-Suşehri HES "/>
        <s v="Konak-Suşehri HES"/>
        <s v="Sevindik HES-Suşehri HES "/>
        <s v="Çermikler Barajı ve HES"/>
        <s v="Çobanlı HES"/>
        <s v="Koyulhisar"/>
        <s v="Mursal I-II HES "/>
        <s v="Polat HES "/>
        <s v="Saraçbendi HES"/>
        <s v="Tuztaşı HES"/>
        <s v="Yeşil HES"/>
        <s v="Ekincik HES"/>
        <s v="Ekinözü I-II HES"/>
        <s v="Yakınca Reg. Ve HES"/>
        <s v="Alçe HES"/>
        <s v="Sütlüce HES"/>
        <s v="Koyulhisar HES"/>
        <s v="Gökmen HES"/>
        <s v="Tefen HES"/>
        <s v="Eğerci HES"/>
        <s v="Yalnızca Reg. ve HES"/>
        <s v="Eren HES"/>
        <s v="Pirinçlik HES"/>
        <s v="Kayadibi  HES"/>
        <s v="Başak HES"/>
        <s v="Akkaya HES"/>
        <s v="Berke HES"/>
        <s v="Yavuz  HES"/>
        <s v="Zala HES"/>
        <s v="Demirci  HES"/>
        <s v="Yunuslar HES"/>
        <s v="Kızılçam HES"/>
        <s v="Yazı HES"/>
        <s v="Ayancık HES"/>
        <s v="Boyabat Barajı ve HES"/>
        <s v="Erfelek HES"/>
        <s v="Güzelçay I HES"/>
        <s v="Ladik-Büyükkızoğlu  HES"/>
        <s v="Çarşamba Reg. ve HES"/>
        <s v="Kumköy HES"/>
        <s v="Niksar HES"/>
        <s v="Reşadiye I-II-III HES"/>
        <s v="Tuna  Barajı ve HES"/>
        <s v="Yeşilırmak I Reg. ve HES"/>
        <s v="Umut HES "/>
        <s v="Çilehane HES"/>
        <s v="Onur HES"/>
        <s v="Suçatı HES"/>
        <s v="Tepekışla  Barajı ve (Erbaa) HES"/>
        <s v="İncesu HES"/>
        <s v="Pirinçli HES"/>
        <s v="Kargı Barajı ve HES"/>
        <s v="Bektemur HES"/>
        <s v="Duru I Reg ve HES"/>
        <s v="Duru II Reg. ve HES"/>
        <s v="Kale HES"/>
        <s v="Midilli Reg. ve HES"/>
        <s v="Osmancık HES"/>
        <s v="Taşova-Yenidereköy HES"/>
        <s v="Yaprak I Barajı ve HES"/>
        <s v="Yaprak II HES"/>
        <s v="Yavuz HES"/>
        <s v="Visera (Işıklar) HES"/>
        <s v="Açma HES"/>
        <s v="Akocak HES"/>
        <s v="Araklı IV. Reg. ve HES"/>
        <s v="Arca Reg. ve HES"/>
        <s v="Balkodu I Reg. ve HES"/>
        <s v="Bangal Reg. ve Kuşluk HES"/>
        <s v="Cevher I-II HES"/>
        <s v="Cüniş Reg. ve HES"/>
        <s v="Çağlayan Reg. ve HES"/>
        <s v="Çambaşı Reg. ve HES"/>
        <s v="Çamlıkaya HES"/>
        <s v="Çanakçı HES"/>
        <s v="Günayşe Reg. ve HES"/>
        <s v="Güneşli II HES"/>
        <s v="Horyan HES"/>
        <s v="Kemerçayır HES"/>
        <s v="Mavi HES"/>
        <s v="Ortaçağ HES"/>
        <s v="Sarmaşık I HES "/>
        <s v="Sarmaşık II HES "/>
        <s v="Sukenarı HES"/>
        <s v="Tonya I-II HES"/>
        <s v="Üçhanlar HES"/>
        <s v="Üçharmanlar HES"/>
        <s v="Vizara Reg. HES"/>
        <s v="Yağmur Reg. ve HES (Akfen)"/>
        <s v="Yıldızlı Reg. ve HES"/>
        <s v="Yukarı Manahoz Reg. ve HES "/>
        <s v="Araklı -III Reg. ve HES"/>
        <s v="Arısu HES"/>
        <s v="Üçgen II HES"/>
        <s v="Ataköy  HES"/>
        <s v="Çaykara HES"/>
        <s v="Kadahor HES"/>
        <s v="Karakaya Reg ve  HES"/>
        <s v="Köprübaşı Reg ve HES"/>
        <s v="Köprüyanı Reg ve HES"/>
        <s v="Manahoz HES"/>
        <s v="Yanbolu Reg ve  HES"/>
        <s v="Ağkolu HES"/>
        <s v="Boztepe Reg. ve HES"/>
        <s v="Darıca HES I"/>
        <s v="Irmak HES"/>
        <s v="Ordu HES"/>
        <s v="General HES"/>
        <s v="Murat HES "/>
        <s v="Piro HES "/>
        <s v="Akköy-Espiye HES"/>
        <s v="Araklı I Reg. ve HES"/>
        <s v="Aslancık Barajı HES"/>
        <s v="Burçak  HES"/>
        <s v="Çırakdamı Reg. ve HES"/>
        <s v="Çiğdem Reg. ve HES"/>
        <s v="Doruk HES (Akfen)"/>
        <s v="Gecür HES"/>
        <s v="Kahraman Reg. ve HES"/>
        <s v="Kalen I HES"/>
        <s v="Kalen II HES"/>
        <s v="Aksu HES"/>
        <s v="Kayaköprü II HES"/>
        <s v="Kıran HES"/>
        <s v="Koçak HES"/>
        <s v="Muratlı Reg. ve HES"/>
        <s v="Ören HES"/>
        <s v="Soğukpınar HES"/>
        <s v="Sümer HES"/>
        <s v="Telli-I HES"/>
        <s v="Tuğra I-II-III HES"/>
        <s v="Yüce HES"/>
        <s v="Akköy II Aladereçam HES"/>
        <s v="Dereli HES"/>
        <s v="Koçlu HES"/>
        <s v="Tokmadin HES"/>
        <s v="Zekere HES"/>
        <s v="Akköy II Barajı ve HES"/>
        <s v="Angutlu HES"/>
        <s v="Arpacık HES"/>
        <s v="Çay HES"/>
        <s v="Çileklitepe HES"/>
        <s v="Merek HES"/>
        <s v="Paşalı HES"/>
        <s v="Serhat HES"/>
        <s v="İkizdere HES"/>
        <s v="Adacami HES"/>
        <s v="Ayvasıl Reg. ve HES"/>
        <s v="Cevizlik Barajı ve HES"/>
        <s v="İncirli HES"/>
        <s v="Kale Reg. ve HES"/>
        <s v="Selimoğlu Reg.ve HES"/>
        <s v="Uzundere I HES"/>
        <s v="Uzundere II HES"/>
        <s v="Yokuşlu Kalkandere HES"/>
        <s v="Gürgen Reg. ve HES"/>
        <s v="Hamzabey Reg. ve HES"/>
        <s v="Saray HES"/>
        <s v="Yeşilköy Reg. Ve HES"/>
        <s v="Esendal  HES"/>
        <s v="Aralık HES"/>
        <s v="Arpa Reg. ve HES"/>
        <s v="Cansu HES "/>
        <s v="Çakırlar HES"/>
        <s v="Çifteköprü HES "/>
        <s v="Diyoban HES"/>
        <s v="Erenköy HES"/>
        <s v="Erenler HES"/>
        <s v="Kabaca Reg. ve HES"/>
        <s v="Murgul HES"/>
        <s v="Papart HES"/>
        <s v="Yayla HES"/>
        <s v="Artvin Barajı ve HES"/>
        <s v="Hızır Reg ve HES"/>
        <s v="Akköy I Barajı ve HES"/>
        <s v="Büyükdüz HES"/>
        <s v="Fındık HES"/>
        <s v="Güzeloluk HES"/>
        <s v="Köprübaşı HES"/>
        <s v="Mor-II HES "/>
        <s v="Akköy I Cansuyu HES"/>
        <s v="Aksu Reg. ve HES"/>
        <s v="Alabalık I-II Reg. ve HES"/>
        <s v="Dumlu Reg. ve HES"/>
        <s v="Esendurak HES"/>
        <s v="Gelinkaya HES"/>
        <s v="Güllübağ Barajı ve HES"/>
        <s v="Kaletepe HES"/>
        <s v="Karasu I HES"/>
        <s v="Karasu II  HES"/>
        <s v="Karasu IV-II"/>
        <s v="Karasu IV-III"/>
        <s v="Özlüce (Çoruh) HES"/>
        <s v="Sırakonaklar HES"/>
        <s v="Tuzlaköy-Serge Reg. ve HES"/>
        <s v="Yazyurdu HES"/>
        <s v="Yedigöl Reg. ve HES"/>
        <s v="Arkun  Barajı ve HES"/>
        <s v="Havva HES"/>
        <s v="Tuana HES"/>
        <s v="Ayvalı (Çoruh) Barajı ve HES"/>
        <s v="Bağbaşı HES"/>
        <s v="Büyükbahçe  HES"/>
        <s v="İncebel HES"/>
        <s v="Tortum HES"/>
        <s v="Girlevik II HES"/>
        <s v="Mercan HES"/>
        <s v="Bağıştaş II  HES"/>
        <s v="Çakırman Reg. ve HES"/>
        <s v="Çalkışla Reg. ve HES "/>
        <s v="Karasu V  HES"/>
        <s v="Kayalık Reg.ve HES"/>
        <s v="Üzümlü HES"/>
        <s v="Yukarı Mercan HES "/>
        <s v="Sölperen HES"/>
        <s v="Bağıştaş I Barajı  HES"/>
        <s v="Bayburt  HES"/>
        <s v="Bayburt HES"/>
        <s v="Yıldırım Reg. ve HES"/>
        <s v="Arpaçay-Telek HES"/>
        <s v="Can I HES"/>
        <s v="Narinkale HES"/>
        <s v="Sefaköy Barajı ve HES"/>
        <s v="Sena HES"/>
        <s v="Serap HES"/>
        <s v="Dereiçi HES"/>
        <s v="Gaziler HES"/>
        <s v="Merekler Reg. ve Algölü HES"/>
        <s v="Söğütlükaya (Posof III) HES"/>
        <s v="Hanak HES"/>
        <s v="Kayabeyi Barajı ve Akıncı HES"/>
        <s v="Erkenek HES"/>
        <s v="Derme-Kapuluk HES"/>
        <s v="Tohma-Medik HES"/>
        <s v="Güdül I-II HES"/>
        <s v="Hacılar (Gökpınar) (OTOP)"/>
        <s v="Keklicek HES"/>
        <s v="Sancar HES"/>
        <s v="Aksu Reg ve HES"/>
        <s v="Erkenek Reg. ve HES"/>
        <s v="Hazar I (İHD) HES"/>
        <s v="Hazar II (İHD) HES"/>
        <s v="Keban Deresi HES "/>
        <s v="Seyrantepe Barajı ve HES"/>
        <s v="Beyhan I Barajı ve HES"/>
        <s v="Pembelik Barajı ve HES"/>
        <s v="Tatar Barajı ve HES"/>
        <s v="Saf I HES"/>
        <s v="Yedisu Barajı ve HES"/>
        <s v="Doğu HES"/>
        <s v="Çemişgezek HES"/>
        <s v="Dinar Reg. ve HES"/>
        <s v="Uzunçayır Barajı ve HES "/>
        <s v="Muradiye-Ayrancılar  (Şelale-Ayrancılar HES) "/>
        <s v="Sarımehmet HES"/>
        <s v="Malazgirt  HES"/>
        <s v="Varto-Sönmez HES"/>
        <s v="Kamer Reg. Ve HES"/>
        <s v="Ahlat  HES"/>
        <s v="Adilcevaz HES"/>
        <s v="Otluca  HES"/>
        <s v="Bağışlı Reg. ve HES"/>
        <s v="Kırıkdağ HES"/>
        <s v="Bayramlı HES"/>
        <s v="Karşıyaka HES"/>
        <s v="Besni HES"/>
        <s v="Bulam Reg ve  HES"/>
        <s v="Burç Bendi ve HES"/>
        <s v="Doğankaya HES"/>
        <s v="Gemciler Reg.ve HES"/>
        <s v="Kahta I HES"/>
        <s v="Koruköy HES"/>
        <s v="Murat-I-II HES"/>
        <s v="Pınar Reg. ve HES"/>
        <s v="Sırımtaş Barajı ve HES"/>
        <s v="Şifrin HES"/>
        <s v="Kaleköy HES"/>
        <s v="Kandil Reg ve HES"/>
        <s v="Birecik Barajı ve HES"/>
        <s v="Kulp I HES"/>
        <s v="Kulp IV HES"/>
        <s v="Çağlayan HES"/>
        <s v="Garzan Barajı ve HES"/>
        <s v="Alkumru Barajı ve HES"/>
        <s v="Kirazlık HES"/>
        <s v="Baran HES"/>
        <s v="Botan HES"/>
        <s v="Uludere HES" u="1"/>
        <s v="Tercan Barajı ve HES" u="1"/>
        <s v="Koçköprü Barajı ve HES" u="1"/>
        <s v="Çıldır  HES" u="1"/>
        <s v="Umut Reg ve HES " u="1"/>
        <s v="Kovada II HES" u="1"/>
        <s v="Mercan-Ovacık HES" u="1"/>
        <s v="Girlevik I HES" u="1"/>
        <s v="Ataköy Barajı ve HES" u="1"/>
        <s v="Durucasu HES" u="1"/>
        <s v="Zernek (Hoşap) Barajı ve HES" u="1"/>
        <s v="Beyköy HES" u="1"/>
        <s v="Piro Reg Ve HES " u="1"/>
        <s v="Kuzgun Barajı ve HES" u="1"/>
        <s v="Engil HES" u="1"/>
        <s v="Kiti HES" u="1"/>
        <s v="Erciş HES" u="1"/>
        <s v="Çağçağ  HES" u="1"/>
        <s v="Kernek HES" u="1"/>
        <s v="Oymapınar Barajı ve HES" u="1"/>
      </sharedItems>
    </cacheField>
    <cacheField name="İli" numFmtId="0">
      <sharedItems count="67">
        <s v="Balıkesir"/>
        <s v="Aydın"/>
        <s v="Denizli"/>
        <s v="Muğla"/>
        <s v="Afyonkarahisar"/>
        <s v="Kütahya"/>
        <s v="Bursa"/>
        <s v="Eskişehir"/>
        <s v="Bilecik"/>
        <s v="Kocaeli"/>
        <s v="Sakarya"/>
        <s v="Düzce"/>
        <s v="Bolu"/>
        <s v="Ankara"/>
        <s v="Konya"/>
        <s v="Karaman"/>
        <s v="Antalya"/>
        <s v="Isparta"/>
        <s v="Adana"/>
        <s v="Mersin"/>
        <s v="Hatay"/>
        <s v="Kahramanmaraş"/>
        <s v="Osmaniye"/>
        <s v="Kırıkkale"/>
        <s v="Niğde"/>
        <s v="Nevşehir"/>
        <s v="Kayseri"/>
        <s v="Sivas"/>
        <s v="Yozgat"/>
        <s v="Zonguldak"/>
        <s v="Karabük"/>
        <s v="Bartın"/>
        <s v="Kastamonu"/>
        <s v="Çankırı"/>
        <s v="Sinop"/>
        <s v="Samsun"/>
        <s v="Tokat"/>
        <s v="Çorum"/>
        <s v="Amasya"/>
        <s v="Trabzon"/>
        <s v="Ordu"/>
        <s v="Giresun"/>
        <s v="Rize"/>
        <s v="Artvin"/>
        <s v="Gümüşhane"/>
        <s v="Erzurum"/>
        <s v="Erzincan"/>
        <s v="Bayburt"/>
        <s v="Kars"/>
        <s v="Iğdır"/>
        <s v="Ardahan"/>
        <s v="Malatya"/>
        <s v="Elazığ"/>
        <s v="Bingöl"/>
        <s v="Tunceli"/>
        <s v="Van"/>
        <s v="Muş"/>
        <s v="Bitlis"/>
        <s v="Hakkari"/>
        <s v="Gaziantep"/>
        <s v="Adıyaman"/>
        <s v="Şanlıurfa"/>
        <s v="Diyarbakır"/>
        <s v="Batman"/>
        <s v="Siirt"/>
        <s v="Şırnak" u="1"/>
        <s v="Mardin" u="1"/>
      </sharedItems>
    </cacheField>
    <cacheField name="Tipi" numFmtId="0">
      <sharedItems count="9">
        <s v="Baraj"/>
        <s v="Kanal"/>
        <s v="Kuvvet Tüneli"/>
        <s v="Kanal "/>
        <s v="Topuk Sant."/>
        <s v="Göl"/>
        <s v="Kanal (Tünelli)"/>
        <s v="Nehir"/>
        <s v="İsale Hattı"/>
      </sharedItems>
    </cacheField>
    <cacheField name="İşletmeye Alınma Tarihi" numFmtId="0">
      <sharedItems containsDate="1" containsMixedTypes="1" minDate="1899-12-31T18:39:04" maxDate="1900-01-02T08:49:04" count="343">
        <n v="1998"/>
        <n v="2006"/>
        <n v="2009"/>
        <n v="2004"/>
        <n v="2001"/>
        <d v="2013-10-09T00:00:00"/>
        <n v="1997"/>
        <n v="2010"/>
        <d v="2013-09-20T00:00:00"/>
        <d v="2012-08-03T00:00:00"/>
        <d v="2015-01-24T00:00:00"/>
        <n v="1999"/>
        <n v="2000"/>
        <n v="2002"/>
        <n v="2003"/>
        <n v="2008"/>
        <d v="2011-04-24T00:00:00"/>
        <d v="2013-03-15T00:00:00"/>
        <d v="2014-01-17T00:00:00"/>
        <n v="1960"/>
        <d v="2012-01-19T00:00:00"/>
        <d v="2015-10-29T00:00:00"/>
        <n v="1952"/>
        <d v="2013-08-20T00:00:00"/>
        <d v="2013-02-14T00:00:00"/>
        <d v="2013-09-05T00:00:00"/>
        <d v="2012-03-16T00:00:00"/>
        <d v="2010-10-27T00:00:00"/>
        <d v="2014-07-12T00:00:00"/>
        <d v="2014-03-19T00:00:00"/>
        <d v="2015-11-06T00:00:00"/>
        <n v="1956"/>
        <n v="1938"/>
        <d v="2013-05-30T00:00:00"/>
        <d v="2011-05-26T00:00:00"/>
        <n v="1953"/>
        <d v="2013-11-28T00:00:00"/>
        <d v="2014-08-29T00:00:00"/>
        <n v="1991"/>
        <d v="2012-03-23T00:00:00"/>
        <d v="2011-12-02T00:00:00"/>
        <d v="2012-04-04T00:00:00"/>
        <d v="2014-04-25T00:00:00"/>
        <d v="2013-01-28T00:00:00"/>
        <d v="2012-10-16T00:00:00"/>
        <d v="2013-03-05T00:00:00"/>
        <n v="2005"/>
        <d v="2013-11-08T00:00:00"/>
        <d v="2010-06-11T00:00:00"/>
        <d v="2015-07-25T00:00:00"/>
        <d v="2011-01-12T00:00:00"/>
        <d v="2013-03-04T00:00:00"/>
        <n v="1986"/>
        <n v="1972"/>
        <n v="1959"/>
        <d v="2015-05-21T00:00:00"/>
        <n v="1934"/>
        <d v="2012-08-04T00:00:00"/>
        <d v="2010-07-08T00:00:00"/>
        <d v="2013-01-23T00:00:00"/>
        <d v="2012-05-31T00:00:00"/>
        <d v="2012-09-14T00:00:00"/>
        <n v="1962"/>
        <d v="2012-04-27T00:00:00"/>
        <d v="2012-12-21T00:00:00"/>
        <d v="2013-01-25T00:00:00"/>
        <d v="2013-06-13T00:00:00"/>
        <d v="2011-10-08T00:00:00"/>
        <d v="2012-02-15T00:00:00"/>
        <d v="2013-07-26T00:00:00"/>
        <d v="2014-03-13T00:00:00"/>
        <d v="2015-05-08T00:00:00"/>
        <n v="1993"/>
        <n v="2015"/>
        <n v="1987"/>
        <n v="1989"/>
        <d v="2011-11-03T00:00:00"/>
        <d v="2014-04-18T00:00:00"/>
        <d v="2013-11-14T00:00:00"/>
        <d v="2013-05-27T00:00:00"/>
        <d v="2013-04-11T00:00:00"/>
        <d v="2012-06-27T00:00:00"/>
        <d v="2013-12-19T00:00:00"/>
        <d v="2013-04-25T00:00:00"/>
        <d v="2013-02-19T00:00:00"/>
        <d v="2013-08-01T00:00:00"/>
        <d v="2011-12-22T00:00:00"/>
        <d v="2013-02-26T00:00:00"/>
        <d v="2012-05-12T00:00:00"/>
        <d v="2015-07-08T00:00:00"/>
        <d v="2015-01-31T00:00:00"/>
        <n v="1996"/>
        <d v="2013-02-01T00:00:00"/>
        <d v="2011-07-13T00:00:00"/>
        <d v="2010-06-01T00:00:00"/>
        <d v="2011-11-25T00:00:00"/>
        <d v="2014-04-11T00:00:00"/>
        <d v="2014-12-30T00:00:00"/>
        <n v="1974"/>
        <n v="1971"/>
        <n v="1967"/>
        <d v="2015-03-18T00:00:00"/>
        <d v="2015-10-24T00:00:00"/>
        <n v="1954"/>
        <d v="2013-05-18T00:00:00"/>
        <n v="2007"/>
        <d v="2010-04-07T00:00:00"/>
        <d v="2012-03-30T00:00:00"/>
        <d v="2011-03-17T00:00:00"/>
        <d v="2013-10-22T00:00:00"/>
        <d v="2013-05-11T00:00:00"/>
        <d v="2012-06-28T00:00:00"/>
        <d v="2011-04-14T00:00:00"/>
        <d v="2011-06-30T00:00:00"/>
        <d v="2011-09-16T00:00:00"/>
        <d v="2012-07-31T00:00:00"/>
        <d v="2013-02-09T00:00:00"/>
        <d v="2012-07-14T00:00:00"/>
        <d v="2011-06-29T00:00:00"/>
        <d v="2015-03-10T00:00:00"/>
        <d v="2015-03-12T00:00:00"/>
        <n v="1955"/>
        <d v="2013-09-03T00:00:00"/>
        <s v="16.02.2012_x000a_14.11.2013"/>
        <d v="2011-11-19T00:00:00"/>
        <d v="2011-07-20T00:00:00"/>
        <d v="2014-10-20T00:00:00"/>
        <d v="2014-06-20T00:00:00"/>
        <d v="2014-11-07T00:00:00"/>
        <d v="2015-08-06T00:00:00"/>
        <d v="2015-10-02T00:00:00"/>
        <d v="2002-02-01T00:00:00"/>
        <n v="1965"/>
        <d v="2013-05-29T00:00:00"/>
        <d v="2011-01-20T00:00:00"/>
        <d v="2013-05-16T00:00:00"/>
        <d v="2012-01-22T00:00:00"/>
        <d v="2012-09-28T00:00:00"/>
        <n v="1924"/>
        <n v="1928"/>
        <d v="2011-04-01T00:00:00"/>
        <d v="2014-01-24T00:00:00"/>
        <d v="2014-05-02T00:00:00"/>
        <d v="2015-04-30T00:00:00"/>
        <n v="1961"/>
        <d v="2013-07-30T00:00:00"/>
        <d v="2013-02-08T00:00:00"/>
        <d v="2011-05-06T00:00:00"/>
        <d v="2011-07-04T00:00:00"/>
        <d v="2014-11-20T00:00:00"/>
        <d v="2014-03-06T00:00:00"/>
        <d v="2014-11-14T00:00:00"/>
        <d v="2015-07-02T00:00:00"/>
        <d v="2015-03-19T00:00:00"/>
        <n v="1957"/>
        <d v="2011-06-15T00:00:00"/>
        <d v="2011-06-10T00:00:00"/>
        <d v="2015-09-03T00:00:00"/>
        <d v="2014-12-12T00:00:00"/>
        <n v="1950"/>
        <d v="2013-09-18T00:00:00"/>
        <d v="2012-05-04T00:00:00"/>
        <d v="2014-05-16T00:00:00"/>
        <d v="2015-10-17T00:00:00"/>
        <d v="2015-04-28T00:00:00"/>
        <d v="2015-05-05T00:00:00"/>
        <d v="2012-10-21T00:00:00"/>
        <d v="2012-11-29T00:00:00"/>
        <d v="2010-04-03T00:00:00"/>
        <d v="2012-08-30T00:00:00"/>
        <d v="2011-02-23T00:00:00"/>
        <d v="2012-06-08T00:00:00"/>
        <s v="2009-2010"/>
        <d v="2012-01-13T00:00:00"/>
        <d v="2012-12-20T00:00:00"/>
        <d v="2015-11-02T00:00:00"/>
        <d v="2015-04-02T00:00:00"/>
        <d v="2015-08-20T00:00:00"/>
        <d v="2015-09-04T00:00:00"/>
        <d v="2011-04-08T00:00:00"/>
        <d v="2015-05-20T00:00:00"/>
        <d v="2012-11-30T00:00:00"/>
        <d v="2013-03-14T00:00:00"/>
        <d v="2011-02-25T00:00:00"/>
        <d v="2013-02-07T00:00:00"/>
        <d v="2012-12-27T00:00:00"/>
        <d v="2013-02-05T00:00:00"/>
        <d v="2013-01-11T00:00:00"/>
        <d v="2011-04-03T00:00:00"/>
        <d v="2010-07-14T00:00:00"/>
        <n v="1929"/>
        <d v="2014-02-27T00:00:00"/>
        <d v="2013-05-14T00:00:00"/>
        <d v="2012-04-06T00:00:00"/>
        <d v="2011-08-05T00:00:00"/>
        <d v="2012-05-16T00:00:00"/>
        <d v="2011-01-17T00:00:00"/>
        <d v="2012-07-28T00:00:00"/>
        <d v="2012-10-17T00:00:00"/>
        <d v="2013-12-05T00:00:00"/>
        <d v="2011-08-11T00:00:00"/>
        <d v="2011-09-29T00:00:00"/>
        <d v="2012-12-06T00:00:00"/>
        <d v="2012-06-15T00:00:00"/>
        <d v="2013-06-24T00:00:00"/>
        <d v="2013-03-21T00:00:00"/>
        <d v="2013-10-24T00:00:00"/>
        <d v="2013-07-02T00:00:00"/>
        <d v="2013-07-22T00:00:00"/>
        <d v="2013-01-24T00:00:00"/>
        <d v="2012-04-18T00:00:00"/>
        <d v="2012-11-27T00:00:00"/>
        <d v="2014-12-01T00:00:00"/>
        <d v="2014-02-17T00:00:00"/>
        <d v="2014-07-17T00:00:00"/>
        <d v="2015-10-22T00:00:00"/>
        <d v="2015-01-16T00:00:00"/>
        <d v="2015-02-07T00:00:00"/>
        <d v="2015-10-26T00:00:00"/>
        <d v="2015-02-04T00:00:00"/>
        <d v="2015-06-25T00:00:00"/>
        <d v="2013-10-23T00:00:00"/>
        <d v="2013-12-17T00:00:00"/>
        <d v="2013-04-29T00:00:00"/>
        <d v="2013-11-13T00:00:00"/>
        <d v="2014-08-08T00:00:00"/>
        <d v="2014-10-01T00:00:00"/>
        <d v="2012-05-06T00:00:00"/>
        <d v="2012-06-29T00:00:00"/>
        <d v="2013-09-24T00:00:00"/>
        <d v="2013-02-11T00:00:00"/>
        <d v="2013-08-13T00:00:00"/>
        <d v="2014-09-19T00:00:00"/>
        <d v="2008-04-16T00:00:00"/>
        <d v="2012-07-04T00:00:00"/>
        <d v="2011-11-04T00:00:00"/>
        <d v="2013-03-01T00:00:00"/>
        <d v="2011-10-27T00:00:00"/>
        <d v="2011-05-23T00:00:00"/>
        <d v="2012-11-16T00:00:00"/>
        <d v="2012-10-10T00:00:00"/>
        <d v="2012-12-29T00:00:00"/>
        <d v="2013-05-31T00:00:00"/>
        <d v="2014-08-19T00:00:00"/>
        <d v="2014-01-10T00:00:00"/>
        <d v="2014-07-10T00:00:00"/>
        <d v="2014-06-12T00:00:00"/>
        <d v="2014-10-17T00:00:00"/>
        <d v="2012-06-01T00:00:00"/>
        <d v="2015-10-19T00:00:00"/>
        <d v="2015-10-15T00:00:00"/>
        <d v="2015-10-28T00:00:00"/>
        <d v="2015-02-12T00:00:00"/>
        <d v="2015-10-25T00:00:00"/>
        <d v="2013-07-05T00:00:00"/>
        <d v="2012-12-15T00:00:00"/>
        <d v="2011-05-25T00:00:00"/>
        <d v="2014-10-15T00:00:00"/>
        <d v="2014-12-19T00:00:00"/>
        <d v="2014-07-16T00:00:00"/>
        <d v="2014-12-31T00:00:00"/>
        <n v="1984"/>
        <d v="2012-08-16T00:00:00"/>
        <d v="2013-04-18T00:00:00"/>
        <d v="2010-10-07T00:00:00"/>
        <d v="2010-06-04T00:00:00"/>
        <d v="2012-04-16T00:00:00"/>
        <d v="2013-09-06T00:00:00"/>
        <d v="2015-12-10T00:00:00"/>
        <d v="2013-06-10T00:00:00"/>
        <d v="2012-10-31T00:00:00"/>
        <d v="2013-08-29T00:00:00"/>
        <d v="2013-07-12T00:00:00"/>
        <d v="2014-06-04T00:00:00"/>
        <d v="2012-12-14T00:00:00"/>
        <d v="2012-09-15T00:00:00"/>
        <d v="2012-10-23T00:00:00"/>
        <d v="2011-05-19T00:00:00"/>
        <d v="2011-06-03T00:00:00"/>
        <d v="2011-11-24T00:00:00"/>
        <d v="2013-12-27T00:00:00"/>
        <d v="2012-03-31T00:00:00"/>
        <d v="2013-11-22T00:00:00"/>
        <d v="2011-10-13T00:00:00"/>
        <d v="2014-05-30T00:00:00"/>
        <d v="2014-04-22T00:00:00"/>
        <d v="2014-05-13T00:00:00"/>
        <d v="2015-12-19T00:00:00"/>
        <d v="2015-03-06T00:00:00"/>
        <d v="2015-04-09T00:00:00"/>
        <d v="2012-12-23T00:00:00"/>
        <d v="2011-02-19T00:00:00"/>
        <d v="2011-06-23T00:00:00"/>
        <n v="1966"/>
        <d v="2012-07-20T00:00:00"/>
        <d v="2011-10-12T00:00:00"/>
        <d v="2014-03-28T00:00:00"/>
        <n v="1948"/>
        <d v="2013-07-18T00:00:00"/>
        <d v="2015-09-17T00:00:00"/>
        <d v="2015-05-03T00:00:00"/>
        <d v="2012-02-24T00:00:00"/>
        <d v="2014-03-21T00:00:00"/>
        <d v="2015-04-17T00:00:00"/>
        <d v="2013-12-13T00:00:00"/>
        <d v="2013-07-17T00:00:00"/>
        <d v="2011-08-25T00:00:00"/>
        <n v="1968"/>
        <n v="1970"/>
        <d v="2012-08-15T00:00:00"/>
        <d v="2012-04-20T00:00:00"/>
        <d v="2012-12-18T00:00:00"/>
        <d v="2012-10-05T00:00:00"/>
        <d v="2013-12-07T00:00:00"/>
        <d v="2012-10-19T00:00:00"/>
        <d v="2015-12-25T00:00:00"/>
        <d v="2015-11-16T00:00:00"/>
        <d v="2011-03-04T00:00:00"/>
        <d v="2014-12-04T00:00:00"/>
        <d v="2013-01-04T00:00:00"/>
        <d v="2011-04-12T00:00:00"/>
        <d v="2013-11-18T00:00:00"/>
        <e v="#REF!" u="1"/>
        <n v="1964" u="1"/>
        <n v="1976" u="1"/>
        <n v="41026" u="1"/>
        <d v="1905-07-06T00:00:00" u="1"/>
        <n v="1990" u="1"/>
        <n v="41541" u="1"/>
        <n v="2012" u="1"/>
        <n v="2014" u="1"/>
        <n v="41421" u="1"/>
        <n v="41297" u="1"/>
        <n v="41110" u="1"/>
        <n v="40984" u="1"/>
        <n v="1975" u="1"/>
        <s v="2011-2012-2013" u="1"/>
        <d v="1905-07-07T00:00:00" u="1"/>
        <n v="2011" u="1"/>
        <n v="2013" u="1"/>
        <n v="41136" u="1"/>
        <n v="41389" u="1"/>
        <n v="40636" u="1"/>
      </sharedItems>
    </cacheField>
    <cacheField name="Hes Sayısı" numFmtId="0">
      <sharedItems containsSemiMixedTypes="0" containsString="0" containsNumber="1" containsInteger="1" minValue="1" maxValue="1"/>
    </cacheField>
    <cacheField name="Kurulu Güç (MW)" numFmtId="2">
      <sharedItems containsString="0" containsBlank="1" containsNumber="1" minValue="6.2399999999999997E-2" maxValue="672"/>
    </cacheField>
    <cacheField name="Ortalama Enerji Üretimi_x000a_(GWh/Yıl)_x000a_" numFmtId="2">
      <sharedItems containsString="0" containsBlank="1" containsNumber="1" minValue="0.3" maxValue="2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">
  <r>
    <x v="0"/>
    <x v="0"/>
    <x v="0"/>
    <x v="0"/>
    <x v="0"/>
    <n v="1"/>
    <n v="10.6"/>
    <n v="47"/>
  </r>
  <r>
    <x v="0"/>
    <x v="1"/>
    <x v="0"/>
    <x v="0"/>
    <x v="1"/>
    <n v="1"/>
    <n v="4.5999999999999996"/>
    <n v="20.66"/>
  </r>
  <r>
    <x v="1"/>
    <x v="2"/>
    <x v="1"/>
    <x v="1"/>
    <x v="2"/>
    <n v="1"/>
    <n v="28.78"/>
    <n v="94.88"/>
  </r>
  <r>
    <x v="1"/>
    <x v="3"/>
    <x v="1"/>
    <x v="1"/>
    <x v="1"/>
    <n v="1"/>
    <n v="0.55000000000000004"/>
    <n v="4.2699999999999996"/>
  </r>
  <r>
    <x v="1"/>
    <x v="4"/>
    <x v="1"/>
    <x v="1"/>
    <x v="3"/>
    <n v="1"/>
    <n v="8.84"/>
    <n v="41"/>
  </r>
  <r>
    <x v="1"/>
    <x v="5"/>
    <x v="1"/>
    <x v="1"/>
    <x v="2"/>
    <n v="1"/>
    <n v="5.85"/>
    <n v="23.2"/>
  </r>
  <r>
    <x v="2"/>
    <x v="6"/>
    <x v="2"/>
    <x v="1"/>
    <x v="4"/>
    <n v="1"/>
    <n v="2.2000000000000002"/>
    <n v="11.75"/>
  </r>
  <r>
    <x v="2"/>
    <x v="7"/>
    <x v="2"/>
    <x v="1"/>
    <x v="5"/>
    <n v="1"/>
    <n v="12.502000000000001"/>
    <n v="45.5"/>
  </r>
  <r>
    <x v="2"/>
    <x v="8"/>
    <x v="2"/>
    <x v="1"/>
    <x v="5"/>
    <n v="1"/>
    <n v="13.81"/>
    <n v="39.89"/>
  </r>
  <r>
    <x v="2"/>
    <x v="9"/>
    <x v="2"/>
    <x v="1"/>
    <x v="6"/>
    <n v="1"/>
    <n v="3.15"/>
    <n v="16"/>
  </r>
  <r>
    <x v="2"/>
    <x v="10"/>
    <x v="2"/>
    <x v="1"/>
    <x v="6"/>
    <n v="1"/>
    <m/>
    <m/>
  </r>
  <r>
    <x v="2"/>
    <x v="11"/>
    <x v="2"/>
    <x v="0"/>
    <x v="7"/>
    <n v="1"/>
    <n v="28.72"/>
    <n v="88.1"/>
  </r>
  <r>
    <x v="2"/>
    <x v="12"/>
    <x v="2"/>
    <x v="1"/>
    <x v="8"/>
    <n v="1"/>
    <n v="3.0649999999999999"/>
    <n v="5.64"/>
  </r>
  <r>
    <x v="2"/>
    <x v="13"/>
    <x v="2"/>
    <x v="1"/>
    <x v="9"/>
    <n v="1"/>
    <n v="8.44"/>
    <n v="30.5"/>
  </r>
  <r>
    <x v="2"/>
    <x v="14"/>
    <x v="2"/>
    <x v="1"/>
    <x v="7"/>
    <n v="1"/>
    <n v="3.66"/>
    <n v="14.904"/>
  </r>
  <r>
    <x v="2"/>
    <x v="15"/>
    <x v="2"/>
    <x v="1"/>
    <x v="2"/>
    <n v="1"/>
    <n v="0.92"/>
    <n v="4.38"/>
  </r>
  <r>
    <x v="2"/>
    <x v="16"/>
    <x v="2"/>
    <x v="0"/>
    <x v="10"/>
    <n v="1"/>
    <n v="30.09"/>
    <n v="71.180000000000007"/>
  </r>
  <r>
    <x v="3"/>
    <x v="17"/>
    <x v="3"/>
    <x v="1"/>
    <x v="11"/>
    <n v="1"/>
    <n v="16.5"/>
    <n v="90"/>
  </r>
  <r>
    <x v="3"/>
    <x v="18"/>
    <x v="3"/>
    <x v="1"/>
    <x v="12"/>
    <n v="1"/>
    <n v="7.5"/>
    <n v="30"/>
  </r>
  <r>
    <x v="3"/>
    <x v="19"/>
    <x v="3"/>
    <x v="1"/>
    <x v="4"/>
    <n v="1"/>
    <n v="7.5"/>
    <n v="30"/>
  </r>
  <r>
    <x v="3"/>
    <x v="20"/>
    <x v="3"/>
    <x v="1"/>
    <x v="13"/>
    <n v="1"/>
    <n v="7.5"/>
    <n v="30"/>
  </r>
  <r>
    <x v="3"/>
    <x v="21"/>
    <x v="3"/>
    <x v="1"/>
    <x v="13"/>
    <n v="1"/>
    <n v="7.5"/>
    <n v="30"/>
  </r>
  <r>
    <x v="3"/>
    <x v="22"/>
    <x v="3"/>
    <x v="1"/>
    <x v="14"/>
    <n v="1"/>
    <n v="7.5"/>
    <n v="30"/>
  </r>
  <r>
    <x v="3"/>
    <x v="23"/>
    <x v="3"/>
    <x v="1"/>
    <x v="0"/>
    <n v="1"/>
    <n v="0.34"/>
    <n v="1.7"/>
  </r>
  <r>
    <x v="3"/>
    <x v="24"/>
    <x v="3"/>
    <x v="1"/>
    <x v="15"/>
    <n v="1"/>
    <n v="8.74"/>
    <n v="35"/>
  </r>
  <r>
    <x v="3"/>
    <x v="25"/>
    <x v="3"/>
    <x v="0"/>
    <x v="16"/>
    <n v="1"/>
    <n v="60"/>
    <n v="216.3"/>
  </r>
  <r>
    <x v="3"/>
    <x v="26"/>
    <x v="3"/>
    <x v="1"/>
    <x v="13"/>
    <n v="1"/>
    <n v="42"/>
    <n v="187.5"/>
  </r>
  <r>
    <x v="3"/>
    <x v="27"/>
    <x v="3"/>
    <x v="1"/>
    <x v="1"/>
    <n v="1"/>
    <n v="10.95"/>
    <n v="46"/>
  </r>
  <r>
    <x v="3"/>
    <x v="28"/>
    <x v="3"/>
    <x v="1"/>
    <x v="17"/>
    <n v="1"/>
    <n v="11.143000000000001"/>
    <n v="49.2"/>
  </r>
  <r>
    <x v="3"/>
    <x v="29"/>
    <x v="3"/>
    <x v="1"/>
    <x v="18"/>
    <n v="1"/>
    <n v="3.39"/>
    <n v="22"/>
  </r>
  <r>
    <x v="4"/>
    <x v="30"/>
    <x v="4"/>
    <x v="1"/>
    <x v="4"/>
    <n v="1"/>
    <n v="3"/>
    <n v="22.3"/>
  </r>
  <r>
    <x v="5"/>
    <x v="31"/>
    <x v="5"/>
    <x v="1"/>
    <x v="19"/>
    <n v="1"/>
    <n v="2.56"/>
    <n v="8"/>
  </r>
  <r>
    <x v="5"/>
    <x v="32"/>
    <x v="5"/>
    <x v="1"/>
    <x v="20"/>
    <n v="1"/>
    <n v="1.92"/>
    <n v="10"/>
  </r>
  <r>
    <x v="5"/>
    <x v="33"/>
    <x v="5"/>
    <x v="1"/>
    <x v="21"/>
    <n v="1"/>
    <n v="12.1"/>
    <n v="49.91"/>
  </r>
  <r>
    <x v="6"/>
    <x v="34"/>
    <x v="6"/>
    <x v="1"/>
    <x v="22"/>
    <n v="1"/>
    <n v="2.3039999999999998"/>
    <n v="8"/>
  </r>
  <r>
    <x v="6"/>
    <x v="35"/>
    <x v="6"/>
    <x v="1"/>
    <x v="22"/>
    <n v="1"/>
    <n v="1.181"/>
    <n v="4"/>
  </r>
  <r>
    <x v="6"/>
    <x v="36"/>
    <x v="6"/>
    <x v="1"/>
    <x v="22"/>
    <n v="1"/>
    <n v="0.71499999999999997"/>
    <n v="3"/>
  </r>
  <r>
    <x v="6"/>
    <x v="37"/>
    <x v="6"/>
    <x v="0"/>
    <x v="23"/>
    <n v="1"/>
    <n v="28.03"/>
    <n v="56.06"/>
  </r>
  <r>
    <x v="6"/>
    <x v="38"/>
    <x v="6"/>
    <x v="1"/>
    <x v="2"/>
    <n v="1"/>
    <n v="19.920000000000002"/>
    <n v="72"/>
  </r>
  <r>
    <x v="6"/>
    <x v="39"/>
    <x v="6"/>
    <x v="1"/>
    <x v="15"/>
    <n v="1"/>
    <n v="2.4"/>
    <n v="4.28"/>
  </r>
  <r>
    <x v="6"/>
    <x v="40"/>
    <x v="6"/>
    <x v="1"/>
    <x v="24"/>
    <n v="1"/>
    <n v="4"/>
    <n v="12"/>
  </r>
  <r>
    <x v="6"/>
    <x v="41"/>
    <x v="6"/>
    <x v="1"/>
    <x v="25"/>
    <n v="1"/>
    <n v="1.9"/>
    <n v="8.08"/>
  </r>
  <r>
    <x v="6"/>
    <x v="42"/>
    <x v="6"/>
    <x v="1"/>
    <x v="26"/>
    <n v="1"/>
    <n v="6.9240000000000004"/>
    <n v="20"/>
  </r>
  <r>
    <x v="6"/>
    <x v="43"/>
    <x v="6"/>
    <x v="2"/>
    <x v="27"/>
    <n v="1"/>
    <n v="100"/>
    <n v="423"/>
  </r>
  <r>
    <x v="6"/>
    <x v="44"/>
    <x v="6"/>
    <x v="3"/>
    <x v="28"/>
    <n v="1"/>
    <n v="7.48"/>
    <n v="23.16"/>
  </r>
  <r>
    <x v="6"/>
    <x v="45"/>
    <x v="6"/>
    <x v="0"/>
    <x v="29"/>
    <n v="1"/>
    <n v="10"/>
    <n v="20"/>
  </r>
  <r>
    <x v="6"/>
    <x v="46"/>
    <x v="6"/>
    <x v="0"/>
    <x v="30"/>
    <n v="1"/>
    <n v="5.18"/>
    <n v="14.96"/>
  </r>
  <r>
    <x v="7"/>
    <x v="47"/>
    <x v="7"/>
    <x v="0"/>
    <x v="31"/>
    <n v="1"/>
    <n v="160"/>
    <n v="400"/>
  </r>
  <r>
    <x v="8"/>
    <x v="48"/>
    <x v="8"/>
    <x v="1"/>
    <x v="32"/>
    <n v="1"/>
    <n v="0.36"/>
    <n v="1"/>
  </r>
  <r>
    <x v="8"/>
    <x v="49"/>
    <x v="8"/>
    <x v="1"/>
    <x v="33"/>
    <n v="1"/>
    <n v="12.597"/>
    <n v="58.11"/>
  </r>
  <r>
    <x v="8"/>
    <x v="50"/>
    <x v="8"/>
    <x v="4"/>
    <x v="34"/>
    <n v="1"/>
    <n v="8.92"/>
    <n v="63"/>
  </r>
  <r>
    <x v="9"/>
    <x v="51"/>
    <x v="9"/>
    <x v="1"/>
    <x v="32"/>
    <n v="1"/>
    <n v="0.38"/>
    <n v="1.44"/>
  </r>
  <r>
    <x v="10"/>
    <x v="52"/>
    <x v="10"/>
    <x v="1"/>
    <x v="35"/>
    <n v="1"/>
    <n v="0.18"/>
    <n v="0.5"/>
  </r>
  <r>
    <x v="10"/>
    <x v="53"/>
    <x v="10"/>
    <x v="1"/>
    <x v="35"/>
    <n v="1"/>
    <n v="0.26400000000000001"/>
    <n v="1"/>
  </r>
  <r>
    <x v="10"/>
    <x v="54"/>
    <x v="10"/>
    <x v="1"/>
    <x v="36"/>
    <n v="1"/>
    <n v="9.6"/>
    <n v="49.21"/>
  </r>
  <r>
    <x v="10"/>
    <x v="55"/>
    <x v="10"/>
    <x v="1"/>
    <x v="12"/>
    <n v="1"/>
    <n v="9.3000000000000007"/>
    <n v="55"/>
  </r>
  <r>
    <x v="10"/>
    <x v="56"/>
    <x v="10"/>
    <x v="3"/>
    <x v="37"/>
    <n v="1"/>
    <n v="30.24"/>
    <n v="171.68"/>
  </r>
  <r>
    <x v="11"/>
    <x v="57"/>
    <x v="11"/>
    <x v="0"/>
    <x v="38"/>
    <n v="1"/>
    <n v="9.35"/>
    <n v="41.6"/>
  </r>
  <r>
    <x v="11"/>
    <x v="58"/>
    <x v="11"/>
    <x v="1"/>
    <x v="39"/>
    <n v="1"/>
    <n v="9.26"/>
    <n v="35"/>
  </r>
  <r>
    <x v="11"/>
    <x v="59"/>
    <x v="11"/>
    <x v="1"/>
    <x v="38"/>
    <n v="1"/>
    <n v="7.23"/>
    <n v="22"/>
  </r>
  <r>
    <x v="11"/>
    <x v="60"/>
    <x v="11"/>
    <x v="1"/>
    <x v="40"/>
    <n v="1"/>
    <n v="4.67"/>
    <n v="21"/>
  </r>
  <r>
    <x v="11"/>
    <x v="61"/>
    <x v="11"/>
    <x v="1"/>
    <x v="41"/>
    <n v="1"/>
    <n v="8.0239999999999991"/>
    <n v="30"/>
  </r>
  <r>
    <x v="11"/>
    <x v="62"/>
    <x v="11"/>
    <x v="3"/>
    <x v="42"/>
    <n v="1"/>
    <n v="46.2"/>
    <n v="141.37"/>
  </r>
  <r>
    <x v="12"/>
    <x v="63"/>
    <x v="12"/>
    <x v="1"/>
    <x v="43"/>
    <n v="1"/>
    <n v="3.4"/>
    <n v="10.351000000000001"/>
  </r>
  <r>
    <x v="12"/>
    <x v="64"/>
    <x v="12"/>
    <x v="1"/>
    <x v="44"/>
    <n v="1"/>
    <n v="2.15"/>
    <n v="6.2590000000000003"/>
  </r>
  <r>
    <x v="12"/>
    <x v="65"/>
    <x v="12"/>
    <x v="1"/>
    <x v="45"/>
    <n v="1"/>
    <n v="4.0469999999999997"/>
    <n v="12.56"/>
  </r>
  <r>
    <x v="12"/>
    <x v="66"/>
    <x v="12"/>
    <x v="1"/>
    <x v="46"/>
    <n v="1"/>
    <n v="14.61"/>
    <n v="50"/>
  </r>
  <r>
    <x v="12"/>
    <x v="67"/>
    <x v="12"/>
    <x v="0"/>
    <x v="47"/>
    <n v="1"/>
    <n v="74"/>
    <n v="203"/>
  </r>
  <r>
    <x v="12"/>
    <x v="68"/>
    <x v="12"/>
    <x v="1"/>
    <x v="48"/>
    <n v="1"/>
    <n v="8.68"/>
    <n v="34"/>
  </r>
  <r>
    <x v="12"/>
    <x v="69"/>
    <x v="12"/>
    <x v="1"/>
    <x v="49"/>
    <n v="1"/>
    <n v="17.177"/>
    <n v="51"/>
  </r>
  <r>
    <x v="13"/>
    <x v="70"/>
    <x v="13"/>
    <x v="1"/>
    <x v="50"/>
    <n v="1"/>
    <n v="8.1999999999999993"/>
    <n v="60"/>
  </r>
  <r>
    <x v="13"/>
    <x v="71"/>
    <x v="13"/>
    <x v="1"/>
    <x v="51"/>
    <n v="1"/>
    <n v="19.109000000000002"/>
    <n v="111"/>
  </r>
  <r>
    <x v="14"/>
    <x v="72"/>
    <x v="14"/>
    <x v="1"/>
    <x v="52"/>
    <n v="1"/>
    <n v="1.04"/>
    <n v="2"/>
  </r>
  <r>
    <x v="14"/>
    <x v="73"/>
    <x v="14"/>
    <x v="1"/>
    <x v="53"/>
    <n v="1"/>
    <n v="0.6"/>
    <n v="1"/>
  </r>
  <r>
    <x v="14"/>
    <x v="69"/>
    <x v="14"/>
    <x v="1"/>
    <x v="54"/>
    <n v="1"/>
    <n v="10.8"/>
    <n v="70"/>
  </r>
  <r>
    <x v="14"/>
    <x v="74"/>
    <x v="14"/>
    <x v="1"/>
    <x v="22"/>
    <n v="1"/>
    <n v="7.4999999999999997E-2"/>
    <n v="0.4"/>
  </r>
  <r>
    <x v="14"/>
    <x v="75"/>
    <x v="14"/>
    <x v="1"/>
    <x v="55"/>
    <n v="1"/>
    <n v="6.63"/>
    <n v="13"/>
  </r>
  <r>
    <x v="15"/>
    <x v="76"/>
    <x v="15"/>
    <x v="1"/>
    <x v="56"/>
    <n v="1"/>
    <n v="1.1200000000000001"/>
    <n v="1.25"/>
  </r>
  <r>
    <x v="15"/>
    <x v="77"/>
    <x v="15"/>
    <x v="0"/>
    <x v="57"/>
    <n v="1"/>
    <n v="38"/>
    <n v="120.5"/>
  </r>
  <r>
    <x v="15"/>
    <x v="78"/>
    <x v="15"/>
    <x v="1"/>
    <x v="58"/>
    <n v="1"/>
    <n v="16.425000000000001"/>
    <n v="92.2"/>
  </r>
  <r>
    <x v="15"/>
    <x v="79"/>
    <x v="15"/>
    <x v="1"/>
    <x v="59"/>
    <n v="1"/>
    <n v="67.16"/>
    <n v="185"/>
  </r>
  <r>
    <x v="15"/>
    <x v="80"/>
    <x v="15"/>
    <x v="0"/>
    <x v="60"/>
    <n v="1"/>
    <n v="28.22"/>
    <n v="71.55"/>
  </r>
  <r>
    <x v="15"/>
    <x v="81"/>
    <x v="15"/>
    <x v="1"/>
    <x v="15"/>
    <n v="1"/>
    <n v="28"/>
    <n v="123"/>
  </r>
  <r>
    <x v="15"/>
    <x v="82"/>
    <x v="15"/>
    <x v="1"/>
    <x v="60"/>
    <n v="1"/>
    <n v="41"/>
    <n v="150.69999999999999"/>
  </r>
  <r>
    <x v="15"/>
    <x v="83"/>
    <x v="15"/>
    <x v="1"/>
    <x v="61"/>
    <n v="1"/>
    <n v="6.08"/>
    <n v="33.700000000000003"/>
  </r>
  <r>
    <x v="16"/>
    <x v="84"/>
    <x v="16"/>
    <x v="1"/>
    <x v="62"/>
    <n v="1"/>
    <n v="0.55200000000000005"/>
    <n v="1"/>
  </r>
  <r>
    <x v="16"/>
    <x v="85"/>
    <x v="16"/>
    <x v="1"/>
    <x v="1"/>
    <n v="1"/>
    <n v="14"/>
    <n v="55.61"/>
  </r>
  <r>
    <x v="16"/>
    <x v="86"/>
    <x v="16"/>
    <x v="1"/>
    <x v="7"/>
    <n v="1"/>
    <n v="2.06"/>
    <n v="14.06"/>
  </r>
  <r>
    <x v="16"/>
    <x v="87"/>
    <x v="16"/>
    <x v="1"/>
    <x v="63"/>
    <n v="1"/>
    <n v="3.75"/>
    <n v="15.07"/>
  </r>
  <r>
    <x v="16"/>
    <x v="88"/>
    <x v="16"/>
    <x v="1"/>
    <x v="64"/>
    <n v="1"/>
    <n v="9.6"/>
    <n v="44"/>
  </r>
  <r>
    <x v="16"/>
    <x v="89"/>
    <x v="16"/>
    <x v="1"/>
    <x v="65"/>
    <n v="1"/>
    <n v="20.12"/>
    <n v="32.29"/>
  </r>
  <r>
    <x v="16"/>
    <x v="90"/>
    <x v="16"/>
    <x v="0"/>
    <x v="7"/>
    <n v="1"/>
    <n v="38.25"/>
    <n v="122.89"/>
  </r>
  <r>
    <x v="16"/>
    <x v="91"/>
    <x v="16"/>
    <x v="1"/>
    <x v="66"/>
    <n v="1"/>
    <n v="2.63"/>
    <n v="9.4499999999999993"/>
  </r>
  <r>
    <x v="16"/>
    <x v="92"/>
    <x v="16"/>
    <x v="1"/>
    <x v="67"/>
    <n v="1"/>
    <n v="9.2650000000000006"/>
    <n v="40.69"/>
  </r>
  <r>
    <x v="16"/>
    <x v="93"/>
    <x v="16"/>
    <x v="1"/>
    <x v="68"/>
    <n v="1"/>
    <n v="12.045999999999999"/>
    <n v="47.56"/>
  </r>
  <r>
    <x v="16"/>
    <x v="94"/>
    <x v="16"/>
    <x v="1"/>
    <x v="1"/>
    <n v="1"/>
    <n v="16"/>
    <n v="50.879999999999995"/>
  </r>
  <r>
    <x v="16"/>
    <x v="95"/>
    <x v="16"/>
    <x v="1"/>
    <x v="15"/>
    <n v="1"/>
    <n v="7.5"/>
    <n v="35"/>
  </r>
  <r>
    <x v="16"/>
    <x v="96"/>
    <x v="16"/>
    <x v="0"/>
    <x v="2"/>
    <n v="1"/>
    <n v="4.76"/>
    <n v="14.93"/>
  </r>
  <r>
    <x v="16"/>
    <x v="97"/>
    <x v="16"/>
    <x v="1"/>
    <x v="69"/>
    <n v="1"/>
    <n v="8.9700000000000006"/>
    <n v="24.84"/>
  </r>
  <r>
    <x v="16"/>
    <x v="98"/>
    <x v="16"/>
    <x v="3"/>
    <x v="70"/>
    <n v="1"/>
    <n v="6.84"/>
    <n v="20"/>
  </r>
  <r>
    <x v="16"/>
    <x v="99"/>
    <x v="16"/>
    <x v="0"/>
    <x v="71"/>
    <n v="1"/>
    <n v="32.380000000000003"/>
    <n v="68.72999999999999"/>
  </r>
  <r>
    <x v="16"/>
    <x v="100"/>
    <x v="16"/>
    <x v="0"/>
    <x v="72"/>
    <n v="1"/>
    <n v="46.4"/>
    <n v="206"/>
  </r>
  <r>
    <x v="16"/>
    <x v="101"/>
    <x v="16"/>
    <x v="1"/>
    <x v="73"/>
    <n v="1"/>
    <n v="1.71"/>
    <n v="6.5"/>
  </r>
  <r>
    <x v="16"/>
    <x v="102"/>
    <x v="16"/>
    <x v="1"/>
    <x v="31"/>
    <n v="1"/>
    <n v="26.4"/>
    <n v="150"/>
  </r>
  <r>
    <x v="16"/>
    <x v="103"/>
    <x v="16"/>
    <x v="1"/>
    <x v="52"/>
    <n v="1"/>
    <n v="6"/>
    <n v="20"/>
  </r>
  <r>
    <x v="16"/>
    <x v="104"/>
    <x v="16"/>
    <x v="1"/>
    <x v="74"/>
    <n v="1"/>
    <n v="48"/>
    <n v="220"/>
  </r>
  <r>
    <x v="17"/>
    <x v="105"/>
    <x v="17"/>
    <x v="5"/>
    <x v="19"/>
    <n v="1"/>
    <n v="8.25"/>
    <n v="3"/>
  </r>
  <r>
    <x v="17"/>
    <x v="106"/>
    <x v="17"/>
    <x v="1"/>
    <x v="75"/>
    <n v="1"/>
    <n v="13"/>
    <n v="36"/>
  </r>
  <r>
    <x v="17"/>
    <x v="107"/>
    <x v="17"/>
    <x v="1"/>
    <x v="0"/>
    <n v="1"/>
    <n v="2.2000000000000002"/>
    <n v="12.22"/>
  </r>
  <r>
    <x v="17"/>
    <x v="108"/>
    <x v="17"/>
    <x v="1"/>
    <x v="76"/>
    <n v="1"/>
    <n v="3.6"/>
    <n v="16.510000000000002"/>
  </r>
  <r>
    <x v="17"/>
    <x v="109"/>
    <x v="17"/>
    <x v="1"/>
    <x v="2"/>
    <n v="1"/>
    <n v="5.0999999999999996"/>
    <n v="20"/>
  </r>
  <r>
    <x v="17"/>
    <x v="110"/>
    <x v="17"/>
    <x v="3"/>
    <x v="77"/>
    <n v="1"/>
    <n v="18.77"/>
    <n v="83.36"/>
  </r>
  <r>
    <x v="18"/>
    <x v="111"/>
    <x v="18"/>
    <x v="1"/>
    <x v="78"/>
    <n v="1"/>
    <n v="2.6"/>
    <n v="12"/>
  </r>
  <r>
    <x v="18"/>
    <x v="112"/>
    <x v="18"/>
    <x v="1"/>
    <x v="79"/>
    <n v="1"/>
    <n v="42.65"/>
    <n v="130"/>
  </r>
  <r>
    <x v="18"/>
    <x v="113"/>
    <x v="18"/>
    <x v="1"/>
    <x v="80"/>
    <n v="1"/>
    <n v="26"/>
    <n v="85"/>
  </r>
  <r>
    <x v="18"/>
    <x v="114"/>
    <x v="18"/>
    <x v="1"/>
    <x v="81"/>
    <n v="1"/>
    <n v="29.4"/>
    <n v="117"/>
  </r>
  <r>
    <x v="18"/>
    <x v="115"/>
    <x v="18"/>
    <x v="0"/>
    <x v="7"/>
    <n v="1"/>
    <n v="69.349999999999994"/>
    <n v="223"/>
  </r>
  <r>
    <x v="18"/>
    <x v="116"/>
    <x v="18"/>
    <x v="0"/>
    <x v="82"/>
    <n v="1"/>
    <n v="191.28"/>
    <n v="766"/>
  </r>
  <r>
    <x v="18"/>
    <x v="117"/>
    <x v="18"/>
    <x v="1"/>
    <x v="83"/>
    <n v="1"/>
    <n v="23.8"/>
    <n v="72.293999999999997"/>
  </r>
  <r>
    <x v="18"/>
    <x v="118"/>
    <x v="18"/>
    <x v="1"/>
    <x v="2"/>
    <n v="1"/>
    <n v="4.6760000000000002"/>
    <n v="10"/>
  </r>
  <r>
    <x v="18"/>
    <x v="119"/>
    <x v="18"/>
    <x v="0"/>
    <x v="84"/>
    <n v="1"/>
    <n v="155.85"/>
    <n v="378.38"/>
  </r>
  <r>
    <x v="18"/>
    <x v="120"/>
    <x v="18"/>
    <x v="0"/>
    <x v="85"/>
    <n v="1"/>
    <n v="20"/>
    <n v="120.215"/>
  </r>
  <r>
    <x v="18"/>
    <x v="121"/>
    <x v="18"/>
    <x v="0"/>
    <x v="86"/>
    <n v="1"/>
    <n v="89.42"/>
    <n v="203.14"/>
  </r>
  <r>
    <x v="18"/>
    <x v="122"/>
    <x v="18"/>
    <x v="1"/>
    <x v="1"/>
    <n v="1"/>
    <n v="49.6"/>
    <n v="179"/>
  </r>
  <r>
    <x v="18"/>
    <x v="123"/>
    <x v="18"/>
    <x v="1"/>
    <x v="87"/>
    <n v="1"/>
    <n v="49.99"/>
    <n v="208"/>
  </r>
  <r>
    <x v="18"/>
    <x v="124"/>
    <x v="18"/>
    <x v="6"/>
    <x v="88"/>
    <n v="1"/>
    <n v="26.98"/>
    <n v="110"/>
  </r>
  <r>
    <x v="18"/>
    <x v="125"/>
    <x v="18"/>
    <x v="0"/>
    <x v="61"/>
    <n v="1"/>
    <n v="28.54"/>
    <n v="95.26"/>
  </r>
  <r>
    <x v="18"/>
    <x v="126"/>
    <x v="18"/>
    <x v="0"/>
    <x v="7"/>
    <n v="1"/>
    <n v="310.66000000000003"/>
    <n v="1141"/>
  </r>
  <r>
    <x v="18"/>
    <x v="127"/>
    <x v="18"/>
    <x v="0"/>
    <x v="89"/>
    <n v="1"/>
    <n v="76"/>
    <n v="345"/>
  </r>
  <r>
    <x v="18"/>
    <x v="128"/>
    <x v="18"/>
    <x v="1"/>
    <x v="90"/>
    <n v="1"/>
    <n v="81.852999999999994"/>
    <n v="234"/>
  </r>
  <r>
    <x v="18"/>
    <x v="129"/>
    <x v="18"/>
    <x v="1"/>
    <x v="38"/>
    <n v="1"/>
    <n v="7.5"/>
    <n v="33"/>
  </r>
  <r>
    <x v="19"/>
    <x v="130"/>
    <x v="19"/>
    <x v="0"/>
    <x v="91"/>
    <n v="1"/>
    <n v="10.199999999999999"/>
    <n v="47"/>
  </r>
  <r>
    <x v="19"/>
    <x v="131"/>
    <x v="19"/>
    <x v="1"/>
    <x v="2"/>
    <n v="1"/>
    <n v="24.407"/>
    <n v="90.5"/>
  </r>
  <r>
    <x v="19"/>
    <x v="132"/>
    <x v="19"/>
    <x v="1"/>
    <x v="3"/>
    <n v="1"/>
    <n v="48.5"/>
    <n v="74.8"/>
  </r>
  <r>
    <x v="19"/>
    <x v="133"/>
    <x v="19"/>
    <x v="1"/>
    <x v="92"/>
    <n v="1"/>
    <n v="1.97"/>
    <n v="11"/>
  </r>
  <r>
    <x v="19"/>
    <x v="134"/>
    <x v="19"/>
    <x v="1"/>
    <x v="7"/>
    <n v="1"/>
    <n v="10.01"/>
    <n v="43"/>
  </r>
  <r>
    <x v="19"/>
    <x v="135"/>
    <x v="19"/>
    <x v="1"/>
    <x v="2"/>
    <n v="1"/>
    <n v="35.258000000000003"/>
    <n v="120"/>
  </r>
  <r>
    <x v="19"/>
    <x v="136"/>
    <x v="19"/>
    <x v="1"/>
    <x v="93"/>
    <n v="1"/>
    <n v="47.7"/>
    <n v="224"/>
  </r>
  <r>
    <x v="19"/>
    <x v="137"/>
    <x v="19"/>
    <x v="1"/>
    <x v="94"/>
    <n v="1"/>
    <n v="20.21"/>
    <n v="95"/>
  </r>
  <r>
    <x v="19"/>
    <x v="138"/>
    <x v="19"/>
    <x v="1"/>
    <x v="3"/>
    <n v="1"/>
    <n v="23.73"/>
    <n v="96.34"/>
  </r>
  <r>
    <x v="19"/>
    <x v="139"/>
    <x v="19"/>
    <x v="1"/>
    <x v="92"/>
    <n v="1"/>
    <n v="1.958"/>
    <n v="7.1"/>
  </r>
  <r>
    <x v="19"/>
    <x v="140"/>
    <x v="19"/>
    <x v="1"/>
    <x v="95"/>
    <n v="1"/>
    <n v="8.06"/>
    <n v="42.6"/>
  </r>
  <r>
    <x v="19"/>
    <x v="141"/>
    <x v="19"/>
    <x v="3"/>
    <x v="96"/>
    <n v="1"/>
    <n v="10.433"/>
    <n v="38"/>
  </r>
  <r>
    <x v="19"/>
    <x v="142"/>
    <x v="19"/>
    <x v="3"/>
    <x v="97"/>
    <n v="1"/>
    <n v="6.62"/>
    <n v="23"/>
  </r>
  <r>
    <x v="19"/>
    <x v="143"/>
    <x v="19"/>
    <x v="1"/>
    <x v="98"/>
    <n v="1"/>
    <n v="0.42399999999999999"/>
    <n v="1"/>
  </r>
  <r>
    <x v="19"/>
    <x v="144"/>
    <x v="19"/>
    <x v="1"/>
    <x v="99"/>
    <n v="1"/>
    <n v="70"/>
    <n v="315"/>
  </r>
  <r>
    <x v="19"/>
    <x v="145"/>
    <x v="19"/>
    <x v="1"/>
    <x v="98"/>
    <n v="1"/>
    <n v="56"/>
    <n v="307"/>
  </r>
  <r>
    <x v="19"/>
    <x v="146"/>
    <x v="19"/>
    <x v="1"/>
    <x v="100"/>
    <n v="1"/>
    <n v="0.88"/>
    <n v="3.6"/>
  </r>
  <r>
    <x v="19"/>
    <x v="147"/>
    <x v="19"/>
    <x v="1"/>
    <x v="99"/>
    <n v="1"/>
    <n v="0.32800000000000001"/>
    <n v="1"/>
  </r>
  <r>
    <x v="19"/>
    <x v="148"/>
    <x v="19"/>
    <x v="0"/>
    <x v="101"/>
    <n v="1"/>
    <n v="31.57"/>
    <n v="99.09"/>
  </r>
  <r>
    <x v="19"/>
    <x v="149"/>
    <x v="19"/>
    <x v="1"/>
    <x v="102"/>
    <n v="1"/>
    <n v="22.635999999999999"/>
    <n v="75.03"/>
  </r>
  <r>
    <x v="20"/>
    <x v="150"/>
    <x v="20"/>
    <x v="1"/>
    <x v="103"/>
    <n v="1"/>
    <n v="4.0919999999999996"/>
    <n v="15"/>
  </r>
  <r>
    <x v="20"/>
    <x v="151"/>
    <x v="20"/>
    <x v="1"/>
    <x v="104"/>
    <n v="1"/>
    <n v="9.98"/>
    <n v="35.67"/>
  </r>
  <r>
    <x v="21"/>
    <x v="152"/>
    <x v="21"/>
    <x v="1"/>
    <x v="72"/>
    <n v="1"/>
    <n v="9.2639999999999993"/>
    <n v="35"/>
  </r>
  <r>
    <x v="21"/>
    <x v="153"/>
    <x v="21"/>
    <x v="0"/>
    <x v="12"/>
    <n v="1"/>
    <n v="7"/>
    <n v="28.04"/>
  </r>
  <r>
    <x v="21"/>
    <x v="154"/>
    <x v="21"/>
    <x v="1"/>
    <x v="105"/>
    <n v="1"/>
    <n v="40.5"/>
    <n v="105"/>
  </r>
  <r>
    <x v="21"/>
    <x v="155"/>
    <x v="21"/>
    <x v="1"/>
    <x v="41"/>
    <n v="1"/>
    <n v="16.742999999999999"/>
    <n v="46.395000000000003"/>
  </r>
  <r>
    <x v="21"/>
    <x v="156"/>
    <x v="21"/>
    <x v="1"/>
    <x v="106"/>
    <n v="1"/>
    <n v="9.5399999999999991"/>
    <n v="32"/>
  </r>
  <r>
    <x v="21"/>
    <x v="157"/>
    <x v="21"/>
    <x v="1"/>
    <x v="15"/>
    <n v="1"/>
    <n v="38.72"/>
    <n v="114.26"/>
  </r>
  <r>
    <x v="21"/>
    <x v="158"/>
    <x v="21"/>
    <x v="1"/>
    <x v="15"/>
    <n v="1"/>
    <n v="9.26"/>
    <n v="36"/>
  </r>
  <r>
    <x v="21"/>
    <x v="159"/>
    <x v="21"/>
    <x v="1"/>
    <x v="107"/>
    <n v="1"/>
    <n v="24.265999999999998"/>
    <n v="60.26"/>
  </r>
  <r>
    <x v="21"/>
    <x v="160"/>
    <x v="21"/>
    <x v="1"/>
    <x v="2"/>
    <n v="1"/>
    <n v="1.8"/>
    <n v="4.28"/>
  </r>
  <r>
    <x v="21"/>
    <x v="161"/>
    <x v="21"/>
    <x v="1"/>
    <x v="108"/>
    <n v="1"/>
    <n v="142.28"/>
    <n v="334.02100000000002"/>
  </r>
  <r>
    <x v="21"/>
    <x v="162"/>
    <x v="21"/>
    <x v="1"/>
    <x v="2"/>
    <n v="1"/>
    <n v="34.130000000000003"/>
    <n v="107"/>
  </r>
  <r>
    <x v="21"/>
    <x v="163"/>
    <x v="21"/>
    <x v="0"/>
    <x v="109"/>
    <n v="1"/>
    <n v="207.92"/>
    <n v="502"/>
  </r>
  <r>
    <x v="21"/>
    <x v="164"/>
    <x v="21"/>
    <x v="1"/>
    <x v="110"/>
    <n v="1"/>
    <n v="8"/>
    <n v="24"/>
  </r>
  <r>
    <x v="21"/>
    <x v="165"/>
    <x v="21"/>
    <x v="1"/>
    <x v="105"/>
    <n v="1"/>
    <n v="2.4"/>
    <n v="18.72"/>
  </r>
  <r>
    <x v="21"/>
    <x v="166"/>
    <x v="21"/>
    <x v="1"/>
    <x v="46"/>
    <n v="1"/>
    <n v="23.9"/>
    <n v="71"/>
  </r>
  <r>
    <x v="21"/>
    <x v="167"/>
    <x v="21"/>
    <x v="0"/>
    <x v="111"/>
    <n v="1"/>
    <n v="8"/>
    <n v="26.51"/>
  </r>
  <r>
    <x v="21"/>
    <x v="168"/>
    <x v="21"/>
    <x v="1"/>
    <x v="112"/>
    <n v="1"/>
    <n v="4.6093999999999999"/>
    <n v="16.100000000000001"/>
  </r>
  <r>
    <x v="21"/>
    <x v="169"/>
    <x v="21"/>
    <x v="1"/>
    <x v="2"/>
    <n v="1"/>
    <n v="4.4000000000000004"/>
    <n v="13.34"/>
  </r>
  <r>
    <x v="21"/>
    <x v="170"/>
    <x v="21"/>
    <x v="1"/>
    <x v="113"/>
    <n v="1"/>
    <n v="1.07"/>
    <n v="4.5999999999999996"/>
  </r>
  <r>
    <x v="21"/>
    <x v="171"/>
    <x v="21"/>
    <x v="1"/>
    <x v="114"/>
    <n v="1"/>
    <n v="2.66"/>
    <n v="9.98"/>
  </r>
  <r>
    <x v="21"/>
    <x v="172"/>
    <x v="21"/>
    <x v="0"/>
    <x v="8"/>
    <n v="1"/>
    <n v="102.54"/>
    <n v="282"/>
  </r>
  <r>
    <x v="21"/>
    <x v="173"/>
    <x v="21"/>
    <x v="1"/>
    <x v="3"/>
    <n v="1"/>
    <n v="4.5"/>
    <n v="18.88"/>
  </r>
  <r>
    <x v="21"/>
    <x v="174"/>
    <x v="21"/>
    <x v="1"/>
    <x v="105"/>
    <n v="1"/>
    <n v="12.3"/>
    <n v="48.292999999999999"/>
  </r>
  <r>
    <x v="21"/>
    <x v="175"/>
    <x v="21"/>
    <x v="1"/>
    <x v="15"/>
    <n v="1"/>
    <n v="0.82"/>
    <n v="5.28"/>
  </r>
  <r>
    <x v="21"/>
    <x v="176"/>
    <x v="21"/>
    <x v="1"/>
    <x v="115"/>
    <n v="1"/>
    <n v="1.57"/>
    <n v="10.86"/>
  </r>
  <r>
    <x v="21"/>
    <x v="177"/>
    <x v="21"/>
    <x v="1"/>
    <x v="116"/>
    <n v="1"/>
    <n v="14.834"/>
    <n v="35"/>
  </r>
  <r>
    <x v="21"/>
    <x v="178"/>
    <x v="21"/>
    <x v="1"/>
    <x v="117"/>
    <n v="1"/>
    <n v="1.05"/>
    <n v="4.59"/>
  </r>
  <r>
    <x v="21"/>
    <x v="179"/>
    <x v="21"/>
    <x v="1"/>
    <x v="118"/>
    <n v="1"/>
    <n v="3.794"/>
    <n v="14.92"/>
  </r>
  <r>
    <x v="21"/>
    <x v="180"/>
    <x v="21"/>
    <x v="1"/>
    <x v="63"/>
    <n v="1"/>
    <n v="5.2"/>
    <n v="18.280999999999999"/>
  </r>
  <r>
    <x v="21"/>
    <x v="181"/>
    <x v="21"/>
    <x v="1"/>
    <x v="119"/>
    <n v="1"/>
    <n v="27.38"/>
    <n v="113"/>
  </r>
  <r>
    <x v="21"/>
    <x v="182"/>
    <x v="21"/>
    <x v="1"/>
    <x v="120"/>
    <n v="1"/>
    <n v="18.32"/>
    <n v="30.01"/>
  </r>
  <r>
    <x v="21"/>
    <x v="183"/>
    <x v="21"/>
    <x v="1"/>
    <x v="38"/>
    <n v="1"/>
    <n v="283.5"/>
    <n v="725"/>
  </r>
  <r>
    <x v="22"/>
    <x v="184"/>
    <x v="22"/>
    <x v="1"/>
    <x v="74"/>
    <n v="1"/>
    <n v="0.5"/>
    <n v="1"/>
  </r>
  <r>
    <x v="22"/>
    <x v="185"/>
    <x v="22"/>
    <x v="1"/>
    <x v="121"/>
    <n v="1"/>
    <n v="0.4"/>
    <n v="1.5"/>
  </r>
  <r>
    <x v="22"/>
    <x v="186"/>
    <x v="22"/>
    <x v="0"/>
    <x v="7"/>
    <n v="1"/>
    <n v="60"/>
    <n v="250"/>
  </r>
  <r>
    <x v="22"/>
    <x v="187"/>
    <x v="22"/>
    <x v="1"/>
    <x v="122"/>
    <n v="1"/>
    <n v="3.05"/>
    <n v="12.5"/>
  </r>
  <r>
    <x v="22"/>
    <x v="188"/>
    <x v="22"/>
    <x v="1"/>
    <x v="123"/>
    <n v="1"/>
    <n v="8.48"/>
    <n v="30"/>
  </r>
  <r>
    <x v="22"/>
    <x v="189"/>
    <x v="22"/>
    <x v="1"/>
    <x v="1"/>
    <n v="1"/>
    <n v="28.81"/>
    <n v="51.64"/>
  </r>
  <r>
    <x v="22"/>
    <x v="190"/>
    <x v="22"/>
    <x v="1"/>
    <x v="1"/>
    <n v="1"/>
    <n v="7.35"/>
    <n v="25"/>
  </r>
  <r>
    <x v="22"/>
    <x v="191"/>
    <x v="22"/>
    <x v="1"/>
    <x v="2"/>
    <n v="1"/>
    <n v="4.9000000000000004"/>
    <n v="17"/>
  </r>
  <r>
    <x v="22"/>
    <x v="192"/>
    <x v="22"/>
    <x v="1"/>
    <x v="124"/>
    <n v="1"/>
    <n v="14.9"/>
    <n v="48.3"/>
  </r>
  <r>
    <x v="22"/>
    <x v="193"/>
    <x v="22"/>
    <x v="0"/>
    <x v="125"/>
    <n v="1"/>
    <n v="5.46"/>
    <n v="17"/>
  </r>
  <r>
    <x v="22"/>
    <x v="194"/>
    <x v="22"/>
    <x v="3"/>
    <x v="126"/>
    <n v="1"/>
    <n v="5"/>
    <n v="12.57"/>
  </r>
  <r>
    <x v="22"/>
    <x v="195"/>
    <x v="22"/>
    <x v="3"/>
    <x v="127"/>
    <n v="1"/>
    <n v="9.06"/>
    <n v="26.13"/>
  </r>
  <r>
    <x v="22"/>
    <x v="196"/>
    <x v="22"/>
    <x v="3"/>
    <x v="128"/>
    <n v="1"/>
    <n v="3.3879999999999999"/>
    <n v="13.4"/>
  </r>
  <r>
    <x v="22"/>
    <x v="197"/>
    <x v="22"/>
    <x v="1"/>
    <x v="129"/>
    <n v="1"/>
    <n v="6.79"/>
    <n v="15.55"/>
  </r>
  <r>
    <x v="22"/>
    <x v="198"/>
    <x v="22"/>
    <x v="1"/>
    <x v="130"/>
    <n v="1"/>
    <n v="153.4"/>
    <n v="624"/>
  </r>
  <r>
    <x v="22"/>
    <x v="199"/>
    <x v="22"/>
    <x v="1"/>
    <x v="131"/>
    <n v="1"/>
    <n v="510"/>
    <n v="1669"/>
  </r>
  <r>
    <x v="23"/>
    <x v="200"/>
    <x v="23"/>
    <x v="1"/>
    <x v="15"/>
    <n v="1"/>
    <n v="16.7"/>
    <n v="90"/>
  </r>
  <r>
    <x v="23"/>
    <x v="201"/>
    <x v="23"/>
    <x v="1"/>
    <x v="55"/>
    <n v="1"/>
    <n v="17"/>
    <n v="56"/>
  </r>
  <r>
    <x v="24"/>
    <x v="202"/>
    <x v="24"/>
    <x v="1"/>
    <x v="132"/>
    <n v="1"/>
    <n v="6.88E-2"/>
    <n v="0.6"/>
  </r>
  <r>
    <x v="25"/>
    <x v="203"/>
    <x v="25"/>
    <x v="1"/>
    <x v="133"/>
    <n v="1"/>
    <n v="20.399999999999999"/>
    <n v="80.260000000000005"/>
  </r>
  <r>
    <x v="25"/>
    <x v="204"/>
    <x v="25"/>
    <x v="0"/>
    <x v="134"/>
    <n v="1"/>
    <n v="47"/>
    <n v="166"/>
  </r>
  <r>
    <x v="25"/>
    <x v="205"/>
    <x v="25"/>
    <x v="1"/>
    <x v="135"/>
    <n v="1"/>
    <n v="5.29"/>
    <n v="36.380000000000003"/>
  </r>
  <r>
    <x v="25"/>
    <x v="206"/>
    <x v="25"/>
    <x v="1"/>
    <x v="136"/>
    <n v="1"/>
    <n v="6"/>
    <n v="23"/>
  </r>
  <r>
    <x v="25"/>
    <x v="207"/>
    <x v="25"/>
    <x v="1"/>
    <x v="137"/>
    <n v="1"/>
    <n v="8.44"/>
    <n v="71"/>
  </r>
  <r>
    <x v="26"/>
    <x v="208"/>
    <x v="26"/>
    <x v="1"/>
    <x v="138"/>
    <n v="1"/>
    <n v="9.9199999999999997E-2"/>
    <n v="0.7"/>
  </r>
  <r>
    <x v="26"/>
    <x v="209"/>
    <x v="26"/>
    <x v="1"/>
    <x v="139"/>
    <n v="1"/>
    <n v="1.36"/>
    <n v="4"/>
  </r>
  <r>
    <x v="26"/>
    <x v="210"/>
    <x v="26"/>
    <x v="1"/>
    <x v="0"/>
    <n v="1"/>
    <n v="84"/>
    <n v="429"/>
  </r>
  <r>
    <x v="26"/>
    <x v="211"/>
    <x v="26"/>
    <x v="0"/>
    <x v="46"/>
    <n v="1"/>
    <n v="100"/>
    <n v="423.5"/>
  </r>
  <r>
    <x v="26"/>
    <x v="212"/>
    <x v="26"/>
    <x v="0"/>
    <x v="140"/>
    <n v="1"/>
    <n v="27.617999999999999"/>
    <n v="94.47"/>
  </r>
  <r>
    <x v="26"/>
    <x v="213"/>
    <x v="26"/>
    <x v="1"/>
    <x v="4"/>
    <n v="1"/>
    <n v="3.33"/>
    <n v="12.5"/>
  </r>
  <r>
    <x v="26"/>
    <x v="214"/>
    <x v="26"/>
    <x v="1"/>
    <x v="141"/>
    <n v="1"/>
    <n v="0.31"/>
    <n v="1"/>
  </r>
  <r>
    <x v="26"/>
    <x v="215"/>
    <x v="26"/>
    <x v="0"/>
    <x v="1"/>
    <n v="1"/>
    <n v="4.17"/>
    <n v="15"/>
  </r>
  <r>
    <x v="26"/>
    <x v="216"/>
    <x v="26"/>
    <x v="3"/>
    <x v="142"/>
    <n v="1"/>
    <n v="17.579999999999998"/>
    <n v="89.56"/>
  </r>
  <r>
    <x v="26"/>
    <x v="217"/>
    <x v="26"/>
    <x v="0"/>
    <x v="143"/>
    <n v="1"/>
    <n v="11.243"/>
    <n v="35"/>
  </r>
  <r>
    <x v="27"/>
    <x v="218"/>
    <x v="27"/>
    <x v="1"/>
    <x v="144"/>
    <n v="1"/>
    <n v="6.78"/>
    <n v="50"/>
  </r>
  <r>
    <x v="27"/>
    <x v="219"/>
    <x v="27"/>
    <x v="1"/>
    <x v="11"/>
    <n v="1"/>
    <n v="2.1259999999999999"/>
    <n v="11.435"/>
  </r>
  <r>
    <x v="27"/>
    <x v="220"/>
    <x v="27"/>
    <x v="1"/>
    <x v="12"/>
    <n v="1"/>
    <n v="2.4980000000000002"/>
    <n v="11.307"/>
  </r>
  <r>
    <x v="27"/>
    <x v="221"/>
    <x v="27"/>
    <x v="1"/>
    <x v="105"/>
    <n v="1"/>
    <n v="4.5519999999999996"/>
    <n v="24.306999999999999"/>
  </r>
  <r>
    <x v="27"/>
    <x v="222"/>
    <x v="27"/>
    <x v="1"/>
    <x v="105"/>
    <n v="1"/>
    <n v="3.69"/>
    <n v="23.103999999999999"/>
  </r>
  <r>
    <x v="27"/>
    <x v="223"/>
    <x v="27"/>
    <x v="1"/>
    <x v="2"/>
    <n v="1"/>
    <n v="1.05"/>
    <n v="4"/>
  </r>
  <r>
    <x v="27"/>
    <x v="224"/>
    <x v="27"/>
    <x v="1"/>
    <x v="105"/>
    <n v="1"/>
    <n v="4.016"/>
    <n v="25.16"/>
  </r>
  <r>
    <x v="27"/>
    <x v="225"/>
    <x v="27"/>
    <x v="1"/>
    <x v="2"/>
    <n v="1"/>
    <n v="5.7140000000000004"/>
    <n v="25"/>
  </r>
  <r>
    <x v="27"/>
    <x v="226"/>
    <x v="27"/>
    <x v="0"/>
    <x v="145"/>
    <n v="1"/>
    <n v="25"/>
    <n v="80"/>
  </r>
  <r>
    <x v="27"/>
    <x v="227"/>
    <x v="27"/>
    <x v="1"/>
    <x v="146"/>
    <n v="1"/>
    <n v="19.03"/>
    <n v="70"/>
  </r>
  <r>
    <x v="27"/>
    <x v="228"/>
    <x v="27"/>
    <x v="1"/>
    <x v="2"/>
    <n v="1"/>
    <n v="63"/>
    <n v="330"/>
  </r>
  <r>
    <x v="27"/>
    <x v="229"/>
    <x v="27"/>
    <x v="0"/>
    <x v="2"/>
    <n v="1"/>
    <n v="8.68"/>
    <n v="41"/>
  </r>
  <r>
    <x v="27"/>
    <x v="230"/>
    <x v="27"/>
    <x v="1"/>
    <x v="39"/>
    <n v="1"/>
    <n v="6.56"/>
    <n v="23.36"/>
  </r>
  <r>
    <x v="27"/>
    <x v="231"/>
    <x v="27"/>
    <x v="1"/>
    <x v="147"/>
    <n v="1"/>
    <n v="25.49"/>
    <n v="101.49"/>
  </r>
  <r>
    <x v="27"/>
    <x v="232"/>
    <x v="27"/>
    <x v="1"/>
    <x v="148"/>
    <n v="1"/>
    <n v="1.605"/>
    <n v="7.8609999999999998"/>
  </r>
  <r>
    <x v="27"/>
    <x v="233"/>
    <x v="27"/>
    <x v="1"/>
    <x v="2"/>
    <n v="1"/>
    <n v="14.000999999999999"/>
    <n v="56.16"/>
  </r>
  <r>
    <x v="27"/>
    <x v="234"/>
    <x v="27"/>
    <x v="3"/>
    <x v="149"/>
    <n v="1"/>
    <n v="7.52"/>
    <n v="19.669"/>
  </r>
  <r>
    <x v="27"/>
    <x v="235"/>
    <x v="27"/>
    <x v="3"/>
    <x v="150"/>
    <n v="1"/>
    <n v="8.9700000000000006"/>
    <n v="25.913"/>
  </r>
  <r>
    <x v="27"/>
    <x v="236"/>
    <x v="27"/>
    <x v="3"/>
    <x v="151"/>
    <n v="1"/>
    <n v="19.09"/>
    <n v="73.790000000000006"/>
  </r>
  <r>
    <x v="27"/>
    <x v="237"/>
    <x v="27"/>
    <x v="1"/>
    <x v="152"/>
    <n v="1"/>
    <n v="5.14"/>
    <n v="17.5"/>
  </r>
  <r>
    <x v="27"/>
    <x v="238"/>
    <x v="27"/>
    <x v="1"/>
    <x v="153"/>
    <n v="1"/>
    <n v="5.64"/>
    <n v="14.41"/>
  </r>
  <r>
    <x v="27"/>
    <x v="239"/>
    <x v="27"/>
    <x v="1"/>
    <x v="154"/>
    <n v="1"/>
    <n v="0.2"/>
    <n v="0.5"/>
  </r>
  <r>
    <x v="28"/>
    <x v="240"/>
    <x v="28"/>
    <x v="1"/>
    <x v="155"/>
    <n v="1"/>
    <n v="2.8690000000000002"/>
    <n v="13.2"/>
  </r>
  <r>
    <x v="29"/>
    <x v="241"/>
    <x v="29"/>
    <x v="1"/>
    <x v="156"/>
    <n v="1"/>
    <n v="33"/>
    <n v="141"/>
  </r>
  <r>
    <x v="29"/>
    <x v="242"/>
    <x v="29"/>
    <x v="1"/>
    <x v="157"/>
    <n v="1"/>
    <n v="1.343"/>
    <n v="6"/>
  </r>
  <r>
    <x v="30"/>
    <x v="243"/>
    <x v="30"/>
    <x v="1"/>
    <x v="2"/>
    <n v="1"/>
    <n v="14.835000000000001"/>
    <n v="56.89"/>
  </r>
  <r>
    <x v="30"/>
    <x v="244"/>
    <x v="30"/>
    <x v="3"/>
    <x v="158"/>
    <n v="1"/>
    <n v="35.186"/>
    <n v="110"/>
  </r>
  <r>
    <x v="30"/>
    <x v="245"/>
    <x v="30"/>
    <x v="3"/>
    <x v="151"/>
    <n v="1"/>
    <n v="21.315000000000001"/>
    <n v="83.54"/>
  </r>
  <r>
    <x v="31"/>
    <x v="246"/>
    <x v="31"/>
    <x v="1"/>
    <x v="159"/>
    <n v="1"/>
    <n v="0.46400000000000002"/>
    <n v="2.5"/>
  </r>
  <r>
    <x v="31"/>
    <x v="247"/>
    <x v="31"/>
    <x v="1"/>
    <x v="7"/>
    <n v="1"/>
    <n v="6.85"/>
    <n v="21.5"/>
  </r>
  <r>
    <x v="32"/>
    <x v="248"/>
    <x v="32"/>
    <x v="1"/>
    <x v="24"/>
    <n v="1"/>
    <n v="4.4000000000000004"/>
    <n v="14.41"/>
  </r>
  <r>
    <x v="32"/>
    <x v="249"/>
    <x v="32"/>
    <x v="1"/>
    <x v="160"/>
    <n v="1"/>
    <n v="5.82"/>
    <n v="23.58"/>
  </r>
  <r>
    <x v="32"/>
    <x v="250"/>
    <x v="32"/>
    <x v="1"/>
    <x v="161"/>
    <n v="1"/>
    <n v="5.8"/>
    <n v="14"/>
  </r>
  <r>
    <x v="32"/>
    <x v="251"/>
    <x v="32"/>
    <x v="3"/>
    <x v="162"/>
    <n v="1"/>
    <n v="5.4219999999999997"/>
    <n v="18.61"/>
  </r>
  <r>
    <x v="32"/>
    <x v="252"/>
    <x v="32"/>
    <x v="1"/>
    <x v="163"/>
    <n v="1"/>
    <n v="12.6"/>
    <n v="60"/>
  </r>
  <r>
    <x v="32"/>
    <x v="253"/>
    <x v="32"/>
    <x v="1"/>
    <x v="164"/>
    <n v="1"/>
    <n v="7.96"/>
    <n v="25"/>
  </r>
  <r>
    <x v="32"/>
    <x v="254"/>
    <x v="32"/>
    <x v="1"/>
    <x v="165"/>
    <n v="1"/>
    <n v="1.32"/>
    <n v="4.2"/>
  </r>
  <r>
    <x v="33"/>
    <x v="255"/>
    <x v="33"/>
    <x v="1"/>
    <x v="2"/>
    <n v="1"/>
    <n v="1.06"/>
    <n v="5"/>
  </r>
  <r>
    <x v="34"/>
    <x v="256"/>
    <x v="34"/>
    <x v="1"/>
    <x v="166"/>
    <n v="1"/>
    <n v="8.58"/>
    <n v="30.03"/>
  </r>
  <r>
    <x v="34"/>
    <x v="257"/>
    <x v="34"/>
    <x v="0"/>
    <x v="167"/>
    <n v="1"/>
    <n v="513"/>
    <n v="1470"/>
  </r>
  <r>
    <x v="34"/>
    <x v="258"/>
    <x v="34"/>
    <x v="1"/>
    <x v="168"/>
    <n v="1"/>
    <n v="6.45"/>
    <n v="20"/>
  </r>
  <r>
    <x v="34"/>
    <x v="259"/>
    <x v="34"/>
    <x v="1"/>
    <x v="167"/>
    <n v="1"/>
    <n v="8.1"/>
    <n v="40"/>
  </r>
  <r>
    <x v="35"/>
    <x v="260"/>
    <x v="35"/>
    <x v="1"/>
    <x v="103"/>
    <n v="1"/>
    <n v="0.4"/>
    <n v="1.5"/>
  </r>
  <r>
    <x v="35"/>
    <x v="261"/>
    <x v="35"/>
    <x v="1"/>
    <x v="169"/>
    <n v="1"/>
    <n v="11.31"/>
    <n v="62.768000000000001"/>
  </r>
  <r>
    <x v="35"/>
    <x v="262"/>
    <x v="35"/>
    <x v="1"/>
    <x v="170"/>
    <n v="1"/>
    <n v="17.489999999999998"/>
    <n v="97.7"/>
  </r>
  <r>
    <x v="36"/>
    <x v="263"/>
    <x v="36"/>
    <x v="1"/>
    <x v="171"/>
    <n v="1"/>
    <n v="40.159999999999997"/>
    <n v="248"/>
  </r>
  <r>
    <x v="36"/>
    <x v="264"/>
    <x v="36"/>
    <x v="1"/>
    <x v="172"/>
    <n v="1"/>
    <n v="64.28"/>
    <n v="450"/>
  </r>
  <r>
    <x v="36"/>
    <x v="265"/>
    <x v="36"/>
    <x v="0"/>
    <x v="173"/>
    <n v="1"/>
    <n v="18.5"/>
    <n v="50.42"/>
  </r>
  <r>
    <x v="36"/>
    <x v="266"/>
    <x v="36"/>
    <x v="1"/>
    <x v="174"/>
    <n v="1"/>
    <n v="14.25"/>
    <n v="35.1"/>
  </r>
  <r>
    <x v="36"/>
    <x v="267"/>
    <x v="36"/>
    <x v="1"/>
    <x v="7"/>
    <n v="1"/>
    <n v="42.25"/>
    <n v="92"/>
  </r>
  <r>
    <x v="36"/>
    <x v="268"/>
    <x v="36"/>
    <x v="1"/>
    <x v="175"/>
    <n v="1"/>
    <n v="7.2"/>
    <n v="25.2"/>
  </r>
  <r>
    <x v="36"/>
    <x v="269"/>
    <x v="36"/>
    <x v="1"/>
    <x v="176"/>
    <n v="1"/>
    <n v="19.568000000000001"/>
    <n v="68.489999999999995"/>
  </r>
  <r>
    <x v="36"/>
    <x v="270"/>
    <x v="36"/>
    <x v="1"/>
    <x v="177"/>
    <n v="1"/>
    <n v="8.3160000000000007"/>
    <n v="24.35"/>
  </r>
  <r>
    <x v="36"/>
    <x v="271"/>
    <x v="36"/>
    <x v="1"/>
    <x v="178"/>
    <n v="1"/>
    <n v="69.626999999999995"/>
    <n v="241.1"/>
  </r>
  <r>
    <x v="37"/>
    <x v="272"/>
    <x v="37"/>
    <x v="1"/>
    <x v="179"/>
    <n v="1"/>
    <n v="14.5"/>
    <n v="48"/>
  </r>
  <r>
    <x v="37"/>
    <x v="273"/>
    <x v="37"/>
    <x v="1"/>
    <x v="24"/>
    <n v="1"/>
    <n v="18.68"/>
    <n v="150"/>
  </r>
  <r>
    <x v="37"/>
    <x v="274"/>
    <x v="37"/>
    <x v="1"/>
    <x v="180"/>
    <n v="1"/>
    <n v="101.72"/>
    <n v="470"/>
  </r>
  <r>
    <x v="38"/>
    <x v="275"/>
    <x v="38"/>
    <x v="1"/>
    <x v="181"/>
    <n v="1"/>
    <n v="3.49"/>
    <n v="19.286999999999999"/>
  </r>
  <r>
    <x v="38"/>
    <x v="276"/>
    <x v="38"/>
    <x v="1"/>
    <x v="182"/>
    <n v="1"/>
    <n v="5.43"/>
    <n v="20.07"/>
  </r>
  <r>
    <x v="38"/>
    <x v="277"/>
    <x v="38"/>
    <x v="1"/>
    <x v="183"/>
    <n v="1"/>
    <n v="4.6900000000000004"/>
    <n v="16"/>
  </r>
  <r>
    <x v="38"/>
    <x v="278"/>
    <x v="38"/>
    <x v="1"/>
    <x v="184"/>
    <n v="1"/>
    <n v="29.25"/>
    <n v="108"/>
  </r>
  <r>
    <x v="38"/>
    <x v="279"/>
    <x v="38"/>
    <x v="1"/>
    <x v="185"/>
    <n v="1"/>
    <n v="32.548000000000002"/>
    <n v="125"/>
  </r>
  <r>
    <x v="38"/>
    <x v="280"/>
    <x v="38"/>
    <x v="1"/>
    <x v="186"/>
    <n v="1"/>
    <n v="9.0299999999999994"/>
    <n v="31"/>
  </r>
  <r>
    <x v="38"/>
    <x v="281"/>
    <x v="38"/>
    <x v="1"/>
    <x v="2"/>
    <n v="1"/>
    <n v="1.98"/>
    <n v="10.08"/>
  </r>
  <r>
    <x v="38"/>
    <x v="282"/>
    <x v="38"/>
    <x v="0"/>
    <x v="187"/>
    <n v="1"/>
    <n v="24.28"/>
    <n v="71.39"/>
  </r>
  <r>
    <x v="38"/>
    <x v="283"/>
    <x v="38"/>
    <x v="1"/>
    <x v="188"/>
    <n v="1"/>
    <m/>
    <m/>
  </r>
  <r>
    <x v="38"/>
    <x v="284"/>
    <x v="38"/>
    <x v="1"/>
    <x v="189"/>
    <n v="1"/>
    <n v="22.5"/>
    <n v="82.74"/>
  </r>
  <r>
    <x v="39"/>
    <x v="285"/>
    <x v="39"/>
    <x v="1"/>
    <x v="190"/>
    <n v="1"/>
    <n v="1.04"/>
    <n v="2.4500000000000002"/>
  </r>
  <r>
    <x v="39"/>
    <x v="286"/>
    <x v="39"/>
    <x v="1"/>
    <x v="191"/>
    <n v="1"/>
    <n v="2.4"/>
    <n v="10"/>
  </r>
  <r>
    <x v="39"/>
    <x v="287"/>
    <x v="39"/>
    <x v="1"/>
    <x v="15"/>
    <n v="1"/>
    <n v="81"/>
    <n v="257"/>
  </r>
  <r>
    <x v="39"/>
    <x v="288"/>
    <x v="39"/>
    <x v="1"/>
    <x v="192"/>
    <n v="1"/>
    <n v="8.9109999999999996"/>
    <n v="25.8"/>
  </r>
  <r>
    <x v="39"/>
    <x v="289"/>
    <x v="39"/>
    <x v="1"/>
    <x v="193"/>
    <n v="1"/>
    <n v="16.350000000000001"/>
    <n v="58.18"/>
  </r>
  <r>
    <x v="39"/>
    <x v="290"/>
    <x v="39"/>
    <x v="1"/>
    <x v="194"/>
    <n v="1"/>
    <n v="9.19"/>
    <n v="35"/>
  </r>
  <r>
    <x v="39"/>
    <x v="291"/>
    <x v="39"/>
    <x v="1"/>
    <x v="195"/>
    <n v="1"/>
    <n v="17"/>
    <n v="56"/>
  </r>
  <r>
    <x v="39"/>
    <x v="292"/>
    <x v="39"/>
    <x v="1"/>
    <x v="196"/>
    <n v="1"/>
    <n v="16.375"/>
    <n v="51.18"/>
  </r>
  <r>
    <x v="39"/>
    <x v="293"/>
    <x v="39"/>
    <x v="1"/>
    <x v="197"/>
    <n v="1"/>
    <n v="8.41"/>
    <n v="29.260999999999999"/>
  </r>
  <r>
    <x v="39"/>
    <x v="294"/>
    <x v="39"/>
    <x v="1"/>
    <x v="198"/>
    <n v="1"/>
    <n v="6"/>
    <n v="24"/>
  </r>
  <r>
    <x v="39"/>
    <x v="295"/>
    <x v="39"/>
    <x v="1"/>
    <x v="199"/>
    <n v="1"/>
    <n v="44.1"/>
    <n v="160"/>
  </r>
  <r>
    <x v="39"/>
    <x v="296"/>
    <x v="39"/>
    <x v="1"/>
    <x v="200"/>
    <n v="1"/>
    <n v="8.4719999999999995"/>
    <n v="35.1"/>
  </r>
  <r>
    <x v="39"/>
    <x v="297"/>
    <x v="39"/>
    <x v="1"/>
    <x v="201"/>
    <n v="1"/>
    <n v="9.16"/>
    <n v="33"/>
  </r>
  <r>
    <x v="39"/>
    <x v="298"/>
    <x v="39"/>
    <x v="1"/>
    <x v="2"/>
    <n v="1"/>
    <n v="9.1"/>
    <n v="27.36"/>
  </r>
  <r>
    <x v="39"/>
    <x v="299"/>
    <x v="39"/>
    <x v="1"/>
    <x v="202"/>
    <n v="1"/>
    <n v="12.38"/>
    <n v="61"/>
  </r>
  <r>
    <x v="39"/>
    <x v="300"/>
    <x v="39"/>
    <x v="1"/>
    <x v="203"/>
    <n v="1"/>
    <n v="5.68"/>
    <n v="21"/>
  </r>
  <r>
    <x v="39"/>
    <x v="301"/>
    <x v="39"/>
    <x v="1"/>
    <x v="204"/>
    <n v="1"/>
    <n v="15.497999999999999"/>
    <n v="52.98"/>
  </r>
  <r>
    <x v="39"/>
    <x v="302"/>
    <x v="39"/>
    <x v="1"/>
    <x v="205"/>
    <n v="1"/>
    <n v="11.39"/>
    <n v="40"/>
  </r>
  <r>
    <x v="39"/>
    <x v="303"/>
    <x v="39"/>
    <x v="1"/>
    <x v="206"/>
    <n v="1"/>
    <n v="7.7"/>
    <n v="39.61"/>
  </r>
  <r>
    <x v="39"/>
    <x v="304"/>
    <x v="39"/>
    <x v="1"/>
    <x v="7"/>
    <n v="1"/>
    <n v="20"/>
    <n v="108.06"/>
  </r>
  <r>
    <x v="39"/>
    <x v="305"/>
    <x v="39"/>
    <x v="1"/>
    <x v="7"/>
    <n v="1"/>
    <n v="21.58"/>
    <n v="95.3"/>
  </r>
  <r>
    <x v="39"/>
    <x v="306"/>
    <x v="39"/>
    <x v="1"/>
    <x v="207"/>
    <n v="1"/>
    <n v="8.5660000000000007"/>
    <n v="25"/>
  </r>
  <r>
    <x v="39"/>
    <x v="307"/>
    <x v="39"/>
    <x v="1"/>
    <x v="208"/>
    <n v="1"/>
    <n v="2.5"/>
    <n v="11"/>
  </r>
  <r>
    <x v="39"/>
    <x v="308"/>
    <x v="39"/>
    <x v="1"/>
    <x v="204"/>
    <n v="1"/>
    <n v="11.939"/>
    <n v="40"/>
  </r>
  <r>
    <x v="39"/>
    <x v="309"/>
    <x v="39"/>
    <x v="1"/>
    <x v="209"/>
    <n v="1"/>
    <n v="16.64"/>
    <n v="60"/>
  </r>
  <r>
    <x v="39"/>
    <x v="310"/>
    <x v="39"/>
    <x v="1"/>
    <x v="210"/>
    <n v="1"/>
    <n v="8.5779999999999994"/>
    <n v="27"/>
  </r>
  <r>
    <x v="39"/>
    <x v="311"/>
    <x v="39"/>
    <x v="1"/>
    <x v="211"/>
    <n v="1"/>
    <n v="8.9459999999999997"/>
    <n v="30"/>
  </r>
  <r>
    <x v="39"/>
    <x v="312"/>
    <x v="39"/>
    <x v="1"/>
    <x v="7"/>
    <n v="1"/>
    <n v="1.2"/>
    <n v="5.64"/>
  </r>
  <r>
    <x v="39"/>
    <x v="313"/>
    <x v="39"/>
    <x v="1"/>
    <x v="15"/>
    <n v="1"/>
    <n v="23.6"/>
    <n v="88.207999999999998"/>
  </r>
  <r>
    <x v="39"/>
    <x v="314"/>
    <x v="39"/>
    <x v="3"/>
    <x v="212"/>
    <n v="1"/>
    <n v="0.63100000000000001"/>
    <n v="2.5"/>
  </r>
  <r>
    <x v="39"/>
    <x v="315"/>
    <x v="39"/>
    <x v="3"/>
    <x v="213"/>
    <n v="1"/>
    <n v="4.6840000000000002"/>
    <n v="12.44"/>
  </r>
  <r>
    <x v="39"/>
    <x v="316"/>
    <x v="39"/>
    <x v="3"/>
    <x v="214"/>
    <n v="1"/>
    <n v="10.319000000000001"/>
    <n v="39.033999999999999"/>
  </r>
  <r>
    <x v="39"/>
    <x v="317"/>
    <x v="39"/>
    <x v="1"/>
    <x v="215"/>
    <n v="1"/>
    <n v="7.5"/>
    <n v="29.446999999999999"/>
  </r>
  <r>
    <x v="39"/>
    <x v="318"/>
    <x v="39"/>
    <x v="1"/>
    <x v="216"/>
    <n v="1"/>
    <n v="25.92"/>
    <n v="105"/>
  </r>
  <r>
    <x v="39"/>
    <x v="319"/>
    <x v="39"/>
    <x v="1"/>
    <x v="217"/>
    <n v="1"/>
    <n v="9.3620000000000001"/>
    <n v="23.338000000000001"/>
  </r>
  <r>
    <x v="39"/>
    <x v="320"/>
    <x v="39"/>
    <x v="1"/>
    <x v="218"/>
    <n v="1"/>
    <n v="9.01"/>
    <n v="19.73"/>
  </r>
  <r>
    <x v="39"/>
    <x v="321"/>
    <x v="39"/>
    <x v="1"/>
    <x v="130"/>
    <n v="1"/>
    <n v="7.9489999999999998"/>
    <n v="28.4"/>
  </r>
  <r>
    <x v="39"/>
    <x v="322"/>
    <x v="39"/>
    <x v="1"/>
    <x v="219"/>
    <n v="1"/>
    <n v="11.9"/>
    <n v="28.42"/>
  </r>
  <r>
    <x v="39"/>
    <x v="323"/>
    <x v="39"/>
    <x v="1"/>
    <x v="220"/>
    <n v="1"/>
    <n v="7.08"/>
    <n v="23.54"/>
  </r>
  <r>
    <x v="39"/>
    <x v="324"/>
    <x v="39"/>
    <x v="1"/>
    <x v="143"/>
    <n v="1"/>
    <n v="9.08"/>
    <n v="29.03"/>
  </r>
  <r>
    <x v="40"/>
    <x v="325"/>
    <x v="40"/>
    <x v="1"/>
    <x v="221"/>
    <n v="1"/>
    <n v="4.38"/>
    <n v="18"/>
  </r>
  <r>
    <x v="40"/>
    <x v="326"/>
    <x v="40"/>
    <x v="1"/>
    <x v="222"/>
    <n v="1"/>
    <n v="18.149999999999999"/>
    <n v="63.524999999999991"/>
  </r>
  <r>
    <x v="40"/>
    <x v="327"/>
    <x v="40"/>
    <x v="1"/>
    <x v="2"/>
    <n v="1"/>
    <n v="110.32"/>
    <n v="370"/>
  </r>
  <r>
    <x v="40"/>
    <x v="328"/>
    <x v="40"/>
    <x v="1"/>
    <x v="223"/>
    <n v="1"/>
    <n v="5.74"/>
    <n v="20.64"/>
  </r>
  <r>
    <x v="40"/>
    <x v="329"/>
    <x v="40"/>
    <x v="1"/>
    <x v="224"/>
    <n v="1"/>
    <n v="42"/>
    <n v="146"/>
  </r>
  <r>
    <x v="40"/>
    <x v="330"/>
    <x v="40"/>
    <x v="3"/>
    <x v="225"/>
    <n v="1"/>
    <n v="5.95"/>
    <n v="15.6"/>
  </r>
  <r>
    <x v="40"/>
    <x v="331"/>
    <x v="40"/>
    <x v="3"/>
    <x v="212"/>
    <n v="1"/>
    <n v="11.089"/>
    <n v="31"/>
  </r>
  <r>
    <x v="40"/>
    <x v="332"/>
    <x v="40"/>
    <x v="3"/>
    <x v="226"/>
    <n v="1"/>
    <n v="4.0599999999999996"/>
    <n v="12.79"/>
  </r>
  <r>
    <x v="41"/>
    <x v="333"/>
    <x v="41"/>
    <x v="1"/>
    <x v="227"/>
    <n v="1"/>
    <n v="13.37"/>
    <n v="58"/>
  </r>
  <r>
    <x v="41"/>
    <x v="334"/>
    <x v="41"/>
    <x v="1"/>
    <x v="228"/>
    <n v="1"/>
    <n v="14.91"/>
    <n v="39.479999999999997"/>
  </r>
  <r>
    <x v="41"/>
    <x v="335"/>
    <x v="41"/>
    <x v="0"/>
    <x v="229"/>
    <n v="1"/>
    <n v="93"/>
    <n v="340"/>
  </r>
  <r>
    <x v="41"/>
    <x v="336"/>
    <x v="41"/>
    <x v="1"/>
    <x v="230"/>
    <n v="1"/>
    <n v="66.290000000000006"/>
    <n v="224"/>
  </r>
  <r>
    <x v="41"/>
    <x v="337"/>
    <x v="41"/>
    <x v="1"/>
    <x v="111"/>
    <n v="1"/>
    <n v="48.5"/>
    <n v="140"/>
  </r>
  <r>
    <x v="41"/>
    <x v="338"/>
    <x v="41"/>
    <x v="1"/>
    <x v="231"/>
    <n v="1"/>
    <n v="17.7"/>
    <n v="50"/>
  </r>
  <r>
    <x v="41"/>
    <x v="339"/>
    <x v="41"/>
    <x v="1"/>
    <x v="232"/>
    <n v="1"/>
    <n v="28.277999999999999"/>
    <n v="85"/>
  </r>
  <r>
    <x v="41"/>
    <x v="340"/>
    <x v="41"/>
    <x v="1"/>
    <x v="79"/>
    <n v="1"/>
    <n v="3.0979999999999999"/>
    <n v="10.199999999999999"/>
  </r>
  <r>
    <x v="41"/>
    <x v="341"/>
    <x v="41"/>
    <x v="1"/>
    <x v="79"/>
    <n v="1"/>
    <n v="1.42"/>
    <n v="5.5"/>
  </r>
  <r>
    <x v="41"/>
    <x v="342"/>
    <x v="41"/>
    <x v="1"/>
    <x v="15"/>
    <n v="1"/>
    <n v="31.3"/>
    <n v="100"/>
  </r>
  <r>
    <x v="41"/>
    <x v="343"/>
    <x v="41"/>
    <x v="1"/>
    <x v="2"/>
    <n v="1"/>
    <m/>
    <m/>
  </r>
  <r>
    <x v="41"/>
    <x v="344"/>
    <x v="41"/>
    <x v="1"/>
    <x v="233"/>
    <n v="1"/>
    <n v="5.2"/>
    <n v="20"/>
  </r>
  <r>
    <x v="41"/>
    <x v="345"/>
    <x v="41"/>
    <x v="1"/>
    <x v="234"/>
    <n v="1"/>
    <n v="38.6"/>
    <n v="105"/>
  </r>
  <r>
    <x v="41"/>
    <x v="346"/>
    <x v="41"/>
    <x v="1"/>
    <x v="235"/>
    <n v="1"/>
    <n v="9.74"/>
    <n v="41"/>
  </r>
  <r>
    <x v="41"/>
    <x v="347"/>
    <x v="41"/>
    <x v="1"/>
    <x v="236"/>
    <n v="1"/>
    <n v="25.452000000000002"/>
    <n v="74.92"/>
  </r>
  <r>
    <x v="41"/>
    <x v="348"/>
    <x v="41"/>
    <x v="1"/>
    <x v="237"/>
    <n v="1"/>
    <n v="37.700000000000003"/>
    <n v="130"/>
  </r>
  <r>
    <x v="41"/>
    <x v="349"/>
    <x v="41"/>
    <x v="1"/>
    <x v="238"/>
    <n v="1"/>
    <n v="26.579000000000001"/>
    <n v="85"/>
  </r>
  <r>
    <x v="41"/>
    <x v="350"/>
    <x v="41"/>
    <x v="1"/>
    <x v="239"/>
    <n v="1"/>
    <n v="8.9"/>
    <n v="26"/>
  </r>
  <r>
    <x v="41"/>
    <x v="351"/>
    <x v="41"/>
    <x v="1"/>
    <x v="7"/>
    <n v="1"/>
    <n v="21.6"/>
    <n v="70"/>
  </r>
  <r>
    <x v="41"/>
    <x v="352"/>
    <x v="41"/>
    <x v="1"/>
    <x v="240"/>
    <n v="1"/>
    <n v="8.73"/>
    <n v="30"/>
  </r>
  <r>
    <x v="41"/>
    <x v="353"/>
    <x v="41"/>
    <x v="1"/>
    <x v="241"/>
    <n v="1"/>
    <n v="18.5"/>
    <n v="69.680000000000007"/>
  </r>
  <r>
    <x v="41"/>
    <x v="354"/>
    <x v="41"/>
    <x v="1"/>
    <x v="242"/>
    <n v="1"/>
    <n v="10.566000000000001"/>
    <n v="32"/>
  </r>
  <r>
    <x v="41"/>
    <x v="355"/>
    <x v="41"/>
    <x v="3"/>
    <x v="243"/>
    <n v="1"/>
    <n v="7.33"/>
    <n v="25"/>
  </r>
  <r>
    <x v="41"/>
    <x v="356"/>
    <x v="41"/>
    <x v="3"/>
    <x v="244"/>
    <n v="1"/>
    <n v="49.2"/>
    <n v="152.13"/>
  </r>
  <r>
    <x v="41"/>
    <x v="357"/>
    <x v="41"/>
    <x v="3"/>
    <x v="245"/>
    <n v="1"/>
    <n v="35.6"/>
    <n v="118.8"/>
  </r>
  <r>
    <x v="41"/>
    <x v="358"/>
    <x v="41"/>
    <x v="3"/>
    <x v="246"/>
    <n v="1"/>
    <n v="3.43"/>
    <n v="10.16"/>
  </r>
  <r>
    <x v="41"/>
    <x v="359"/>
    <x v="41"/>
    <x v="3"/>
    <x v="247"/>
    <n v="1"/>
    <n v="3.9780000000000002"/>
    <n v="10.063000000000001"/>
  </r>
  <r>
    <x v="41"/>
    <x v="360"/>
    <x v="41"/>
    <x v="0"/>
    <x v="248"/>
    <n v="1"/>
    <n v="229.69"/>
    <n v="900"/>
  </r>
  <r>
    <x v="41"/>
    <x v="361"/>
    <x v="41"/>
    <x v="1"/>
    <x v="249"/>
    <n v="1"/>
    <n v="23.3"/>
    <n v="100"/>
  </r>
  <r>
    <x v="41"/>
    <x v="362"/>
    <x v="41"/>
    <x v="1"/>
    <x v="250"/>
    <n v="1"/>
    <n v="3.7"/>
    <n v="12.52"/>
  </r>
  <r>
    <x v="41"/>
    <x v="363"/>
    <x v="41"/>
    <x v="1"/>
    <x v="251"/>
    <n v="1"/>
    <n v="10.050000000000001"/>
    <n v="39.979999999999997"/>
  </r>
  <r>
    <x v="41"/>
    <x v="364"/>
    <x v="41"/>
    <x v="1"/>
    <x v="250"/>
    <n v="1"/>
    <n v="23.125"/>
    <n v="70"/>
  </r>
  <r>
    <x v="41"/>
    <x v="365"/>
    <x v="41"/>
    <x v="1"/>
    <x v="252"/>
    <n v="1"/>
    <n v="9.18"/>
    <n v="34.5"/>
  </r>
  <r>
    <x v="41"/>
    <x v="366"/>
    <x v="41"/>
    <x v="1"/>
    <x v="253"/>
    <n v="1"/>
    <n v="7"/>
    <n v="27"/>
  </r>
  <r>
    <x v="41"/>
    <x v="367"/>
    <x v="41"/>
    <x v="1"/>
    <x v="102"/>
    <n v="1"/>
    <n v="8.84"/>
    <n v="24.84"/>
  </r>
  <r>
    <x v="42"/>
    <x v="368"/>
    <x v="42"/>
    <x v="1"/>
    <x v="144"/>
    <n v="1"/>
    <n v="18.600000000000001"/>
    <n v="110"/>
  </r>
  <r>
    <x v="42"/>
    <x v="369"/>
    <x v="42"/>
    <x v="1"/>
    <x v="254"/>
    <n v="1"/>
    <n v="29.303999999999998"/>
    <n v="109"/>
  </r>
  <r>
    <x v="42"/>
    <x v="370"/>
    <x v="42"/>
    <x v="1"/>
    <x v="255"/>
    <n v="1"/>
    <n v="4.42"/>
    <n v="13.65"/>
  </r>
  <r>
    <x v="42"/>
    <x v="371"/>
    <x v="42"/>
    <x v="1"/>
    <x v="7"/>
    <n v="1"/>
    <n v="91.4"/>
    <n v="360"/>
  </r>
  <r>
    <x v="42"/>
    <x v="372"/>
    <x v="42"/>
    <x v="1"/>
    <x v="256"/>
    <n v="1"/>
    <n v="25.2"/>
    <n v="126"/>
  </r>
  <r>
    <x v="42"/>
    <x v="373"/>
    <x v="42"/>
    <x v="1"/>
    <x v="7"/>
    <n v="1"/>
    <n v="9.5"/>
    <n v="40"/>
  </r>
  <r>
    <x v="42"/>
    <x v="374"/>
    <x v="42"/>
    <x v="1"/>
    <x v="7"/>
    <n v="1"/>
    <n v="8.8000000000000007"/>
    <n v="31.97"/>
  </r>
  <r>
    <x v="42"/>
    <x v="375"/>
    <x v="42"/>
    <x v="1"/>
    <x v="7"/>
    <n v="1"/>
    <n v="62.15"/>
    <n v="156"/>
  </r>
  <r>
    <x v="42"/>
    <x v="376"/>
    <x v="42"/>
    <x v="1"/>
    <x v="229"/>
    <n v="1"/>
    <n v="19.690000000000001"/>
    <n v="100.646"/>
  </r>
  <r>
    <x v="42"/>
    <x v="377"/>
    <x v="42"/>
    <x v="1"/>
    <x v="229"/>
    <n v="1"/>
    <n v="40.24"/>
    <n v="180"/>
  </r>
  <r>
    <x v="42"/>
    <x v="378"/>
    <x v="42"/>
    <x v="3"/>
    <x v="257"/>
    <n v="1"/>
    <n v="2.36"/>
    <n v="9.66"/>
  </r>
  <r>
    <x v="42"/>
    <x v="379"/>
    <x v="42"/>
    <x v="3"/>
    <x v="258"/>
    <n v="1"/>
    <n v="8.82"/>
    <n v="32.543999999999997"/>
  </r>
  <r>
    <x v="42"/>
    <x v="380"/>
    <x v="42"/>
    <x v="3"/>
    <x v="259"/>
    <n v="1"/>
    <n v="13.5"/>
    <n v="46.89"/>
  </r>
  <r>
    <x v="42"/>
    <x v="381"/>
    <x v="42"/>
    <x v="3"/>
    <x v="260"/>
    <n v="1"/>
    <n v="3.72"/>
    <n v="14.47"/>
  </r>
  <r>
    <x v="43"/>
    <x v="382"/>
    <x v="43"/>
    <x v="1"/>
    <x v="261"/>
    <n v="1"/>
    <n v="0.3"/>
    <n v="1"/>
  </r>
  <r>
    <x v="43"/>
    <x v="383"/>
    <x v="43"/>
    <x v="1"/>
    <x v="7"/>
    <n v="1"/>
    <n v="12.41"/>
    <n v="40"/>
  </r>
  <r>
    <x v="43"/>
    <x v="384"/>
    <x v="43"/>
    <x v="1"/>
    <x v="262"/>
    <n v="1"/>
    <n v="32.409999999999997"/>
    <n v="76.36"/>
  </r>
  <r>
    <x v="43"/>
    <x v="385"/>
    <x v="43"/>
    <x v="1"/>
    <x v="15"/>
    <n v="1"/>
    <n v="11"/>
    <n v="47"/>
  </r>
  <r>
    <x v="43"/>
    <x v="386"/>
    <x v="43"/>
    <x v="1"/>
    <x v="2"/>
    <n v="1"/>
    <n v="16.206"/>
    <n v="59.927999999999997"/>
  </r>
  <r>
    <x v="43"/>
    <x v="387"/>
    <x v="43"/>
    <x v="1"/>
    <x v="263"/>
    <n v="1"/>
    <n v="7.77"/>
    <n v="31.17"/>
  </r>
  <r>
    <x v="43"/>
    <x v="388"/>
    <x v="43"/>
    <x v="1"/>
    <x v="17"/>
    <n v="1"/>
    <n v="19.04"/>
    <n v="35.79"/>
  </r>
  <r>
    <x v="43"/>
    <x v="389"/>
    <x v="43"/>
    <x v="1"/>
    <x v="264"/>
    <n v="1"/>
    <n v="22.5"/>
    <n v="86.97"/>
  </r>
  <r>
    <x v="43"/>
    <x v="390"/>
    <x v="43"/>
    <x v="1"/>
    <x v="265"/>
    <n v="1"/>
    <n v="45"/>
    <n v="125"/>
  </r>
  <r>
    <x v="43"/>
    <x v="391"/>
    <x v="43"/>
    <x v="1"/>
    <x v="2"/>
    <n v="1"/>
    <n v="8.48"/>
    <n v="32.42"/>
  </r>
  <r>
    <x v="43"/>
    <x v="392"/>
    <x v="43"/>
    <x v="1"/>
    <x v="7"/>
    <n v="1"/>
    <n v="24.2"/>
    <n v="67"/>
  </r>
  <r>
    <x v="43"/>
    <x v="393"/>
    <x v="43"/>
    <x v="1"/>
    <x v="266"/>
    <n v="1"/>
    <n v="26.6"/>
    <n v="64.319999999999993"/>
  </r>
  <r>
    <x v="43"/>
    <x v="394"/>
    <x v="43"/>
    <x v="1"/>
    <x v="267"/>
    <n v="1"/>
    <n v="4.67"/>
    <n v="20.87"/>
  </r>
  <r>
    <x v="43"/>
    <x v="395"/>
    <x v="43"/>
    <x v="0"/>
    <x v="268"/>
    <n v="1"/>
    <n v="332.18"/>
    <n v="1026"/>
  </r>
  <r>
    <x v="43"/>
    <x v="396"/>
    <x v="43"/>
    <x v="1"/>
    <x v="21"/>
    <n v="1"/>
    <n v="1.9550000000000001"/>
    <n v="6.42"/>
  </r>
  <r>
    <x v="44"/>
    <x v="397"/>
    <x v="44"/>
    <x v="0"/>
    <x v="15"/>
    <n v="1"/>
    <n v="101.94"/>
    <n v="315"/>
  </r>
  <r>
    <x v="44"/>
    <x v="398"/>
    <x v="44"/>
    <x v="1"/>
    <x v="60"/>
    <n v="1"/>
    <n v="68.861999999999995"/>
    <n v="192"/>
  </r>
  <r>
    <x v="44"/>
    <x v="98"/>
    <x v="44"/>
    <x v="1"/>
    <x v="269"/>
    <n v="1"/>
    <n v="13"/>
    <n v="45"/>
  </r>
  <r>
    <x v="44"/>
    <x v="399"/>
    <x v="44"/>
    <x v="1"/>
    <x v="270"/>
    <n v="1"/>
    <n v="19.75"/>
    <n v="36"/>
  </r>
  <r>
    <x v="44"/>
    <x v="400"/>
    <x v="44"/>
    <x v="1"/>
    <x v="271"/>
    <n v="1"/>
    <n v="13.58"/>
    <n v="32.07"/>
  </r>
  <r>
    <x v="44"/>
    <x v="401"/>
    <x v="44"/>
    <x v="1"/>
    <x v="272"/>
    <n v="1"/>
    <n v="14.66"/>
    <n v="60"/>
  </r>
  <r>
    <x v="44"/>
    <x v="402"/>
    <x v="44"/>
    <x v="1"/>
    <x v="205"/>
    <n v="1"/>
    <n v="6.63"/>
    <n v="30"/>
  </r>
  <r>
    <x v="44"/>
    <x v="403"/>
    <x v="44"/>
    <x v="1"/>
    <x v="273"/>
    <n v="1"/>
    <n v="0.495"/>
    <n v="1.5"/>
  </r>
  <r>
    <x v="45"/>
    <x v="404"/>
    <x v="45"/>
    <x v="1"/>
    <x v="1"/>
    <n v="1"/>
    <n v="27.27"/>
    <n v="86.39"/>
  </r>
  <r>
    <x v="45"/>
    <x v="405"/>
    <x v="45"/>
    <x v="1"/>
    <x v="274"/>
    <n v="1"/>
    <n v="16.32"/>
    <n v="42.14"/>
  </r>
  <r>
    <x v="45"/>
    <x v="406"/>
    <x v="45"/>
    <x v="1"/>
    <x v="275"/>
    <n v="1"/>
    <n v="3.98"/>
    <n v="11"/>
  </r>
  <r>
    <x v="45"/>
    <x v="407"/>
    <x v="45"/>
    <x v="1"/>
    <x v="276"/>
    <n v="1"/>
    <n v="9.33"/>
    <n v="42.42"/>
  </r>
  <r>
    <x v="45"/>
    <x v="408"/>
    <x v="45"/>
    <x v="1"/>
    <x v="242"/>
    <n v="1"/>
    <n v="6.8659999999999997"/>
    <n v="25.8"/>
  </r>
  <r>
    <x v="45"/>
    <x v="409"/>
    <x v="45"/>
    <x v="0"/>
    <x v="39"/>
    <n v="1"/>
    <n v="96"/>
    <n v="314"/>
  </r>
  <r>
    <x v="45"/>
    <x v="410"/>
    <x v="45"/>
    <x v="1"/>
    <x v="2"/>
    <n v="1"/>
    <n v="10.8"/>
    <n v="38.56"/>
  </r>
  <r>
    <x v="45"/>
    <x v="411"/>
    <x v="45"/>
    <x v="1"/>
    <x v="277"/>
    <n v="1"/>
    <n v="3.84"/>
    <n v="21.56"/>
  </r>
  <r>
    <x v="45"/>
    <x v="412"/>
    <x v="45"/>
    <x v="1"/>
    <x v="278"/>
    <n v="1"/>
    <n v="3.08"/>
    <n v="18.97"/>
  </r>
  <r>
    <x v="45"/>
    <x v="413"/>
    <x v="45"/>
    <x v="1"/>
    <x v="279"/>
    <n v="1"/>
    <n v="10.35"/>
    <n v="57.76"/>
  </r>
  <r>
    <x v="45"/>
    <x v="414"/>
    <x v="45"/>
    <x v="1"/>
    <x v="194"/>
    <n v="1"/>
    <n v="4.5999999999999996"/>
    <n v="21.62"/>
  </r>
  <r>
    <x v="45"/>
    <x v="415"/>
    <x v="45"/>
    <x v="1"/>
    <x v="280"/>
    <n v="1"/>
    <n v="36.380000000000003"/>
    <n v="83.83"/>
  </r>
  <r>
    <x v="45"/>
    <x v="416"/>
    <x v="45"/>
    <x v="1"/>
    <x v="193"/>
    <n v="1"/>
    <n v="18"/>
    <n v="68.930000000000007"/>
  </r>
  <r>
    <x v="45"/>
    <x v="417"/>
    <x v="45"/>
    <x v="1"/>
    <x v="281"/>
    <n v="1"/>
    <n v="16.66"/>
    <n v="49.23"/>
  </r>
  <r>
    <x v="45"/>
    <x v="418"/>
    <x v="45"/>
    <x v="1"/>
    <x v="282"/>
    <n v="1"/>
    <n v="14.9"/>
    <n v="41.33"/>
  </r>
  <r>
    <x v="45"/>
    <x v="419"/>
    <x v="45"/>
    <x v="1"/>
    <x v="283"/>
    <n v="1"/>
    <n v="21.9"/>
    <n v="70"/>
  </r>
  <r>
    <x v="45"/>
    <x v="420"/>
    <x v="45"/>
    <x v="0"/>
    <x v="284"/>
    <n v="1"/>
    <n v="244.83"/>
    <n v="842.1"/>
  </r>
  <r>
    <x v="45"/>
    <x v="421"/>
    <x v="45"/>
    <x v="3"/>
    <x v="285"/>
    <n v="1"/>
    <n v="7.19"/>
    <n v="25.22"/>
  </r>
  <r>
    <x v="45"/>
    <x v="422"/>
    <x v="45"/>
    <x v="3"/>
    <x v="286"/>
    <n v="1"/>
    <n v="7.39"/>
    <n v="14.03"/>
  </r>
  <r>
    <x v="45"/>
    <x v="423"/>
    <x v="45"/>
    <x v="0"/>
    <x v="157"/>
    <n v="1"/>
    <n v="121.654"/>
    <n v="409"/>
  </r>
  <r>
    <x v="45"/>
    <x v="424"/>
    <x v="45"/>
    <x v="1"/>
    <x v="287"/>
    <n v="1"/>
    <n v="13.6"/>
    <n v="37.159999999999997"/>
  </r>
  <r>
    <x v="45"/>
    <x v="425"/>
    <x v="45"/>
    <x v="1"/>
    <x v="288"/>
    <n v="1"/>
    <n v="11.7"/>
    <n v="33.08"/>
  </r>
  <r>
    <x v="45"/>
    <x v="426"/>
    <x v="45"/>
    <x v="1"/>
    <x v="289"/>
    <n v="1"/>
    <n v="6.93"/>
    <n v="19.190000000000001"/>
  </r>
  <r>
    <x v="45"/>
    <x v="427"/>
    <x v="45"/>
    <x v="1"/>
    <x v="19"/>
    <n v="1"/>
    <n v="26.2"/>
    <n v="100"/>
  </r>
  <r>
    <x v="46"/>
    <x v="428"/>
    <x v="46"/>
    <x v="1"/>
    <x v="4"/>
    <n v="1"/>
    <n v="2.64"/>
    <n v="11"/>
  </r>
  <r>
    <x v="46"/>
    <x v="429"/>
    <x v="46"/>
    <x v="1"/>
    <x v="4"/>
    <n v="1"/>
    <n v="8.94"/>
    <n v="32"/>
  </r>
  <r>
    <x v="46"/>
    <x v="430"/>
    <x v="46"/>
    <x v="0"/>
    <x v="290"/>
    <n v="1"/>
    <n v="48.6"/>
    <n v="181.25"/>
  </r>
  <r>
    <x v="46"/>
    <x v="431"/>
    <x v="46"/>
    <x v="1"/>
    <x v="291"/>
    <n v="1"/>
    <n v="6.98"/>
    <n v="24.51"/>
  </r>
  <r>
    <x v="46"/>
    <x v="432"/>
    <x v="46"/>
    <x v="1"/>
    <x v="15"/>
    <n v="1"/>
    <n v="12.63"/>
    <n v="37.26"/>
  </r>
  <r>
    <x v="46"/>
    <x v="433"/>
    <x v="46"/>
    <x v="1"/>
    <x v="278"/>
    <n v="1"/>
    <n v="4.0999999999999996"/>
    <n v="24.27"/>
  </r>
  <r>
    <x v="46"/>
    <x v="434"/>
    <x v="46"/>
    <x v="1"/>
    <x v="2"/>
    <n v="1"/>
    <n v="5.76"/>
    <n v="41.96"/>
  </r>
  <r>
    <x v="46"/>
    <x v="435"/>
    <x v="46"/>
    <x v="1"/>
    <x v="292"/>
    <n v="1"/>
    <n v="12.416"/>
    <n v="44.52"/>
  </r>
  <r>
    <x v="46"/>
    <x v="436"/>
    <x v="46"/>
    <x v="1"/>
    <x v="46"/>
    <n v="1"/>
    <n v="14.02"/>
    <n v="44.18"/>
  </r>
  <r>
    <x v="46"/>
    <x v="437"/>
    <x v="46"/>
    <x v="3"/>
    <x v="42"/>
    <n v="1"/>
    <n v="9.7620000000000005"/>
    <n v="23.28"/>
  </r>
  <r>
    <x v="46"/>
    <x v="438"/>
    <x v="46"/>
    <x v="0"/>
    <x v="290"/>
    <n v="1"/>
    <n v="140.62"/>
    <n v="502.72"/>
  </r>
  <r>
    <x v="47"/>
    <x v="439"/>
    <x v="47"/>
    <x v="1"/>
    <x v="159"/>
    <n v="1"/>
    <n v="0.39600000000000002"/>
    <n v="1.25"/>
  </r>
  <r>
    <x v="47"/>
    <x v="440"/>
    <x v="47"/>
    <x v="1"/>
    <x v="7"/>
    <n v="1"/>
    <n v="14.63"/>
    <n v="60"/>
  </r>
  <r>
    <x v="47"/>
    <x v="441"/>
    <x v="47"/>
    <x v="1"/>
    <x v="137"/>
    <n v="1"/>
    <n v="10.677"/>
    <n v="33.299999999999997"/>
  </r>
  <r>
    <x v="48"/>
    <x v="442"/>
    <x v="48"/>
    <x v="1"/>
    <x v="293"/>
    <n v="1"/>
    <n v="6.2399999999999997E-2"/>
    <n v="0.3"/>
  </r>
  <r>
    <x v="48"/>
    <x v="443"/>
    <x v="48"/>
    <x v="1"/>
    <x v="294"/>
    <n v="1"/>
    <n v="1.843"/>
    <n v="11.25"/>
  </r>
  <r>
    <x v="48"/>
    <x v="444"/>
    <x v="48"/>
    <x v="1"/>
    <x v="294"/>
    <n v="1"/>
    <n v="30.6"/>
    <n v="107.8"/>
  </r>
  <r>
    <x v="48"/>
    <x v="445"/>
    <x v="48"/>
    <x v="0"/>
    <x v="295"/>
    <n v="1"/>
    <n v="33.11"/>
    <n v="141.35"/>
  </r>
  <r>
    <x v="48"/>
    <x v="446"/>
    <x v="48"/>
    <x v="1"/>
    <x v="69"/>
    <n v="1"/>
    <n v="21.436"/>
    <n v="79.760000000000005"/>
  </r>
  <r>
    <x v="48"/>
    <x v="278"/>
    <x v="48"/>
    <x v="3"/>
    <x v="296"/>
    <n v="1"/>
    <n v="17.100000000000001"/>
    <n v="50.78"/>
  </r>
  <r>
    <x v="48"/>
    <x v="447"/>
    <x v="48"/>
    <x v="3"/>
    <x v="232"/>
    <n v="1"/>
    <n v="28.96"/>
    <n v="82.180999999999997"/>
  </r>
  <r>
    <x v="48"/>
    <x v="448"/>
    <x v="48"/>
    <x v="1"/>
    <x v="297"/>
    <n v="1"/>
    <n v="0.4"/>
    <n v="0.8"/>
  </r>
  <r>
    <x v="49"/>
    <x v="449"/>
    <x v="49"/>
    <x v="7"/>
    <x v="13"/>
    <n v="1"/>
    <n v="11.1"/>
    <n v="50"/>
  </r>
  <r>
    <x v="50"/>
    <x v="450"/>
    <x v="50"/>
    <x v="1"/>
    <x v="298"/>
    <n v="1"/>
    <n v="11.157"/>
    <n v="40"/>
  </r>
  <r>
    <x v="50"/>
    <x v="451"/>
    <x v="50"/>
    <x v="1"/>
    <x v="134"/>
    <n v="1"/>
    <n v="6.13"/>
    <n v="22.32"/>
  </r>
  <r>
    <x v="50"/>
    <x v="452"/>
    <x v="50"/>
    <x v="1"/>
    <x v="299"/>
    <n v="1"/>
    <n v="8.7799999999999994"/>
    <n v="21.26"/>
  </r>
  <r>
    <x v="50"/>
    <x v="453"/>
    <x v="50"/>
    <x v="0"/>
    <x v="300"/>
    <n v="1"/>
    <n v="84.680999999999997"/>
    <n v="304.48"/>
  </r>
  <r>
    <x v="51"/>
    <x v="454"/>
    <x v="51"/>
    <x v="1"/>
    <x v="53"/>
    <n v="1"/>
    <n v="0.32"/>
    <n v="1.6"/>
  </r>
  <r>
    <x v="51"/>
    <x v="455"/>
    <x v="51"/>
    <x v="1"/>
    <x v="144"/>
    <n v="1"/>
    <n v="4.5"/>
    <n v="2"/>
  </r>
  <r>
    <x v="51"/>
    <x v="456"/>
    <x v="51"/>
    <x v="1"/>
    <x v="0"/>
    <n v="1"/>
    <n v="12.5"/>
    <n v="59"/>
  </r>
  <r>
    <x v="51"/>
    <x v="457"/>
    <x v="51"/>
    <x v="1"/>
    <x v="144"/>
    <n v="1"/>
    <n v="7.24"/>
    <n v="44"/>
  </r>
  <r>
    <x v="51"/>
    <x v="458"/>
    <x v="51"/>
    <x v="1"/>
    <x v="3"/>
    <n v="1"/>
    <n v="13.34"/>
    <n v="88"/>
  </r>
  <r>
    <x v="51"/>
    <x v="459"/>
    <x v="51"/>
    <x v="1"/>
    <x v="15"/>
    <n v="1"/>
    <n v="8.6739999999999995"/>
    <n v="25.015000000000001"/>
  </r>
  <r>
    <x v="51"/>
    <x v="460"/>
    <x v="51"/>
    <x v="1"/>
    <x v="301"/>
    <n v="1"/>
    <n v="0.74"/>
    <n v="4"/>
  </r>
  <r>
    <x v="51"/>
    <x v="461"/>
    <x v="51"/>
    <x v="3"/>
    <x v="302"/>
    <n v="1"/>
    <n v="3.5"/>
    <n v="12.92"/>
  </r>
  <r>
    <x v="51"/>
    <x v="462"/>
    <x v="51"/>
    <x v="1"/>
    <x v="2"/>
    <n v="1"/>
    <n v="13.03"/>
    <n v="52"/>
  </r>
  <r>
    <x v="52"/>
    <x v="463"/>
    <x v="52"/>
    <x v="1"/>
    <x v="154"/>
    <n v="1"/>
    <n v="20.12"/>
    <n v="40"/>
  </r>
  <r>
    <x v="52"/>
    <x v="464"/>
    <x v="52"/>
    <x v="1"/>
    <x v="100"/>
    <n v="1"/>
    <n v="10"/>
    <n v="20"/>
  </r>
  <r>
    <x v="52"/>
    <x v="465"/>
    <x v="52"/>
    <x v="1"/>
    <x v="105"/>
    <n v="1"/>
    <n v="5.375"/>
    <n v="31.68"/>
  </r>
  <r>
    <x v="52"/>
    <x v="466"/>
    <x v="52"/>
    <x v="0"/>
    <x v="15"/>
    <n v="1"/>
    <n v="56.84"/>
    <n v="161"/>
  </r>
  <r>
    <x v="52"/>
    <x v="467"/>
    <x v="52"/>
    <x v="0"/>
    <x v="303"/>
    <n v="1"/>
    <n v="582.1"/>
    <n v="1294.3499999999999"/>
  </r>
  <r>
    <x v="52"/>
    <x v="468"/>
    <x v="52"/>
    <x v="0"/>
    <x v="15"/>
    <n v="1"/>
    <n v="127.34"/>
    <n v="404.99"/>
  </r>
  <r>
    <x v="52"/>
    <x v="469"/>
    <x v="52"/>
    <x v="0"/>
    <x v="304"/>
    <n v="1"/>
    <n v="128.22"/>
    <n v="364.25200000000001"/>
  </r>
  <r>
    <x v="53"/>
    <x v="470"/>
    <x v="53"/>
    <x v="1"/>
    <x v="305"/>
    <n v="1"/>
    <n v="18.725000000000001"/>
    <n v="55"/>
  </r>
  <r>
    <x v="53"/>
    <x v="471"/>
    <x v="53"/>
    <x v="0"/>
    <x v="248"/>
    <n v="1"/>
    <n v="22.71"/>
    <n v="72"/>
  </r>
  <r>
    <x v="53"/>
    <x v="472"/>
    <x v="53"/>
    <x v="1"/>
    <x v="89"/>
    <n v="1"/>
    <n v="10.000999999999999"/>
    <n v="23.98"/>
  </r>
  <r>
    <x v="54"/>
    <x v="473"/>
    <x v="54"/>
    <x v="1"/>
    <x v="144"/>
    <n v="1"/>
    <n v="0.12"/>
    <n v="0.75"/>
  </r>
  <r>
    <x v="54"/>
    <x v="474"/>
    <x v="54"/>
    <x v="1"/>
    <x v="14"/>
    <n v="1"/>
    <n v="4.4400000000000004"/>
    <n v="16"/>
  </r>
  <r>
    <x v="54"/>
    <x v="475"/>
    <x v="54"/>
    <x v="0"/>
    <x v="2"/>
    <n v="1"/>
    <n v="82"/>
    <n v="322"/>
  </r>
  <r>
    <x v="55"/>
    <x v="476"/>
    <x v="55"/>
    <x v="1"/>
    <x v="306"/>
    <n v="1"/>
    <n v="41.454000000000001"/>
    <n v="170"/>
  </r>
  <r>
    <x v="55"/>
    <x v="477"/>
    <x v="55"/>
    <x v="1"/>
    <x v="7"/>
    <n v="1"/>
    <n v="3.31"/>
    <n v="10.199999999999999"/>
  </r>
  <r>
    <x v="56"/>
    <x v="478"/>
    <x v="56"/>
    <x v="1"/>
    <x v="293"/>
    <n v="1"/>
    <n v="1.216"/>
    <n v="2.5"/>
  </r>
  <r>
    <x v="56"/>
    <x v="479"/>
    <x v="56"/>
    <x v="1"/>
    <x v="307"/>
    <n v="1"/>
    <n v="0.29199999999999998"/>
    <n v="1"/>
  </r>
  <r>
    <x v="56"/>
    <x v="480"/>
    <x v="56"/>
    <x v="3"/>
    <x v="96"/>
    <n v="1"/>
    <n v="3.75"/>
    <n v="11.43"/>
  </r>
  <r>
    <x v="57"/>
    <x v="481"/>
    <x v="57"/>
    <x v="1"/>
    <x v="159"/>
    <n v="1"/>
    <n v="1.07"/>
    <n v="1.0649999999999999"/>
  </r>
  <r>
    <x v="57"/>
    <x v="482"/>
    <x v="57"/>
    <x v="1"/>
    <x v="100"/>
    <n v="1"/>
    <n v="0.39400000000000002"/>
    <n v="1"/>
  </r>
  <r>
    <x v="58"/>
    <x v="483"/>
    <x v="58"/>
    <x v="1"/>
    <x v="308"/>
    <n v="1"/>
    <n v="1.28"/>
    <n v="3.5"/>
  </r>
  <r>
    <x v="58"/>
    <x v="484"/>
    <x v="58"/>
    <x v="1"/>
    <x v="2"/>
    <n v="1"/>
    <n v="29.571999999999999"/>
    <n v="95"/>
  </r>
  <r>
    <x v="58"/>
    <x v="485"/>
    <x v="58"/>
    <x v="1"/>
    <x v="309"/>
    <n v="1"/>
    <n v="16.86"/>
    <n v="61.917999999999999"/>
  </r>
  <r>
    <x v="59"/>
    <x v="486"/>
    <x v="59"/>
    <x v="1"/>
    <x v="111"/>
    <n v="1"/>
    <n v="0.66"/>
    <n v="3.2"/>
  </r>
  <r>
    <x v="59"/>
    <x v="487"/>
    <x v="59"/>
    <x v="1"/>
    <x v="309"/>
    <n v="1"/>
    <n v="1.59"/>
    <n v="8.32"/>
  </r>
  <r>
    <x v="60"/>
    <x v="488"/>
    <x v="60"/>
    <x v="1"/>
    <x v="31"/>
    <n v="1"/>
    <n v="0.27200000000000002"/>
    <n v="0.6"/>
  </r>
  <r>
    <x v="60"/>
    <x v="489"/>
    <x v="60"/>
    <x v="1"/>
    <x v="7"/>
    <n v="1"/>
    <n v="7.03"/>
    <n v="33"/>
  </r>
  <r>
    <x v="60"/>
    <x v="490"/>
    <x v="60"/>
    <x v="1"/>
    <x v="3"/>
    <n v="1"/>
    <n v="27.33"/>
    <n v="112"/>
  </r>
  <r>
    <x v="60"/>
    <x v="491"/>
    <x v="60"/>
    <x v="1"/>
    <x v="310"/>
    <n v="1"/>
    <n v="20.55"/>
    <n v="97.96"/>
  </r>
  <r>
    <x v="60"/>
    <x v="492"/>
    <x v="60"/>
    <x v="1"/>
    <x v="311"/>
    <n v="1"/>
    <n v="7.98"/>
    <n v="40.26"/>
  </r>
  <r>
    <x v="60"/>
    <x v="493"/>
    <x v="60"/>
    <x v="1"/>
    <x v="311"/>
    <n v="1"/>
    <n v="7.12"/>
    <n v="40.159999999999997"/>
  </r>
  <r>
    <x v="60"/>
    <x v="494"/>
    <x v="60"/>
    <x v="8"/>
    <x v="194"/>
    <n v="1"/>
    <n v="3.03"/>
    <n v="22"/>
  </r>
  <r>
    <x v="60"/>
    <x v="495"/>
    <x v="60"/>
    <x v="1"/>
    <x v="312"/>
    <n v="1"/>
    <n v="35.630000000000003"/>
    <n v="151"/>
  </r>
  <r>
    <x v="60"/>
    <x v="496"/>
    <x v="60"/>
    <x v="1"/>
    <x v="2"/>
    <n v="1"/>
    <n v="30.1"/>
    <n v="137"/>
  </r>
  <r>
    <x v="60"/>
    <x v="497"/>
    <x v="60"/>
    <x v="0"/>
    <x v="313"/>
    <n v="1"/>
    <n v="27.234000000000002"/>
    <n v="80"/>
  </r>
  <r>
    <x v="60"/>
    <x v="498"/>
    <x v="60"/>
    <x v="1"/>
    <x v="314"/>
    <n v="1"/>
    <n v="6.7439999999999998"/>
    <n v="18"/>
  </r>
  <r>
    <x v="60"/>
    <x v="499"/>
    <x v="60"/>
    <x v="1"/>
    <x v="315"/>
    <n v="1"/>
    <n v="2.74"/>
    <n v="5.74"/>
  </r>
  <r>
    <x v="60"/>
    <x v="500"/>
    <x v="60"/>
    <x v="1"/>
    <x v="316"/>
    <n v="1"/>
    <n v="15"/>
    <n v="25"/>
  </r>
  <r>
    <x v="61"/>
    <x v="501"/>
    <x v="61"/>
    <x v="0"/>
    <x v="12"/>
    <n v="1"/>
    <n v="672"/>
    <n v="2516"/>
  </r>
  <r>
    <x v="62"/>
    <x v="502"/>
    <x v="62"/>
    <x v="1"/>
    <x v="317"/>
    <n v="1"/>
    <n v="22.92"/>
    <n v="78"/>
  </r>
  <r>
    <x v="62"/>
    <x v="503"/>
    <x v="62"/>
    <x v="1"/>
    <x v="7"/>
    <n v="1"/>
    <n v="12.298999999999999"/>
    <n v="36"/>
  </r>
  <r>
    <x v="62"/>
    <x v="504"/>
    <x v="62"/>
    <x v="3"/>
    <x v="318"/>
    <n v="1"/>
    <n v="11.933999999999999"/>
    <n v="36.094999999999999"/>
  </r>
  <r>
    <x v="63"/>
    <x v="505"/>
    <x v="63"/>
    <x v="0"/>
    <x v="319"/>
    <n v="1"/>
    <n v="52"/>
    <n v="225.34"/>
  </r>
  <r>
    <x v="64"/>
    <x v="506"/>
    <x v="64"/>
    <x v="0"/>
    <x v="320"/>
    <n v="1"/>
    <n v="275.52"/>
    <n v="881.21"/>
  </r>
  <r>
    <x v="64"/>
    <x v="507"/>
    <x v="64"/>
    <x v="1"/>
    <x v="321"/>
    <n v="1"/>
    <n v="46.11"/>
    <n v="150.61000000000001"/>
  </r>
  <r>
    <x v="64"/>
    <x v="508"/>
    <x v="64"/>
    <x v="3"/>
    <x v="303"/>
    <n v="1"/>
    <n v="21.27"/>
    <n v="58.48"/>
  </r>
  <r>
    <x v="64"/>
    <x v="509"/>
    <x v="64"/>
    <x v="3"/>
    <x v="154"/>
    <n v="1"/>
    <n v="1.584000000000000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5" minRefreshableVersion="3" useAutoFormatting="1" itemPrintTitles="1" createdVersion="4" indent="0" outline="1" outlineData="1" multipleFieldFilters="0" rowHeaderCaption=" IBBS(1) - 3. Düzey">
  <location ref="B3:I582" firstHeaderRow="0" firstDataRow="1" firstDataCol="5"/>
  <pivotFields count="8">
    <pivotField axis="axisRow" outline="0" showAll="0" defaultSubtota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66"/>
        <item x="63"/>
        <item m="1" x="65"/>
        <item x="64"/>
        <item x="28"/>
      </items>
    </pivotField>
    <pivotField axis="axisRow" outline="0" showAll="0" defaultSubtotal="0">
      <items count="530">
        <item x="286"/>
        <item x="369"/>
        <item x="54"/>
        <item x="482"/>
        <item x="325"/>
        <item x="219"/>
        <item x="220"/>
        <item x="481"/>
        <item x="7"/>
        <item x="2"/>
        <item x="44"/>
        <item x="248"/>
        <item x="8"/>
        <item x="397"/>
        <item x="403"/>
        <item x="355"/>
        <item x="360"/>
        <item x="333"/>
        <item x="287"/>
        <item x="344"/>
        <item x="461"/>
        <item x="404"/>
        <item x="85"/>
        <item x="405"/>
        <item x="86"/>
        <item x="506"/>
        <item x="221"/>
        <item x="87"/>
        <item x="154"/>
        <item x="334"/>
        <item x="314"/>
        <item x="288"/>
        <item x="383"/>
        <item x="289"/>
        <item x="315"/>
        <item x="420"/>
        <item x="384"/>
        <item x="442"/>
        <item x="335"/>
        <item x="18"/>
        <item x="19"/>
        <item x="20"/>
        <item x="21"/>
        <item x="22"/>
        <item m="1" x="518"/>
        <item x="203"/>
        <item x="155"/>
        <item x="256"/>
        <item x="370"/>
        <item x="131"/>
        <item x="23"/>
        <item x="484"/>
        <item x="430"/>
        <item x="290"/>
        <item x="77"/>
        <item x="291"/>
        <item x="508"/>
        <item x="247"/>
        <item x="3"/>
        <item x="439"/>
        <item x="440"/>
        <item x="204"/>
        <item x="486"/>
        <item x="275"/>
        <item x="130"/>
        <item x="9"/>
        <item x="10"/>
        <item x="249"/>
        <item x="488"/>
        <item m="1" x="521"/>
        <item x="222"/>
        <item x="501"/>
        <item x="132"/>
        <item x="45"/>
        <item x="257"/>
        <item x="74"/>
        <item x="326"/>
        <item x="48"/>
        <item x="88"/>
        <item x="489"/>
        <item x="490"/>
        <item x="336"/>
        <item x="49"/>
        <item x="209"/>
        <item x="398"/>
        <item x="443"/>
        <item x="385"/>
        <item x="292"/>
        <item x="63"/>
        <item x="371"/>
        <item x="186"/>
        <item x="11"/>
        <item x="293"/>
        <item m="1" x="527"/>
        <item x="504"/>
        <item x="294"/>
        <item x="386"/>
        <item x="431"/>
        <item x="137"/>
        <item x="6"/>
        <item x="24"/>
        <item x="432"/>
        <item x="202"/>
        <item x="295"/>
        <item x="210"/>
        <item x="216"/>
        <item x="212"/>
        <item x="296"/>
        <item x="297"/>
        <item x="261"/>
        <item x="156"/>
        <item x="1"/>
        <item x="106"/>
        <item x="64"/>
        <item x="473"/>
        <item x="89"/>
        <item x="226"/>
        <item x="70"/>
        <item m="1" x="513"/>
        <item x="58"/>
        <item x="337"/>
        <item x="387"/>
        <item x="338"/>
        <item x="227"/>
        <item x="111"/>
        <item x="108"/>
        <item x="141"/>
        <item x="78"/>
        <item x="79"/>
        <item x="50"/>
        <item x="327"/>
        <item x="12"/>
        <item x="59"/>
        <item x="98"/>
        <item x="184"/>
        <item x="157"/>
        <item x="13"/>
        <item x="73"/>
        <item x="356"/>
        <item x="455"/>
        <item x="37"/>
        <item x="90"/>
        <item x="30"/>
        <item x="474"/>
        <item x="133"/>
        <item x="388"/>
        <item x="14"/>
        <item x="56"/>
        <item x="491"/>
        <item x="339"/>
        <item x="406"/>
        <item x="276"/>
        <item x="277"/>
        <item m="1" x="519"/>
        <item x="62"/>
        <item x="15"/>
        <item x="38"/>
        <item x="32"/>
        <item x="112"/>
        <item x="113"/>
        <item x="234"/>
        <item x="235"/>
        <item m="1" x="524"/>
        <item m="1" x="526"/>
        <item x="187"/>
        <item x="244"/>
        <item x="389"/>
        <item x="390"/>
        <item x="258"/>
        <item x="454"/>
        <item x="462"/>
        <item x="76"/>
        <item x="382"/>
        <item x="407"/>
        <item x="91"/>
        <item x="26"/>
        <item x="25"/>
        <item x="114"/>
        <item x="115"/>
        <item x="4"/>
        <item x="17"/>
        <item x="399"/>
        <item x="158"/>
        <item x="505"/>
        <item x="449"/>
        <item x="340"/>
        <item x="408"/>
        <item x="492"/>
        <item x="330"/>
        <item m="1" x="517"/>
        <item x="428"/>
        <item x="134"/>
        <item x="110"/>
        <item x="194"/>
        <item x="159"/>
        <item x="240"/>
        <item x="69"/>
        <item x="27"/>
        <item x="223"/>
        <item x="0"/>
        <item x="39"/>
        <item x="40"/>
        <item x="457"/>
        <item x="409"/>
        <item x="298"/>
        <item x="80"/>
        <item x="160"/>
        <item x="299"/>
        <item x="378"/>
        <item x="259"/>
        <item x="400"/>
        <item x="458"/>
        <item x="161"/>
        <item x="379"/>
        <item x="200"/>
        <item x="53"/>
        <item x="205"/>
        <item x="57"/>
        <item x="60"/>
        <item x="421"/>
        <item x="463"/>
        <item x="464"/>
        <item x="188"/>
        <item x="300"/>
        <item x="328"/>
        <item x="368"/>
        <item x="272"/>
        <item x="372"/>
        <item x="35"/>
        <item x="72"/>
        <item x="36"/>
        <item x="391"/>
        <item x="341"/>
        <item x="493"/>
        <item x="278"/>
        <item x="162"/>
        <item x="373"/>
        <item x="189"/>
        <item x="71"/>
        <item x="342"/>
        <item x="343"/>
        <item x="410"/>
        <item x="480"/>
        <item x="163"/>
        <item x="164"/>
        <item x="172"/>
        <item x="185"/>
        <item x="65"/>
        <item x="165"/>
        <item x="411"/>
        <item x="412"/>
        <item x="413"/>
        <item x="414"/>
        <item x="433"/>
        <item x="166"/>
        <item x="487"/>
        <item x="167"/>
        <item x="28"/>
        <item x="116"/>
        <item x="66"/>
        <item x="246"/>
        <item x="345"/>
        <item x="31"/>
        <item x="434"/>
        <item x="465"/>
        <item x="459"/>
        <item x="301"/>
        <item x="81"/>
        <item m="1" x="528"/>
        <item x="168"/>
        <item x="346"/>
        <item x="485"/>
        <item x="152"/>
        <item x="117"/>
        <item x="51"/>
        <item x="507"/>
        <item m="1" x="525"/>
        <item x="347"/>
        <item m="1" x="512"/>
        <item x="357"/>
        <item x="224"/>
        <item x="494"/>
        <item x="105"/>
        <item m="1" x="515"/>
        <item x="228"/>
        <item x="169"/>
        <item x="118"/>
        <item x="92"/>
        <item x="61"/>
        <item x="119"/>
        <item x="67"/>
        <item x="401"/>
        <item x="195"/>
        <item x="170"/>
        <item x="502"/>
        <item x="503"/>
        <item x="262"/>
        <item x="120"/>
        <item m="1" x="523"/>
        <item x="150"/>
        <item x="93"/>
        <item x="260"/>
        <item x="135"/>
        <item x="478"/>
        <item x="302"/>
        <item x="121"/>
        <item x="122"/>
        <item x="429"/>
        <item m="1" x="516"/>
        <item x="450"/>
        <item x="279"/>
        <item x="213"/>
        <item x="402"/>
        <item x="476"/>
        <item x="331"/>
        <item x="495"/>
        <item x="348"/>
        <item x="392"/>
        <item x="229"/>
        <item x="444"/>
        <item x="263"/>
        <item x="329"/>
        <item x="303"/>
        <item x="280"/>
        <item x="483"/>
        <item x="136"/>
        <item x="41"/>
        <item m="1" x="529"/>
        <item x="349"/>
        <item x="415"/>
        <item x="138"/>
        <item x="55"/>
        <item x="393"/>
        <item x="68"/>
        <item x="52"/>
        <item x="496"/>
        <item x="208"/>
        <item x="273"/>
        <item x="245"/>
        <item m="1" x="522"/>
        <item x="230"/>
        <item x="171"/>
        <item x="139"/>
        <item x="264"/>
        <item x="190"/>
        <item x="470"/>
        <item x="460"/>
        <item x="231"/>
        <item x="380"/>
        <item x="206"/>
        <item x="140"/>
        <item x="477"/>
        <item x="191"/>
        <item x="304"/>
        <item x="305"/>
        <item x="192"/>
        <item x="445"/>
        <item x="374"/>
        <item x="446"/>
        <item x="447"/>
        <item x="225"/>
        <item x="466"/>
        <item x="416"/>
        <item x="497"/>
        <item x="5"/>
        <item x="218"/>
        <item x="350"/>
        <item x="451"/>
        <item x="437"/>
        <item x="153"/>
        <item x="94"/>
        <item x="306"/>
        <item x="42"/>
        <item x="34"/>
        <item x="173"/>
        <item x="351"/>
        <item x="107"/>
        <item x="498"/>
        <item x="174"/>
        <item x="281"/>
        <item x="469"/>
        <item x="175"/>
        <item x="241"/>
        <item x="176"/>
        <item x="352"/>
        <item m="1" x="511"/>
        <item x="95"/>
        <item x="96"/>
        <item x="456"/>
        <item x="358"/>
        <item x="307"/>
        <item x="177"/>
        <item x="123"/>
        <item x="422"/>
        <item x="353"/>
        <item x="265"/>
        <item x="84"/>
        <item x="207"/>
        <item x="417"/>
        <item x="232"/>
        <item x="43"/>
        <item m="1" x="510"/>
        <item m="1" x="514"/>
        <item x="475"/>
        <item x="375"/>
        <item x="376"/>
        <item x="196"/>
        <item x="316"/>
        <item x="308"/>
        <item x="309"/>
        <item x="178"/>
        <item x="435"/>
        <item x="479"/>
        <item x="285"/>
        <item x="310"/>
        <item x="311"/>
        <item x="214"/>
        <item x="236"/>
        <item x="243"/>
        <item x="193"/>
        <item x="125"/>
        <item x="124"/>
        <item x="211"/>
        <item x="97"/>
        <item x="282"/>
        <item x="283"/>
        <item x="179"/>
        <item x="250"/>
        <item x="284"/>
        <item x="394"/>
        <item x="109"/>
        <item x="255"/>
        <item x="142"/>
        <item x="418"/>
        <item x="419"/>
        <item x="126"/>
        <item x="471"/>
        <item x="233"/>
        <item x="266"/>
        <item x="381"/>
        <item x="151"/>
        <item x="441"/>
        <item x="312"/>
        <item x="377"/>
        <item x="313"/>
        <item x="436"/>
        <item x="354"/>
        <item x="251"/>
        <item x="215"/>
        <item x="359"/>
        <item m="1" x="520"/>
        <item x="180"/>
        <item x="16"/>
        <item x="29"/>
        <item x="33"/>
        <item x="46"/>
        <item x="47"/>
        <item x="75"/>
        <item x="82"/>
        <item x="83"/>
        <item x="99"/>
        <item x="100"/>
        <item x="101"/>
        <item x="102"/>
        <item x="103"/>
        <item x="104"/>
        <item x="127"/>
        <item x="128"/>
        <item x="129"/>
        <item x="143"/>
        <item x="144"/>
        <item x="145"/>
        <item x="146"/>
        <item x="147"/>
        <item x="148"/>
        <item x="149"/>
        <item x="181"/>
        <item x="182"/>
        <item x="183"/>
        <item x="197"/>
        <item x="198"/>
        <item x="199"/>
        <item x="201"/>
        <item x="217"/>
        <item x="237"/>
        <item x="238"/>
        <item x="239"/>
        <item x="242"/>
        <item x="252"/>
        <item x="253"/>
        <item x="254"/>
        <item x="267"/>
        <item x="268"/>
        <item x="269"/>
        <item x="270"/>
        <item x="271"/>
        <item x="274"/>
        <item x="317"/>
        <item x="318"/>
        <item x="319"/>
        <item x="320"/>
        <item x="321"/>
        <item x="322"/>
        <item x="323"/>
        <item x="324"/>
        <item x="332"/>
        <item x="361"/>
        <item x="362"/>
        <item x="363"/>
        <item x="364"/>
        <item x="365"/>
        <item x="366"/>
        <item x="367"/>
        <item x="395"/>
        <item x="396"/>
        <item x="423"/>
        <item x="424"/>
        <item x="425"/>
        <item x="426"/>
        <item x="427"/>
        <item x="438"/>
        <item x="448"/>
        <item x="452"/>
        <item x="453"/>
        <item x="467"/>
        <item x="468"/>
        <item x="472"/>
        <item x="499"/>
        <item x="500"/>
        <item x="509"/>
      </items>
    </pivotField>
    <pivotField axis="axisRow" outline="0" showAll="0">
      <items count="68">
        <item x="18"/>
        <item x="60"/>
        <item x="4"/>
        <item x="38"/>
        <item x="13"/>
        <item x="16"/>
        <item x="50"/>
        <item x="43"/>
        <item x="1"/>
        <item x="0"/>
        <item x="31"/>
        <item x="63"/>
        <item x="47"/>
        <item x="8"/>
        <item x="53"/>
        <item x="57"/>
        <item x="12"/>
        <item x="6"/>
        <item x="33"/>
        <item x="37"/>
        <item x="2"/>
        <item x="62"/>
        <item x="11"/>
        <item x="52"/>
        <item x="46"/>
        <item x="45"/>
        <item x="7"/>
        <item x="59"/>
        <item x="41"/>
        <item x="44"/>
        <item x="58"/>
        <item x="20"/>
        <item x="49"/>
        <item x="17"/>
        <item x="21"/>
        <item x="30"/>
        <item x="15"/>
        <item x="48"/>
        <item x="32"/>
        <item x="26"/>
        <item x="23"/>
        <item x="9"/>
        <item x="14"/>
        <item x="5"/>
        <item x="51"/>
        <item m="1" x="66"/>
        <item x="19"/>
        <item x="3"/>
        <item x="56"/>
        <item x="25"/>
        <item x="24"/>
        <item x="40"/>
        <item x="22"/>
        <item x="42"/>
        <item x="10"/>
        <item x="35"/>
        <item x="64"/>
        <item x="34"/>
        <item x="27"/>
        <item x="61"/>
        <item m="1" x="65"/>
        <item x="36"/>
        <item x="39"/>
        <item x="54"/>
        <item x="55"/>
        <item x="29"/>
        <item x="28"/>
        <item t="default"/>
      </items>
    </pivotField>
    <pivotField axis="axisRow" outline="0" showAll="0" defaultSubtotal="0">
      <items count="9">
        <item x="0"/>
        <item x="5"/>
        <item x="8"/>
        <item x="1"/>
        <item x="3"/>
        <item x="6"/>
        <item x="2"/>
        <item x="7"/>
        <item x="4"/>
      </items>
    </pivotField>
    <pivotField axis="axisRow" showAll="0">
      <items count="344">
        <item x="138"/>
        <item x="139"/>
        <item x="190"/>
        <item x="56"/>
        <item x="32"/>
        <item x="159"/>
        <item x="22"/>
        <item x="35"/>
        <item x="103"/>
        <item x="121"/>
        <item x="31"/>
        <item x="154"/>
        <item x="54"/>
        <item x="19"/>
        <item x="144"/>
        <item x="62"/>
        <item m="1" x="323"/>
        <item x="132"/>
        <item x="293"/>
        <item x="100"/>
        <item x="307"/>
        <item x="308"/>
        <item x="99"/>
        <item x="53"/>
        <item m="1" x="335"/>
        <item m="1" x="324"/>
        <item x="261"/>
        <item x="52"/>
        <item x="74"/>
        <item x="75"/>
        <item m="1" x="327"/>
        <item x="38"/>
        <item x="72"/>
        <item x="91"/>
        <item x="6"/>
        <item x="0"/>
        <item x="11"/>
        <item x="12"/>
        <item x="4"/>
        <item x="13"/>
        <item x="14"/>
        <item x="3"/>
        <item x="46"/>
        <item x="1"/>
        <item x="105"/>
        <item x="15"/>
        <item x="2"/>
        <item x="7"/>
        <item m="1" x="338"/>
        <item m="1" x="329"/>
        <item m="1" x="339"/>
        <item m="1" x="325"/>
        <item x="123"/>
        <item x="172"/>
        <item m="1" x="336"/>
        <item m="1" x="326"/>
        <item x="50"/>
        <item x="134"/>
        <item x="291"/>
        <item x="183"/>
        <item x="108"/>
        <item x="140"/>
        <item x="188"/>
        <item x="179"/>
        <item x="320"/>
        <item x="16"/>
        <item x="256"/>
        <item x="34"/>
        <item x="155"/>
        <item x="194"/>
        <item x="200"/>
        <item x="201"/>
        <item x="76"/>
        <item x="40"/>
        <item x="173"/>
        <item x="20"/>
        <item x="301"/>
        <item x="26"/>
        <item x="39"/>
        <item x="107"/>
        <item x="281"/>
        <item x="41"/>
        <item x="193"/>
        <item x="266"/>
        <item x="210"/>
        <item x="310"/>
        <item x="63"/>
        <item x="227"/>
        <item x="88"/>
        <item x="195"/>
        <item x="60"/>
        <item x="248"/>
        <item x="171"/>
        <item x="203"/>
        <item x="81"/>
        <item x="111"/>
        <item x="228"/>
        <item x="234"/>
        <item x="117"/>
        <item x="294"/>
        <item x="197"/>
        <item x="115"/>
        <item x="9"/>
        <item x="57"/>
        <item x="309"/>
        <item x="262"/>
        <item x="169"/>
        <item x="61"/>
        <item x="275"/>
        <item x="137"/>
        <item x="44"/>
        <item x="198"/>
        <item x="314"/>
        <item x="270"/>
        <item x="239"/>
        <item x="211"/>
        <item x="202"/>
        <item x="255"/>
        <item x="174"/>
        <item x="64"/>
        <item x="241"/>
        <item x="187"/>
        <item x="59"/>
        <item x="209"/>
        <item x="43"/>
        <item x="92"/>
        <item x="186"/>
        <item x="184"/>
        <item x="146"/>
        <item x="116"/>
        <item x="230"/>
        <item x="24"/>
        <item x="84"/>
        <item x="87"/>
        <item x="236"/>
        <item x="45"/>
        <item x="182"/>
        <item x="17"/>
        <item x="205"/>
        <item x="80"/>
        <item x="83"/>
        <item x="223"/>
        <item x="110"/>
        <item x="192"/>
        <item x="135"/>
        <item x="79"/>
        <item x="133"/>
        <item x="33"/>
        <item x="242"/>
        <item x="269"/>
        <item x="66"/>
        <item x="204"/>
        <item x="207"/>
        <item x="254"/>
        <item x="272"/>
        <item x="305"/>
        <item x="208"/>
        <item x="69"/>
        <item x="145"/>
        <item x="85"/>
        <item x="231"/>
        <item x="23"/>
        <item x="271"/>
        <item x="122"/>
        <item x="25"/>
        <item x="160"/>
        <item x="8"/>
        <item x="229"/>
        <item x="5"/>
        <item x="109"/>
        <item x="221"/>
        <item x="206"/>
        <item x="224"/>
        <item x="78"/>
        <item x="321"/>
        <item x="199"/>
        <item x="213"/>
        <item x="150"/>
        <item x="70"/>
        <item x="29"/>
        <item x="302"/>
        <item x="296"/>
        <item x="96"/>
        <item x="77"/>
        <item x="285"/>
        <item x="42"/>
        <item x="142"/>
        <item x="286"/>
        <item x="162"/>
        <item x="284"/>
        <item x="273"/>
        <item x="246"/>
        <item x="127"/>
        <item x="245"/>
        <item x="28"/>
        <item x="259"/>
        <item x="214"/>
        <item x="225"/>
        <item x="243"/>
        <item x="37"/>
        <item x="232"/>
        <item x="226"/>
        <item x="257"/>
        <item x="247"/>
        <item x="126"/>
        <item x="128"/>
        <item x="151"/>
        <item x="149"/>
        <item x="212"/>
        <item x="318"/>
        <item x="158"/>
        <item x="258"/>
        <item x="97"/>
        <item x="260"/>
        <item x="73"/>
        <item m="1" x="330"/>
        <item m="1" x="334"/>
        <item m="1" x="332"/>
        <item m="1" x="341"/>
        <item m="1" x="342"/>
        <item m="1" x="331"/>
        <item m="1" x="328"/>
        <item m="1" x="333"/>
        <item m="1" x="340"/>
        <item m="1" x="337"/>
        <item x="98"/>
        <item x="297"/>
        <item x="10"/>
        <item x="18"/>
        <item x="21"/>
        <item x="27"/>
        <item x="30"/>
        <item x="36"/>
        <item x="47"/>
        <item x="48"/>
        <item x="49"/>
        <item x="51"/>
        <item x="55"/>
        <item x="58"/>
        <item x="65"/>
        <item x="67"/>
        <item x="68"/>
        <item x="71"/>
        <item x="82"/>
        <item x="86"/>
        <item x="89"/>
        <item x="90"/>
        <item x="93"/>
        <item x="94"/>
        <item x="95"/>
        <item x="101"/>
        <item x="102"/>
        <item x="104"/>
        <item x="106"/>
        <item x="112"/>
        <item x="113"/>
        <item x="114"/>
        <item x="118"/>
        <item x="119"/>
        <item x="120"/>
        <item x="124"/>
        <item x="125"/>
        <item x="129"/>
        <item x="130"/>
        <item x="131"/>
        <item x="136"/>
        <item x="141"/>
        <item x="143"/>
        <item x="147"/>
        <item x="148"/>
        <item x="152"/>
        <item x="153"/>
        <item x="156"/>
        <item x="157"/>
        <item x="161"/>
        <item x="163"/>
        <item x="164"/>
        <item x="165"/>
        <item x="166"/>
        <item x="167"/>
        <item x="168"/>
        <item x="170"/>
        <item x="175"/>
        <item x="176"/>
        <item x="177"/>
        <item x="178"/>
        <item x="180"/>
        <item x="181"/>
        <item x="185"/>
        <item x="189"/>
        <item x="191"/>
        <item x="196"/>
        <item x="215"/>
        <item x="216"/>
        <item x="217"/>
        <item x="218"/>
        <item x="219"/>
        <item x="220"/>
        <item x="222"/>
        <item x="233"/>
        <item x="235"/>
        <item x="237"/>
        <item x="238"/>
        <item x="240"/>
        <item x="244"/>
        <item x="249"/>
        <item x="250"/>
        <item x="251"/>
        <item x="252"/>
        <item x="253"/>
        <item x="263"/>
        <item x="264"/>
        <item x="265"/>
        <item x="267"/>
        <item x="268"/>
        <item x="274"/>
        <item x="276"/>
        <item x="277"/>
        <item x="278"/>
        <item x="279"/>
        <item x="280"/>
        <item x="282"/>
        <item x="283"/>
        <item x="287"/>
        <item x="288"/>
        <item x="289"/>
        <item x="290"/>
        <item x="292"/>
        <item x="295"/>
        <item x="298"/>
        <item x="299"/>
        <item x="300"/>
        <item x="303"/>
        <item x="304"/>
        <item m="1" x="322"/>
        <item x="306"/>
        <item x="311"/>
        <item x="312"/>
        <item x="313"/>
        <item x="315"/>
        <item x="316"/>
        <item x="317"/>
        <item x="319"/>
        <item t="default"/>
      </items>
    </pivotField>
    <pivotField dataField="1" showAll="0" defaultSubtotal="0"/>
    <pivotField dataField="1" showAll="0"/>
    <pivotField dataField="1" showAll="0"/>
  </pivotFields>
  <rowFields count="5">
    <field x="0"/>
    <field x="2"/>
    <field x="1"/>
    <field x="3"/>
    <field x="4"/>
  </rowFields>
  <rowItems count="579">
    <i>
      <x/>
      <x v="9"/>
      <x v="111"/>
      <x/>
      <x v="43"/>
    </i>
    <i r="2">
      <x v="199"/>
      <x/>
      <x v="35"/>
    </i>
    <i t="default" r="1">
      <x v="9"/>
    </i>
    <i>
      <x v="1"/>
      <x v="8"/>
      <x v="9"/>
      <x v="3"/>
      <x v="46"/>
    </i>
    <i r="2">
      <x v="58"/>
      <x v="3"/>
      <x v="43"/>
    </i>
    <i r="2">
      <x v="179"/>
      <x v="3"/>
      <x v="41"/>
    </i>
    <i r="2">
      <x v="364"/>
      <x v="3"/>
      <x v="46"/>
    </i>
    <i t="default" r="1">
      <x v="8"/>
    </i>
    <i>
      <x v="2"/>
      <x v="20"/>
      <x v="8"/>
      <x v="3"/>
      <x v="168"/>
    </i>
    <i r="2">
      <x v="12"/>
      <x v="3"/>
      <x v="168"/>
    </i>
    <i r="2">
      <x v="65"/>
      <x v="3"/>
      <x v="34"/>
    </i>
    <i r="2">
      <x v="66"/>
      <x v="3"/>
      <x v="34"/>
    </i>
    <i r="2">
      <x v="91"/>
      <x/>
      <x v="47"/>
    </i>
    <i r="2">
      <x v="99"/>
      <x v="3"/>
      <x v="38"/>
    </i>
    <i r="2">
      <x v="131"/>
      <x v="3"/>
      <x v="166"/>
    </i>
    <i r="2">
      <x v="136"/>
      <x v="3"/>
      <x v="102"/>
    </i>
    <i r="2">
      <x v="146"/>
      <x v="3"/>
      <x v="47"/>
    </i>
    <i r="2">
      <x v="155"/>
      <x v="3"/>
      <x v="46"/>
    </i>
    <i r="2">
      <x v="452"/>
      <x/>
      <x v="227"/>
    </i>
    <i t="default" r="1">
      <x v="20"/>
    </i>
    <i>
      <x v="3"/>
      <x v="47"/>
      <x v="39"/>
      <x v="3"/>
      <x v="37"/>
    </i>
    <i r="2">
      <x v="40"/>
      <x v="3"/>
      <x v="38"/>
    </i>
    <i r="2">
      <x v="41"/>
      <x v="3"/>
      <x v="39"/>
    </i>
    <i r="2">
      <x v="42"/>
      <x v="3"/>
      <x v="39"/>
    </i>
    <i r="2">
      <x v="43"/>
      <x v="3"/>
      <x v="40"/>
    </i>
    <i r="2">
      <x v="50"/>
      <x v="3"/>
      <x v="35"/>
    </i>
    <i r="2">
      <x v="100"/>
      <x v="3"/>
      <x v="45"/>
    </i>
    <i r="2">
      <x v="175"/>
      <x v="3"/>
      <x v="39"/>
    </i>
    <i r="2">
      <x v="176"/>
      <x/>
      <x v="65"/>
    </i>
    <i r="2">
      <x v="180"/>
      <x v="3"/>
      <x v="36"/>
    </i>
    <i r="2">
      <x v="197"/>
      <x v="3"/>
      <x v="43"/>
    </i>
    <i r="2">
      <x v="257"/>
      <x v="3"/>
      <x v="137"/>
    </i>
    <i r="2">
      <x v="453"/>
      <x v="3"/>
      <x v="228"/>
    </i>
    <i t="default" r="1">
      <x v="47"/>
    </i>
    <i>
      <x v="4"/>
      <x v="2"/>
      <x v="142"/>
      <x v="3"/>
      <x v="38"/>
    </i>
    <i t="default" r="1">
      <x v="2"/>
    </i>
    <i>
      <x v="5"/>
      <x v="43"/>
      <x v="157"/>
      <x v="3"/>
      <x v="75"/>
    </i>
    <i r="2">
      <x v="262"/>
      <x v="3"/>
      <x v="13"/>
    </i>
    <i r="2">
      <x v="454"/>
      <x v="3"/>
      <x v="229"/>
    </i>
    <i t="default" r="1">
      <x v="43"/>
    </i>
    <i>
      <x v="6"/>
      <x v="17"/>
      <x v="10"/>
      <x v="4"/>
      <x v="194"/>
    </i>
    <i r="2">
      <x v="73"/>
      <x/>
      <x v="179"/>
    </i>
    <i r="2">
      <x v="140"/>
      <x/>
      <x v="161"/>
    </i>
    <i r="2">
      <x v="156"/>
      <x v="3"/>
      <x v="46"/>
    </i>
    <i r="2">
      <x v="200"/>
      <x v="3"/>
      <x v="45"/>
    </i>
    <i r="2">
      <x v="201"/>
      <x v="3"/>
      <x v="131"/>
    </i>
    <i r="2">
      <x v="228"/>
      <x v="3"/>
      <x v="6"/>
    </i>
    <i r="2">
      <x v="230"/>
      <x v="3"/>
      <x v="6"/>
    </i>
    <i r="2">
      <x v="326"/>
      <x v="3"/>
      <x v="164"/>
    </i>
    <i r="2">
      <x v="372"/>
      <x v="3"/>
      <x v="77"/>
    </i>
    <i r="2">
      <x v="373"/>
      <x v="3"/>
      <x v="6"/>
    </i>
    <i r="2">
      <x v="400"/>
      <x v="6"/>
      <x v="230"/>
    </i>
    <i r="2">
      <x v="455"/>
      <x/>
      <x v="231"/>
    </i>
    <i t="default" r="1">
      <x v="17"/>
    </i>
    <i>
      <x v="7"/>
      <x v="26"/>
      <x v="456"/>
      <x/>
      <x v="10"/>
    </i>
    <i t="default" r="1">
      <x v="26"/>
    </i>
    <i>
      <x v="8"/>
      <x v="13"/>
      <x v="77"/>
      <x v="3"/>
      <x v="4"/>
    </i>
    <i r="2">
      <x v="82"/>
      <x v="3"/>
      <x v="147"/>
    </i>
    <i r="2">
      <x v="129"/>
      <x v="8"/>
      <x v="67"/>
    </i>
    <i t="default" r="1">
      <x v="13"/>
    </i>
    <i>
      <x v="9"/>
      <x v="41"/>
      <x v="274"/>
      <x v="3"/>
      <x v="4"/>
    </i>
    <i t="default" r="1">
      <x v="41"/>
    </i>
    <i>
      <x v="10"/>
      <x v="54"/>
      <x v="2"/>
      <x v="3"/>
      <x v="232"/>
    </i>
    <i r="2">
      <x v="147"/>
      <x v="4"/>
      <x v="199"/>
    </i>
    <i r="2">
      <x v="215"/>
      <x v="3"/>
      <x v="7"/>
    </i>
    <i r="2">
      <x v="331"/>
      <x v="3"/>
      <x v="37"/>
    </i>
    <i r="2">
      <x v="334"/>
      <x v="3"/>
      <x v="7"/>
    </i>
    <i t="default" r="1">
      <x v="54"/>
    </i>
    <i>
      <x v="11"/>
      <x v="22"/>
      <x v="119"/>
      <x v="3"/>
      <x v="78"/>
    </i>
    <i r="2">
      <x v="132"/>
      <x v="3"/>
      <x v="31"/>
    </i>
    <i r="2">
      <x v="154"/>
      <x v="4"/>
      <x v="185"/>
    </i>
    <i r="2">
      <x v="217"/>
      <x/>
      <x v="31"/>
    </i>
    <i r="2">
      <x v="218"/>
      <x v="3"/>
      <x v="73"/>
    </i>
    <i r="2">
      <x v="288"/>
      <x v="3"/>
      <x v="81"/>
    </i>
    <i t="default" r="1">
      <x v="22"/>
    </i>
    <i>
      <x v="12"/>
      <x v="16"/>
      <x v="88"/>
      <x v="3"/>
      <x v="124"/>
    </i>
    <i r="2">
      <x v="113"/>
      <x v="3"/>
      <x v="110"/>
    </i>
    <i r="2">
      <x v="196"/>
      <x v="3"/>
      <x v="235"/>
    </i>
    <i r="2">
      <x v="247"/>
      <x v="3"/>
      <x v="135"/>
    </i>
    <i r="2">
      <x v="259"/>
      <x v="3"/>
      <x v="42"/>
    </i>
    <i r="2">
      <x v="290"/>
      <x/>
      <x v="233"/>
    </i>
    <i r="2">
      <x v="333"/>
      <x v="3"/>
      <x v="234"/>
    </i>
    <i t="default" r="1">
      <x v="16"/>
    </i>
    <i>
      <x v="13"/>
      <x v="4"/>
      <x v="117"/>
      <x v="3"/>
      <x v="56"/>
    </i>
    <i r="2">
      <x v="238"/>
      <x v="3"/>
      <x v="236"/>
    </i>
    <i t="default" r="1">
      <x v="4"/>
    </i>
    <i>
      <x v="14"/>
      <x v="42"/>
      <x v="75"/>
      <x v="3"/>
      <x v="6"/>
    </i>
    <i r="2">
      <x v="137"/>
      <x v="3"/>
      <x v="23"/>
    </i>
    <i r="2">
      <x v="196"/>
      <x v="3"/>
      <x v="12"/>
    </i>
    <i r="2">
      <x v="229"/>
      <x v="3"/>
      <x v="27"/>
    </i>
    <i r="2">
      <x v="457"/>
      <x v="3"/>
      <x v="237"/>
    </i>
    <i t="default" r="1">
      <x v="42"/>
    </i>
    <i>
      <x v="15"/>
      <x v="36"/>
      <x v="54"/>
      <x/>
      <x v="103"/>
    </i>
    <i r="2">
      <x v="127"/>
      <x v="3"/>
      <x v="238"/>
    </i>
    <i r="2">
      <x v="128"/>
      <x v="3"/>
      <x v="122"/>
    </i>
    <i r="2">
      <x v="171"/>
      <x v="3"/>
      <x v="3"/>
    </i>
    <i r="2">
      <x v="205"/>
      <x/>
      <x v="90"/>
    </i>
    <i r="2">
      <x v="267"/>
      <x v="3"/>
      <x v="45"/>
    </i>
    <i r="2">
      <x v="458"/>
      <x v="3"/>
      <x v="90"/>
    </i>
    <i r="2">
      <x v="459"/>
      <x v="3"/>
      <x v="107"/>
    </i>
    <i t="default" r="1">
      <x v="36"/>
    </i>
    <i>
      <x v="16"/>
      <x v="5"/>
      <x v="22"/>
      <x v="3"/>
      <x v="43"/>
    </i>
    <i r="2">
      <x v="24"/>
      <x v="3"/>
      <x v="47"/>
    </i>
    <i r="2">
      <x v="27"/>
      <x v="3"/>
      <x v="86"/>
    </i>
    <i r="2">
      <x v="78"/>
      <x v="3"/>
      <x v="119"/>
    </i>
    <i r="2">
      <x v="115"/>
      <x v="3"/>
      <x v="239"/>
    </i>
    <i r="2">
      <x v="133"/>
      <x v="4"/>
      <x v="178"/>
    </i>
    <i r="2">
      <x v="141"/>
      <x/>
      <x v="47"/>
    </i>
    <i r="2">
      <x v="174"/>
      <x v="3"/>
      <x v="150"/>
    </i>
    <i r="2">
      <x v="287"/>
      <x v="3"/>
      <x v="240"/>
    </i>
    <i r="2">
      <x v="300"/>
      <x v="3"/>
      <x v="241"/>
    </i>
    <i r="2">
      <x v="370"/>
      <x v="3"/>
      <x v="43"/>
    </i>
    <i r="2">
      <x v="386"/>
      <x v="3"/>
      <x v="45"/>
    </i>
    <i r="2">
      <x v="387"/>
      <x/>
      <x v="46"/>
    </i>
    <i r="2">
      <x v="396"/>
      <x v="3"/>
      <x v="15"/>
    </i>
    <i r="2">
      <x v="423"/>
      <x v="3"/>
      <x v="157"/>
    </i>
    <i r="2">
      <x v="460"/>
      <x/>
      <x v="242"/>
    </i>
    <i r="2">
      <x v="461"/>
      <x/>
      <x v="32"/>
    </i>
    <i r="2">
      <x v="462"/>
      <x v="3"/>
      <x v="214"/>
    </i>
    <i r="2">
      <x v="463"/>
      <x v="3"/>
      <x v="10"/>
    </i>
    <i r="2">
      <x v="464"/>
      <x v="3"/>
      <x v="27"/>
    </i>
    <i r="2">
      <x v="465"/>
      <x v="3"/>
      <x v="28"/>
    </i>
    <i t="default" r="1">
      <x v="5"/>
    </i>
    <i>
      <x v="17"/>
      <x v="33"/>
      <x v="112"/>
      <x v="3"/>
      <x v="29"/>
    </i>
    <i r="2">
      <x v="125"/>
      <x v="3"/>
      <x v="72"/>
    </i>
    <i r="2">
      <x v="192"/>
      <x v="4"/>
      <x v="183"/>
    </i>
    <i r="2">
      <x v="282"/>
      <x v="1"/>
      <x v="13"/>
    </i>
    <i r="2">
      <x v="376"/>
      <x v="3"/>
      <x v="35"/>
    </i>
    <i r="2">
      <x v="430"/>
      <x v="3"/>
      <x v="46"/>
    </i>
    <i t="default" r="1">
      <x v="33"/>
    </i>
    <i>
      <x v="18"/>
      <x/>
      <x v="124"/>
      <x v="3"/>
      <x v="173"/>
    </i>
    <i r="2">
      <x v="158"/>
      <x v="3"/>
      <x v="145"/>
    </i>
    <i r="2">
      <x v="159"/>
      <x v="3"/>
      <x v="139"/>
    </i>
    <i r="2">
      <x v="177"/>
      <x v="3"/>
      <x v="94"/>
    </i>
    <i r="2">
      <x v="178"/>
      <x/>
      <x v="47"/>
    </i>
    <i r="2">
      <x v="258"/>
      <x/>
      <x v="243"/>
    </i>
    <i r="2">
      <x v="273"/>
      <x v="3"/>
      <x v="140"/>
    </i>
    <i r="2">
      <x v="286"/>
      <x v="3"/>
      <x v="46"/>
    </i>
    <i r="2">
      <x v="289"/>
      <x/>
      <x v="132"/>
    </i>
    <i r="2">
      <x v="297"/>
      <x/>
      <x v="159"/>
    </i>
    <i r="2">
      <x v="305"/>
      <x/>
      <x v="244"/>
    </i>
    <i r="2">
      <x v="306"/>
      <x v="3"/>
      <x v="43"/>
    </i>
    <i r="2">
      <x v="392"/>
      <x v="3"/>
      <x v="133"/>
    </i>
    <i r="2">
      <x v="420"/>
      <x/>
      <x v="107"/>
    </i>
    <i r="2">
      <x v="421"/>
      <x v="5"/>
      <x v="88"/>
    </i>
    <i r="2">
      <x v="435"/>
      <x/>
      <x v="47"/>
    </i>
    <i r="2">
      <x v="466"/>
      <x/>
      <x v="245"/>
    </i>
    <i r="2">
      <x v="467"/>
      <x v="3"/>
      <x v="246"/>
    </i>
    <i r="2">
      <x v="468"/>
      <x v="3"/>
      <x v="31"/>
    </i>
    <i t="default" r="1">
      <x/>
    </i>
    <i>
      <x v="19"/>
      <x v="46"/>
      <x v="49"/>
      <x v="3"/>
      <x v="46"/>
    </i>
    <i r="2">
      <x v="64"/>
      <x/>
      <x v="33"/>
    </i>
    <i r="2">
      <x v="72"/>
      <x v="3"/>
      <x v="41"/>
    </i>
    <i r="2">
      <x v="98"/>
      <x v="3"/>
      <x v="248"/>
    </i>
    <i r="2">
      <x v="126"/>
      <x v="4"/>
      <x v="182"/>
    </i>
    <i r="2">
      <x v="144"/>
      <x v="3"/>
      <x v="125"/>
    </i>
    <i r="2">
      <x v="191"/>
      <x v="3"/>
      <x v="47"/>
    </i>
    <i r="2">
      <x v="302"/>
      <x v="3"/>
      <x v="46"/>
    </i>
    <i r="2">
      <x v="325"/>
      <x v="3"/>
      <x v="247"/>
    </i>
    <i r="2">
      <x v="330"/>
      <x v="3"/>
      <x v="41"/>
    </i>
    <i r="2">
      <x v="342"/>
      <x v="3"/>
      <x v="125"/>
    </i>
    <i r="2">
      <x v="350"/>
      <x v="3"/>
      <x v="249"/>
    </i>
    <i r="2">
      <x v="432"/>
      <x v="4"/>
      <x v="212"/>
    </i>
    <i r="2">
      <x v="469"/>
      <x v="3"/>
      <x v="225"/>
    </i>
    <i r="2">
      <x v="470"/>
      <x v="3"/>
      <x v="22"/>
    </i>
    <i r="2">
      <x v="471"/>
      <x v="3"/>
      <x v="225"/>
    </i>
    <i r="2">
      <x v="472"/>
      <x v="3"/>
      <x v="19"/>
    </i>
    <i r="2">
      <x v="473"/>
      <x v="3"/>
      <x v="22"/>
    </i>
    <i r="2">
      <x v="474"/>
      <x/>
      <x v="250"/>
    </i>
    <i r="2">
      <x v="475"/>
      <x v="3"/>
      <x v="251"/>
    </i>
    <i t="default" r="1">
      <x v="46"/>
    </i>
    <i>
      <x v="20"/>
      <x v="31"/>
      <x v="299"/>
      <x v="3"/>
      <x v="8"/>
    </i>
    <i r="2">
      <x v="440"/>
      <x v="3"/>
      <x v="252"/>
    </i>
    <i t="default" r="1">
      <x v="31"/>
    </i>
    <i>
      <x v="21"/>
      <x v="34"/>
      <x v="28"/>
      <x v="3"/>
      <x v="44"/>
    </i>
    <i r="2">
      <x v="46"/>
      <x v="3"/>
      <x v="81"/>
    </i>
    <i r="2">
      <x v="110"/>
      <x v="3"/>
      <x v="253"/>
    </i>
    <i r="2">
      <x v="135"/>
      <x v="3"/>
      <x v="45"/>
    </i>
    <i r="2">
      <x v="182"/>
      <x v="3"/>
      <x v="45"/>
    </i>
    <i r="2">
      <x v="194"/>
      <x v="3"/>
      <x v="79"/>
    </i>
    <i r="2">
      <x v="206"/>
      <x v="3"/>
      <x v="46"/>
    </i>
    <i r="2">
      <x v="212"/>
      <x v="3"/>
      <x v="60"/>
    </i>
    <i r="2">
      <x v="235"/>
      <x v="3"/>
      <x v="46"/>
    </i>
    <i r="2">
      <x v="243"/>
      <x/>
      <x v="169"/>
    </i>
    <i r="2">
      <x v="244"/>
      <x v="3"/>
      <x v="142"/>
    </i>
    <i r="2">
      <x v="245"/>
      <x/>
      <x v="166"/>
    </i>
    <i r="2">
      <x v="248"/>
      <x v="3"/>
      <x v="44"/>
    </i>
    <i r="2">
      <x v="254"/>
      <x v="3"/>
      <x v="42"/>
    </i>
    <i r="2">
      <x v="256"/>
      <x/>
      <x v="95"/>
    </i>
    <i r="2">
      <x v="269"/>
      <x v="3"/>
      <x v="254"/>
    </i>
    <i r="2">
      <x v="272"/>
      <x v="3"/>
      <x v="32"/>
    </i>
    <i r="2">
      <x v="285"/>
      <x v="3"/>
      <x v="46"/>
    </i>
    <i r="2">
      <x v="293"/>
      <x v="3"/>
      <x v="255"/>
    </i>
    <i r="2">
      <x v="341"/>
      <x v="3"/>
      <x v="256"/>
    </i>
    <i r="2">
      <x v="369"/>
      <x/>
      <x v="37"/>
    </i>
    <i r="2">
      <x v="374"/>
      <x v="3"/>
      <x v="41"/>
    </i>
    <i r="2">
      <x v="378"/>
      <x v="3"/>
      <x v="44"/>
    </i>
    <i r="2">
      <x v="381"/>
      <x v="3"/>
      <x v="45"/>
    </i>
    <i r="2">
      <x v="383"/>
      <x v="3"/>
      <x v="101"/>
    </i>
    <i r="2">
      <x v="391"/>
      <x v="3"/>
      <x v="129"/>
    </i>
    <i r="2">
      <x v="410"/>
      <x v="3"/>
      <x v="98"/>
    </i>
    <i r="2">
      <x v="426"/>
      <x v="3"/>
      <x v="257"/>
    </i>
    <i r="2">
      <x v="451"/>
      <x v="3"/>
      <x v="86"/>
    </i>
    <i r="2">
      <x v="476"/>
      <x v="3"/>
      <x v="258"/>
    </i>
    <i r="2">
      <x v="477"/>
      <x v="3"/>
      <x v="259"/>
    </i>
    <i r="2">
      <x v="478"/>
      <x v="3"/>
      <x v="31"/>
    </i>
    <i t="default" r="1">
      <x v="34"/>
    </i>
    <i>
      <x v="22"/>
      <x v="52"/>
      <x v="90"/>
      <x/>
      <x v="47"/>
    </i>
    <i r="2">
      <x v="134"/>
      <x v="3"/>
      <x v="28"/>
    </i>
    <i r="2">
      <x v="164"/>
      <x v="3"/>
      <x v="163"/>
    </i>
    <i r="2">
      <x v="193"/>
      <x v="4"/>
      <x v="204"/>
    </i>
    <i r="2">
      <x v="222"/>
      <x v="3"/>
      <x v="52"/>
    </i>
    <i r="2">
      <x v="237"/>
      <x v="3"/>
      <x v="43"/>
    </i>
    <i r="2">
      <x v="246"/>
      <x v="3"/>
      <x v="9"/>
    </i>
    <i r="2">
      <x v="292"/>
      <x v="4"/>
      <x v="192"/>
    </i>
    <i r="2">
      <x v="344"/>
      <x v="3"/>
      <x v="43"/>
    </i>
    <i r="2">
      <x v="352"/>
      <x v="3"/>
      <x v="46"/>
    </i>
    <i r="2">
      <x v="355"/>
      <x v="3"/>
      <x v="260"/>
    </i>
    <i r="2">
      <x v="406"/>
      <x v="4"/>
      <x v="205"/>
    </i>
    <i r="2">
      <x v="419"/>
      <x/>
      <x v="261"/>
    </i>
    <i r="2">
      <x v="479"/>
      <x v="3"/>
      <x v="262"/>
    </i>
    <i r="2">
      <x v="480"/>
      <x v="3"/>
      <x v="263"/>
    </i>
    <i r="2">
      <x v="481"/>
      <x v="3"/>
      <x v="264"/>
    </i>
    <i t="default" r="1">
      <x v="52"/>
    </i>
    <i>
      <x v="23"/>
      <x v="40"/>
      <x v="214"/>
      <x v="3"/>
      <x v="45"/>
    </i>
    <i r="2">
      <x v="482"/>
      <x v="3"/>
      <x v="237"/>
    </i>
    <i t="default" r="1">
      <x v="40"/>
    </i>
    <i>
      <x v="24"/>
      <x v="50"/>
      <x v="102"/>
      <x v="3"/>
      <x v="17"/>
    </i>
    <i t="default" r="1">
      <x v="50"/>
    </i>
    <i>
      <x v="25"/>
      <x v="49"/>
      <x v="45"/>
      <x v="3"/>
      <x v="146"/>
    </i>
    <i r="2">
      <x v="61"/>
      <x/>
      <x v="57"/>
    </i>
    <i r="2">
      <x v="216"/>
      <x v="3"/>
      <x v="144"/>
    </i>
    <i r="2">
      <x v="349"/>
      <x v="3"/>
      <x v="265"/>
    </i>
    <i r="2">
      <x v="397"/>
      <x v="3"/>
      <x v="109"/>
    </i>
    <i t="default" r="1">
      <x v="49"/>
    </i>
    <i>
      <x v="26"/>
      <x v="39"/>
      <x v="83"/>
      <x v="3"/>
      <x v="1"/>
    </i>
    <i r="2">
      <x v="104"/>
      <x v="3"/>
      <x v="35"/>
    </i>
    <i r="2">
      <x v="105"/>
      <x v="4"/>
      <x v="186"/>
    </i>
    <i r="2">
      <x v="106"/>
      <x/>
      <x v="61"/>
    </i>
    <i r="2">
      <x v="311"/>
      <x v="3"/>
      <x v="38"/>
    </i>
    <i r="2">
      <x v="336"/>
      <x v="3"/>
      <x/>
    </i>
    <i r="2">
      <x v="416"/>
      <x v="3"/>
      <x v="266"/>
    </i>
    <i r="2">
      <x v="422"/>
      <x/>
      <x v="42"/>
    </i>
    <i r="2">
      <x v="448"/>
      <x/>
      <x v="43"/>
    </i>
    <i r="2">
      <x v="483"/>
      <x/>
      <x v="267"/>
    </i>
    <i t="default" r="1">
      <x v="39"/>
    </i>
    <i>
      <x v="27"/>
      <x v="58"/>
      <x v="5"/>
      <x v="3"/>
      <x v="36"/>
    </i>
    <i r="2">
      <x v="6"/>
      <x v="3"/>
      <x v="37"/>
    </i>
    <i r="2">
      <x v="26"/>
      <x v="3"/>
      <x v="44"/>
    </i>
    <i r="2">
      <x v="70"/>
      <x v="3"/>
      <x v="44"/>
    </i>
    <i r="2">
      <x v="116"/>
      <x/>
      <x v="158"/>
    </i>
    <i r="2">
      <x v="123"/>
      <x v="3"/>
      <x v="128"/>
    </i>
    <i r="2">
      <x v="160"/>
      <x v="4"/>
      <x v="207"/>
    </i>
    <i r="2">
      <x v="161"/>
      <x v="4"/>
      <x v="177"/>
    </i>
    <i r="2">
      <x v="198"/>
      <x v="3"/>
      <x v="46"/>
    </i>
    <i r="2">
      <x v="280"/>
      <x v="3"/>
      <x v="44"/>
    </i>
    <i r="2">
      <x v="284"/>
      <x v="3"/>
      <x v="46"/>
    </i>
    <i r="2">
      <x v="318"/>
      <x/>
      <x v="46"/>
    </i>
    <i r="2">
      <x v="340"/>
      <x v="3"/>
      <x v="78"/>
    </i>
    <i r="2">
      <x v="347"/>
      <x v="3"/>
      <x v="268"/>
    </i>
    <i r="2">
      <x v="360"/>
      <x v="3"/>
      <x v="46"/>
    </i>
    <i r="2">
      <x v="365"/>
      <x v="3"/>
      <x v="14"/>
    </i>
    <i r="2">
      <x v="399"/>
      <x v="3"/>
      <x v="269"/>
    </i>
    <i r="2">
      <x v="417"/>
      <x v="4"/>
      <x v="206"/>
    </i>
    <i r="2">
      <x v="437"/>
      <x v="3"/>
      <x v="46"/>
    </i>
    <i r="2">
      <x v="484"/>
      <x v="3"/>
      <x v="270"/>
    </i>
    <i r="2">
      <x v="485"/>
      <x v="3"/>
      <x v="271"/>
    </i>
    <i r="2">
      <x v="486"/>
      <x v="3"/>
      <x v="11"/>
    </i>
    <i t="default" r="1">
      <x v="58"/>
    </i>
    <i>
      <x v="28"/>
      <x v="65"/>
      <x v="382"/>
      <x v="3"/>
      <x v="272"/>
    </i>
    <i r="2">
      <x v="487"/>
      <x v="3"/>
      <x v="273"/>
    </i>
    <i t="default" r="1">
      <x v="65"/>
    </i>
    <i>
      <x v="29"/>
      <x v="35"/>
      <x v="165"/>
      <x v="4"/>
      <x v="210"/>
    </i>
    <i r="2">
      <x v="338"/>
      <x v="4"/>
      <x v="206"/>
    </i>
    <i r="2">
      <x v="418"/>
      <x v="3"/>
      <x v="46"/>
    </i>
    <i t="default" r="1">
      <x v="35"/>
    </i>
    <i>
      <x v="30"/>
      <x v="10"/>
      <x v="57"/>
      <x v="3"/>
      <x v="47"/>
    </i>
    <i r="2">
      <x v="260"/>
      <x v="3"/>
      <x v="5"/>
    </i>
    <i t="default" r="1">
      <x v="10"/>
    </i>
    <i>
      <x v="31"/>
      <x v="38"/>
      <x v="11"/>
      <x v="3"/>
      <x v="131"/>
    </i>
    <i r="2">
      <x v="67"/>
      <x v="3"/>
      <x v="165"/>
    </i>
    <i r="2">
      <x v="427"/>
      <x v="3"/>
      <x v="274"/>
    </i>
    <i r="2">
      <x v="447"/>
      <x v="4"/>
      <x v="188"/>
    </i>
    <i r="2">
      <x v="488"/>
      <x v="3"/>
      <x v="275"/>
    </i>
    <i r="2">
      <x v="489"/>
      <x v="3"/>
      <x v="276"/>
    </i>
    <i r="2">
      <x v="490"/>
      <x v="3"/>
      <x v="277"/>
    </i>
    <i t="default" r="1">
      <x v="38"/>
    </i>
    <i>
      <x v="32"/>
      <x v="18"/>
      <x v="431"/>
      <x v="3"/>
      <x v="46"/>
    </i>
    <i t="default" r="1">
      <x v="18"/>
    </i>
    <i>
      <x v="33"/>
      <x v="57"/>
      <x v="47"/>
      <x v="3"/>
      <x v="278"/>
    </i>
    <i r="2">
      <x v="74"/>
      <x/>
      <x v="279"/>
    </i>
    <i r="2">
      <x v="168"/>
      <x v="3"/>
      <x v="280"/>
    </i>
    <i r="2">
      <x v="209"/>
      <x v="3"/>
      <x v="279"/>
    </i>
    <i t="default" r="1">
      <x v="57"/>
    </i>
    <i>
      <x v="34"/>
      <x v="55"/>
      <x v="109"/>
      <x v="3"/>
      <x v="106"/>
    </i>
    <i r="2">
      <x v="296"/>
      <x v="3"/>
      <x v="281"/>
    </i>
    <i r="2">
      <x v="301"/>
      <x v="3"/>
      <x v="8"/>
    </i>
    <i t="default" r="1">
      <x v="55"/>
    </i>
    <i>
      <x v="35"/>
      <x v="61"/>
      <x v="320"/>
      <x v="3"/>
      <x v="92"/>
    </i>
    <i r="2">
      <x v="343"/>
      <x v="3"/>
      <x v="53"/>
    </i>
    <i r="2">
      <x v="395"/>
      <x/>
      <x v="74"/>
    </i>
    <i r="2">
      <x v="438"/>
      <x v="3"/>
      <x v="118"/>
    </i>
    <i r="2">
      <x v="491"/>
      <x v="3"/>
      <x v="47"/>
    </i>
    <i r="2">
      <x v="492"/>
      <x v="3"/>
      <x v="282"/>
    </i>
    <i r="2">
      <x v="493"/>
      <x v="3"/>
      <x v="283"/>
    </i>
    <i r="2">
      <x v="494"/>
      <x v="3"/>
      <x v="284"/>
    </i>
    <i r="2">
      <x v="495"/>
      <x v="3"/>
      <x v="285"/>
    </i>
    <i t="default" r="1">
      <x v="61"/>
    </i>
    <i>
      <x v="36"/>
      <x v="19"/>
      <x v="226"/>
      <x v="3"/>
      <x v="63"/>
    </i>
    <i r="2">
      <x v="337"/>
      <x v="3"/>
      <x v="131"/>
    </i>
    <i r="2">
      <x v="496"/>
      <x v="3"/>
      <x v="286"/>
    </i>
    <i t="default" r="1">
      <x v="19"/>
    </i>
    <i>
      <x v="37"/>
      <x v="3"/>
      <x v="63"/>
      <x v="3"/>
      <x v="287"/>
    </i>
    <i r="2">
      <x v="151"/>
      <x v="3"/>
      <x v="136"/>
    </i>
    <i r="2">
      <x v="152"/>
      <x v="3"/>
      <x v="59"/>
    </i>
    <i r="2">
      <x v="234"/>
      <x v="3"/>
      <x v="127"/>
    </i>
    <i r="2">
      <x v="310"/>
      <x v="3"/>
      <x v="288"/>
    </i>
    <i r="2">
      <x v="323"/>
      <x v="3"/>
      <x v="126"/>
    </i>
    <i r="2">
      <x v="379"/>
      <x v="3"/>
      <x v="46"/>
    </i>
    <i r="2">
      <x v="424"/>
      <x/>
      <x v="121"/>
    </i>
    <i r="2">
      <x v="425"/>
      <x v="3"/>
      <x v="62"/>
    </i>
    <i r="2">
      <x v="428"/>
      <x v="3"/>
      <x v="289"/>
    </i>
    <i t="default" r="1">
      <x v="3"/>
    </i>
    <i>
      <x v="38"/>
      <x v="62"/>
      <x/>
      <x v="3"/>
      <x v="290"/>
    </i>
    <i r="2">
      <x v="18"/>
      <x v="3"/>
      <x v="45"/>
    </i>
    <i r="2">
      <x v="30"/>
      <x v="4"/>
      <x v="208"/>
    </i>
    <i r="2">
      <x v="31"/>
      <x v="3"/>
      <x v="143"/>
    </i>
    <i r="2">
      <x v="33"/>
      <x v="3"/>
      <x v="82"/>
    </i>
    <i r="2">
      <x v="34"/>
      <x v="4"/>
      <x v="176"/>
    </i>
    <i r="2">
      <x v="53"/>
      <x v="3"/>
      <x v="69"/>
    </i>
    <i r="2">
      <x v="55"/>
      <x v="3"/>
      <x v="89"/>
    </i>
    <i r="2">
      <x v="87"/>
      <x v="3"/>
      <x v="291"/>
    </i>
    <i r="2">
      <x v="92"/>
      <x v="3"/>
      <x v="100"/>
    </i>
    <i r="2">
      <x v="95"/>
      <x v="3"/>
      <x v="111"/>
    </i>
    <i r="2">
      <x v="103"/>
      <x v="3"/>
      <x v="175"/>
    </i>
    <i r="2">
      <x v="107"/>
      <x v="3"/>
      <x v="70"/>
    </i>
    <i r="2">
      <x v="108"/>
      <x v="3"/>
      <x v="71"/>
    </i>
    <i r="2">
      <x v="204"/>
      <x v="3"/>
      <x v="46"/>
    </i>
    <i r="2">
      <x v="207"/>
      <x v="3"/>
      <x v="116"/>
    </i>
    <i r="2">
      <x v="223"/>
      <x v="3"/>
      <x v="93"/>
    </i>
    <i r="2">
      <x v="266"/>
      <x v="3"/>
      <x v="151"/>
    </i>
    <i r="2">
      <x v="304"/>
      <x v="3"/>
      <x v="138"/>
    </i>
    <i r="2">
      <x v="322"/>
      <x v="3"/>
      <x v="171"/>
    </i>
    <i r="2">
      <x v="353"/>
      <x v="3"/>
      <x v="47"/>
    </i>
    <i r="2">
      <x v="354"/>
      <x v="3"/>
      <x v="47"/>
    </i>
    <i r="2">
      <x v="371"/>
      <x v="3"/>
      <x v="152"/>
    </i>
    <i r="2">
      <x v="390"/>
      <x v="3"/>
      <x v="156"/>
    </i>
    <i r="2">
      <x v="407"/>
      <x v="4"/>
      <x v="196"/>
    </i>
    <i r="2">
      <x v="408"/>
      <x v="3"/>
      <x v="151"/>
    </i>
    <i r="2">
      <x v="409"/>
      <x v="3"/>
      <x v="123"/>
    </i>
    <i r="2">
      <x v="413"/>
      <x v="3"/>
      <x v="2"/>
    </i>
    <i r="2">
      <x v="414"/>
      <x v="3"/>
      <x v="84"/>
    </i>
    <i r="2">
      <x v="415"/>
      <x v="3"/>
      <x v="115"/>
    </i>
    <i r="2">
      <x v="442"/>
      <x v="3"/>
      <x v="47"/>
    </i>
    <i r="2">
      <x v="444"/>
      <x v="3"/>
      <x v="45"/>
    </i>
    <i r="2">
      <x v="497"/>
      <x v="3"/>
      <x v="292"/>
    </i>
    <i r="2">
      <x v="498"/>
      <x v="3"/>
      <x v="293"/>
    </i>
    <i r="2">
      <x v="499"/>
      <x v="3"/>
      <x v="294"/>
    </i>
    <i r="2">
      <x v="500"/>
      <x v="3"/>
      <x v="295"/>
    </i>
    <i r="2">
      <x v="501"/>
      <x v="3"/>
      <x v="263"/>
    </i>
    <i r="2">
      <x v="502"/>
      <x v="3"/>
      <x v="296"/>
    </i>
    <i r="2">
      <x v="503"/>
      <x v="3"/>
      <x v="297"/>
    </i>
    <i r="2">
      <x v="504"/>
      <x v="3"/>
      <x v="267"/>
    </i>
    <i t="default" r="1">
      <x v="62"/>
    </i>
    <i>
      <x v="39"/>
      <x v="51"/>
      <x v="4"/>
      <x v="3"/>
      <x v="170"/>
    </i>
    <i r="2">
      <x v="76"/>
      <x v="3"/>
      <x v="298"/>
    </i>
    <i r="2">
      <x v="130"/>
      <x v="3"/>
      <x v="46"/>
    </i>
    <i r="2">
      <x v="188"/>
      <x v="4"/>
      <x v="197"/>
    </i>
    <i r="2">
      <x v="224"/>
      <x v="3"/>
      <x v="141"/>
    </i>
    <i r="2">
      <x v="314"/>
      <x v="4"/>
      <x v="208"/>
    </i>
    <i r="2">
      <x v="321"/>
      <x v="3"/>
      <x v="172"/>
    </i>
    <i r="2">
      <x v="505"/>
      <x v="4"/>
      <x v="201"/>
    </i>
    <i t="default" r="1">
      <x v="51"/>
    </i>
    <i>
      <x v="40"/>
      <x v="28"/>
      <x v="15"/>
      <x v="4"/>
      <x v="198"/>
    </i>
    <i r="2">
      <x v="16"/>
      <x/>
      <x v="91"/>
    </i>
    <i r="2">
      <x v="17"/>
      <x v="3"/>
      <x v="87"/>
    </i>
    <i r="2">
      <x v="19"/>
      <x v="3"/>
      <x v="299"/>
    </i>
    <i r="2">
      <x v="29"/>
      <x v="3"/>
      <x v="96"/>
    </i>
    <i r="2">
      <x v="38"/>
      <x/>
      <x v="167"/>
    </i>
    <i r="2">
      <x v="81"/>
      <x v="3"/>
      <x v="130"/>
    </i>
    <i r="2">
      <x v="120"/>
      <x v="3"/>
      <x v="95"/>
    </i>
    <i r="2">
      <x v="122"/>
      <x v="3"/>
      <x v="160"/>
    </i>
    <i r="2">
      <x v="138"/>
      <x v="4"/>
      <x v="304"/>
    </i>
    <i r="2">
      <x v="149"/>
      <x v="3"/>
      <x v="200"/>
    </i>
    <i r="2">
      <x v="185"/>
      <x v="3"/>
      <x v="145"/>
    </i>
    <i r="2">
      <x v="232"/>
      <x v="3"/>
      <x v="145"/>
    </i>
    <i r="2">
      <x v="239"/>
      <x v="3"/>
      <x v="45"/>
    </i>
    <i r="2">
      <x v="240"/>
      <x v="3"/>
      <x v="46"/>
    </i>
    <i r="2">
      <x v="261"/>
      <x v="3"/>
      <x v="97"/>
    </i>
    <i r="2">
      <x v="270"/>
      <x v="3"/>
      <x v="300"/>
    </i>
    <i r="2">
      <x v="277"/>
      <x v="3"/>
      <x v="134"/>
    </i>
    <i r="2">
      <x v="279"/>
      <x v="4"/>
      <x v="193"/>
    </i>
    <i r="2">
      <x v="316"/>
      <x v="3"/>
      <x v="301"/>
    </i>
    <i r="2">
      <x v="328"/>
      <x v="3"/>
      <x v="302"/>
    </i>
    <i r="2">
      <x v="366"/>
      <x v="3"/>
      <x v="114"/>
    </i>
    <i r="2">
      <x v="375"/>
      <x v="3"/>
      <x v="47"/>
    </i>
    <i r="2">
      <x v="384"/>
      <x v="3"/>
      <x v="303"/>
    </i>
    <i r="2">
      <x v="389"/>
      <x v="4"/>
      <x v="191"/>
    </i>
    <i r="2">
      <x v="394"/>
      <x v="3"/>
      <x v="120"/>
    </i>
    <i r="2">
      <x v="446"/>
      <x v="3"/>
      <x v="148"/>
    </i>
    <i r="2">
      <x v="449"/>
      <x v="4"/>
      <x v="203"/>
    </i>
    <i r="2">
      <x v="506"/>
      <x v="3"/>
      <x v="305"/>
    </i>
    <i r="2">
      <x v="507"/>
      <x v="3"/>
      <x v="306"/>
    </i>
    <i r="2">
      <x v="508"/>
      <x v="3"/>
      <x v="307"/>
    </i>
    <i r="2">
      <x v="509"/>
      <x v="3"/>
      <x v="306"/>
    </i>
    <i r="2">
      <x v="510"/>
      <x v="3"/>
      <x v="308"/>
    </i>
    <i r="2">
      <x v="511"/>
      <x v="3"/>
      <x v="309"/>
    </i>
    <i r="2">
      <x v="512"/>
      <x v="3"/>
      <x v="251"/>
    </i>
    <i t="default" r="1">
      <x v="28"/>
    </i>
    <i>
      <x v="41"/>
      <x v="53"/>
      <x v="1"/>
      <x v="3"/>
      <x v="153"/>
    </i>
    <i r="2">
      <x v="48"/>
      <x v="3"/>
      <x v="117"/>
    </i>
    <i r="2">
      <x v="89"/>
      <x v="3"/>
      <x v="47"/>
    </i>
    <i r="2">
      <x v="208"/>
      <x v="4"/>
      <x v="202"/>
    </i>
    <i r="2">
      <x v="213"/>
      <x v="4"/>
      <x v="211"/>
    </i>
    <i r="2">
      <x v="225"/>
      <x v="3"/>
      <x v="14"/>
    </i>
    <i r="2">
      <x v="227"/>
      <x v="3"/>
      <x v="66"/>
    </i>
    <i r="2">
      <x v="236"/>
      <x v="3"/>
      <x v="47"/>
    </i>
    <i r="2">
      <x v="348"/>
      <x v="4"/>
      <x v="195"/>
    </i>
    <i r="2">
      <x v="357"/>
      <x v="3"/>
      <x v="47"/>
    </i>
    <i r="2">
      <x v="404"/>
      <x v="3"/>
      <x v="47"/>
    </i>
    <i r="2">
      <x v="405"/>
      <x v="3"/>
      <x v="167"/>
    </i>
    <i r="2">
      <x v="439"/>
      <x v="4"/>
      <x v="213"/>
    </i>
    <i r="2">
      <x v="443"/>
      <x v="3"/>
      <x v="167"/>
    </i>
    <i t="default" r="1">
      <x v="53"/>
    </i>
    <i>
      <x v="42"/>
      <x v="7"/>
      <x v="32"/>
      <x v="3"/>
      <x v="47"/>
    </i>
    <i r="2">
      <x v="36"/>
      <x v="3"/>
      <x v="105"/>
    </i>
    <i r="2">
      <x v="86"/>
      <x v="3"/>
      <x v="45"/>
    </i>
    <i r="2">
      <x v="96"/>
      <x v="3"/>
      <x v="46"/>
    </i>
    <i r="2">
      <x v="121"/>
      <x v="3"/>
      <x v="310"/>
    </i>
    <i r="2">
      <x v="145"/>
      <x v="3"/>
      <x v="137"/>
    </i>
    <i r="2">
      <x v="166"/>
      <x v="3"/>
      <x v="311"/>
    </i>
    <i r="2">
      <x v="167"/>
      <x v="3"/>
      <x v="312"/>
    </i>
    <i r="2">
      <x v="172"/>
      <x v="3"/>
      <x v="26"/>
    </i>
    <i r="2">
      <x v="231"/>
      <x v="3"/>
      <x v="46"/>
    </i>
    <i r="2">
      <x v="317"/>
      <x v="3"/>
      <x v="47"/>
    </i>
    <i r="2">
      <x v="332"/>
      <x v="3"/>
      <x v="83"/>
    </i>
    <i r="2">
      <x v="429"/>
      <x v="3"/>
      <x v="313"/>
    </i>
    <i r="2">
      <x v="513"/>
      <x/>
      <x v="314"/>
    </i>
    <i r="2">
      <x v="514"/>
      <x v="3"/>
      <x v="229"/>
    </i>
    <i t="default" r="1">
      <x v="7"/>
    </i>
    <i>
      <x v="43"/>
      <x v="29"/>
      <x v="13"/>
      <x/>
      <x v="45"/>
    </i>
    <i r="2">
      <x v="14"/>
      <x v="3"/>
      <x v="190"/>
    </i>
    <i r="2">
      <x v="84"/>
      <x v="3"/>
      <x v="90"/>
    </i>
    <i r="2">
      <x v="133"/>
      <x v="3"/>
      <x v="149"/>
    </i>
    <i r="2">
      <x v="181"/>
      <x v="3"/>
      <x v="113"/>
    </i>
    <i r="2">
      <x v="210"/>
      <x v="3"/>
      <x v="162"/>
    </i>
    <i r="2">
      <x v="291"/>
      <x v="3"/>
      <x v="154"/>
    </i>
    <i r="2">
      <x v="312"/>
      <x v="3"/>
      <x v="138"/>
    </i>
    <i t="default" r="1">
      <x v="29"/>
    </i>
    <i>
      <x v="44"/>
      <x v="25"/>
      <x v="21"/>
      <x v="3"/>
      <x v="43"/>
    </i>
    <i r="2">
      <x v="23"/>
      <x v="3"/>
      <x v="315"/>
    </i>
    <i r="2">
      <x v="35"/>
      <x/>
      <x v="189"/>
    </i>
    <i r="2">
      <x v="150"/>
      <x v="3"/>
      <x v="108"/>
    </i>
    <i r="2">
      <x v="173"/>
      <x v="3"/>
      <x v="316"/>
    </i>
    <i r="2">
      <x v="186"/>
      <x v="3"/>
      <x v="148"/>
    </i>
    <i r="2">
      <x v="203"/>
      <x/>
      <x v="78"/>
    </i>
    <i r="2">
      <x v="219"/>
      <x v="4"/>
      <x v="184"/>
    </i>
    <i r="2">
      <x v="241"/>
      <x v="3"/>
      <x v="46"/>
    </i>
    <i r="2">
      <x v="249"/>
      <x v="3"/>
      <x v="317"/>
    </i>
    <i r="2">
      <x v="250"/>
      <x v="3"/>
      <x v="318"/>
    </i>
    <i r="2">
      <x v="251"/>
      <x v="3"/>
      <x v="319"/>
    </i>
    <i r="2">
      <x v="252"/>
      <x v="3"/>
      <x v="69"/>
    </i>
    <i r="2">
      <x v="329"/>
      <x v="3"/>
      <x v="320"/>
    </i>
    <i r="2">
      <x v="362"/>
      <x v="3"/>
      <x v="82"/>
    </i>
    <i r="2">
      <x v="393"/>
      <x v="4"/>
      <x v="187"/>
    </i>
    <i r="2">
      <x v="398"/>
      <x v="3"/>
      <x v="80"/>
    </i>
    <i r="2">
      <x v="433"/>
      <x v="3"/>
      <x v="321"/>
    </i>
    <i r="2">
      <x v="434"/>
      <x v="3"/>
      <x v="322"/>
    </i>
    <i r="2">
      <x v="515"/>
      <x/>
      <x v="273"/>
    </i>
    <i r="2">
      <x v="516"/>
      <x v="3"/>
      <x v="323"/>
    </i>
    <i r="2">
      <x v="517"/>
      <x v="3"/>
      <x v="324"/>
    </i>
    <i r="2">
      <x v="518"/>
      <x v="3"/>
      <x v="325"/>
    </i>
    <i r="2">
      <x v="519"/>
      <x v="3"/>
      <x v="13"/>
    </i>
    <i t="default" r="1">
      <x v="25"/>
    </i>
    <i>
      <x v="45"/>
      <x v="24"/>
      <x v="52"/>
      <x/>
      <x v="326"/>
    </i>
    <i r="2">
      <x v="97"/>
      <x v="3"/>
      <x v="58"/>
    </i>
    <i r="2">
      <x v="101"/>
      <x v="3"/>
      <x v="45"/>
    </i>
    <i r="2">
      <x v="190"/>
      <x v="3"/>
      <x v="38"/>
    </i>
    <i r="2">
      <x v="253"/>
      <x v="3"/>
      <x v="318"/>
    </i>
    <i r="2">
      <x v="263"/>
      <x v="3"/>
      <x v="46"/>
    </i>
    <i r="2">
      <x v="307"/>
      <x v="3"/>
      <x v="38"/>
    </i>
    <i r="2">
      <x v="368"/>
      <x v="4"/>
      <x v="185"/>
    </i>
    <i r="2">
      <x v="411"/>
      <x v="3"/>
      <x v="327"/>
    </i>
    <i r="2">
      <x v="445"/>
      <x v="3"/>
      <x v="42"/>
    </i>
    <i r="2">
      <x v="520"/>
      <x/>
      <x v="326"/>
    </i>
    <i t="default" r="1">
      <x v="24"/>
    </i>
    <i>
      <x v="46"/>
      <x v="12"/>
      <x v="59"/>
      <x v="3"/>
      <x v="5"/>
    </i>
    <i r="2">
      <x v="60"/>
      <x v="3"/>
      <x v="47"/>
    </i>
    <i r="2">
      <x v="441"/>
      <x v="3"/>
      <x v="109"/>
    </i>
    <i t="default" r="1">
      <x v="12"/>
    </i>
    <i>
      <x v="47"/>
      <x v="37"/>
      <x v="37"/>
      <x v="3"/>
      <x v="18"/>
    </i>
    <i r="2">
      <x v="85"/>
      <x v="3"/>
      <x v="99"/>
    </i>
    <i r="2">
      <x v="234"/>
      <x v="4"/>
      <x v="181"/>
    </i>
    <i r="2">
      <x v="319"/>
      <x v="3"/>
      <x v="99"/>
    </i>
    <i r="2">
      <x v="356"/>
      <x/>
      <x v="328"/>
    </i>
    <i r="2">
      <x v="358"/>
      <x v="3"/>
      <x v="157"/>
    </i>
    <i r="2">
      <x v="359"/>
      <x v="4"/>
      <x v="200"/>
    </i>
    <i r="2">
      <x v="521"/>
      <x v="3"/>
      <x v="226"/>
    </i>
    <i t="default" r="1">
      <x v="37"/>
    </i>
    <i>
      <x v="48"/>
      <x v="32"/>
      <x v="184"/>
      <x v="7"/>
      <x v="39"/>
    </i>
    <i t="default" r="1">
      <x v="32"/>
    </i>
    <i>
      <x v="49"/>
      <x v="6"/>
      <x v="309"/>
      <x v="3"/>
      <x v="329"/>
    </i>
    <i r="2">
      <x v="367"/>
      <x v="3"/>
      <x v="57"/>
    </i>
    <i r="2">
      <x v="522"/>
      <x v="3"/>
      <x v="330"/>
    </i>
    <i r="2">
      <x v="523"/>
      <x/>
      <x v="331"/>
    </i>
    <i t="default" r="1">
      <x v="6"/>
    </i>
    <i>
      <x v="50"/>
      <x v="44"/>
      <x v="20"/>
      <x v="4"/>
      <x v="180"/>
    </i>
    <i r="2">
      <x v="139"/>
      <x v="3"/>
      <x v="14"/>
    </i>
    <i r="2">
      <x v="169"/>
      <x v="3"/>
      <x v="23"/>
    </i>
    <i r="2">
      <x v="170"/>
      <x v="3"/>
      <x v="46"/>
    </i>
    <i r="2">
      <x v="202"/>
      <x v="3"/>
      <x v="14"/>
    </i>
    <i r="2">
      <x v="211"/>
      <x v="3"/>
      <x v="41"/>
    </i>
    <i r="2">
      <x v="265"/>
      <x v="3"/>
      <x v="45"/>
    </i>
    <i r="2">
      <x v="346"/>
      <x v="3"/>
      <x v="76"/>
    </i>
    <i r="2">
      <x v="388"/>
      <x v="3"/>
      <x v="35"/>
    </i>
    <i t="default" r="1">
      <x v="44"/>
    </i>
    <i>
      <x v="51"/>
      <x v="23"/>
      <x v="220"/>
      <x v="3"/>
      <x v="11"/>
    </i>
    <i r="2">
      <x v="221"/>
      <x v="3"/>
      <x v="19"/>
    </i>
    <i r="2">
      <x v="264"/>
      <x v="3"/>
      <x v="44"/>
    </i>
    <i r="2">
      <x v="361"/>
      <x/>
      <x v="45"/>
    </i>
    <i r="2">
      <x v="380"/>
      <x/>
      <x v="333"/>
    </i>
    <i r="2">
      <x v="524"/>
      <x/>
      <x v="332"/>
    </i>
    <i r="2">
      <x v="525"/>
      <x/>
      <x v="45"/>
    </i>
    <i t="default" r="1">
      <x v="23"/>
    </i>
    <i>
      <x v="52"/>
      <x v="14"/>
      <x v="345"/>
      <x v="3"/>
      <x v="155"/>
    </i>
    <i r="2">
      <x v="436"/>
      <x/>
      <x v="91"/>
    </i>
    <i r="2">
      <x v="526"/>
      <x v="3"/>
      <x v="245"/>
    </i>
    <i t="default" r="1">
      <x v="14"/>
    </i>
    <i>
      <x v="53"/>
      <x v="63"/>
      <x v="114"/>
      <x v="3"/>
      <x v="14"/>
    </i>
    <i r="2">
      <x v="143"/>
      <x v="3"/>
      <x v="40"/>
    </i>
    <i r="2">
      <x v="403"/>
      <x/>
      <x v="46"/>
    </i>
    <i t="default" r="1">
      <x v="63"/>
    </i>
    <i>
      <x v="54"/>
      <x v="64"/>
      <x v="313"/>
      <x v="3"/>
      <x v="335"/>
    </i>
    <i r="2">
      <x v="351"/>
      <x v="3"/>
      <x v="47"/>
    </i>
    <i t="default" r="1">
      <x v="64"/>
    </i>
    <i>
      <x v="55"/>
      <x v="48"/>
      <x v="242"/>
      <x v="4"/>
      <x v="182"/>
    </i>
    <i r="2">
      <x v="303"/>
      <x v="3"/>
      <x v="18"/>
    </i>
    <i r="2">
      <x v="412"/>
      <x v="3"/>
      <x v="20"/>
    </i>
    <i t="default" r="1">
      <x v="48"/>
    </i>
    <i>
      <x v="56"/>
      <x v="15"/>
      <x v="3"/>
      <x v="3"/>
      <x v="19"/>
    </i>
    <i r="2">
      <x v="7"/>
      <x v="3"/>
      <x v="5"/>
    </i>
    <i t="default" r="1">
      <x v="15"/>
    </i>
    <i>
      <x v="57"/>
      <x v="30"/>
      <x v="51"/>
      <x v="3"/>
      <x v="46"/>
    </i>
    <i r="2">
      <x v="271"/>
      <x v="3"/>
      <x v="104"/>
    </i>
    <i r="2">
      <x v="324"/>
      <x v="3"/>
      <x v="21"/>
    </i>
    <i t="default" r="1">
      <x v="30"/>
    </i>
    <i>
      <x v="58"/>
      <x v="27"/>
      <x v="62"/>
      <x v="3"/>
      <x v="95"/>
    </i>
    <i r="2">
      <x v="255"/>
      <x v="3"/>
      <x v="104"/>
    </i>
    <i t="default" r="1">
      <x v="27"/>
    </i>
    <i>
      <x v="59"/>
      <x v="1"/>
      <x v="68"/>
      <x v="3"/>
      <x v="10"/>
    </i>
    <i r="2">
      <x v="79"/>
      <x v="3"/>
      <x v="47"/>
    </i>
    <i r="2">
      <x v="80"/>
      <x v="3"/>
      <x v="41"/>
    </i>
    <i r="2">
      <x v="148"/>
      <x v="3"/>
      <x v="85"/>
    </i>
    <i r="2">
      <x v="187"/>
      <x v="3"/>
      <x v="336"/>
    </i>
    <i r="2">
      <x v="233"/>
      <x v="3"/>
      <x v="336"/>
    </i>
    <i r="2">
      <x v="281"/>
      <x v="2"/>
      <x v="69"/>
    </i>
    <i r="2">
      <x v="315"/>
      <x v="3"/>
      <x v="337"/>
    </i>
    <i r="2">
      <x v="335"/>
      <x v="3"/>
      <x v="46"/>
    </i>
    <i r="2">
      <x v="363"/>
      <x/>
      <x v="338"/>
    </i>
    <i r="2">
      <x v="377"/>
      <x v="3"/>
      <x v="112"/>
    </i>
    <i r="2">
      <x v="527"/>
      <x v="3"/>
      <x v="339"/>
    </i>
    <i r="2">
      <x v="528"/>
      <x v="3"/>
      <x v="340"/>
    </i>
    <i t="default" r="1">
      <x v="1"/>
    </i>
    <i>
      <x v="60"/>
      <x v="59"/>
      <x v="71"/>
      <x/>
      <x v="37"/>
    </i>
    <i t="default" r="1">
      <x v="59"/>
    </i>
    <i>
      <x v="61"/>
      <x v="21"/>
      <x v="94"/>
      <x v="4"/>
      <x v="209"/>
    </i>
    <i r="2">
      <x v="294"/>
      <x v="3"/>
      <x v="341"/>
    </i>
    <i r="2">
      <x v="295"/>
      <x v="3"/>
      <x v="47"/>
    </i>
    <i t="default" r="1">
      <x v="21"/>
    </i>
    <i>
      <x v="63"/>
      <x v="11"/>
      <x v="183"/>
      <x/>
      <x v="342"/>
    </i>
    <i t="default" r="1">
      <x v="11"/>
    </i>
    <i>
      <x v="65"/>
      <x v="56"/>
      <x v="25"/>
      <x/>
      <x v="64"/>
    </i>
    <i r="2">
      <x v="56"/>
      <x v="4"/>
      <x v="332"/>
    </i>
    <i r="2">
      <x v="275"/>
      <x v="3"/>
      <x v="174"/>
    </i>
    <i r="2">
      <x v="529"/>
      <x v="4"/>
      <x v="11"/>
    </i>
    <i t="default" r="1">
      <x v="56"/>
    </i>
    <i>
      <x v="66"/>
      <x v="66"/>
      <x v="195"/>
      <x v="3"/>
      <x v="68"/>
    </i>
    <i t="default" r="1">
      <x v="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Hes Sayısı" fld="5" baseField="0" baseItem="0" numFmtId="3"/>
    <dataField name=" Kurulu Güç (MW)" fld="6" baseField="0" baseItem="0"/>
    <dataField name=" Ortalama Enerji Üretimi (GWh/Yıl)" fld="7" baseField="0" baseItem="0"/>
  </dataFields>
  <formats count="7625">
    <format dxfId="96">
      <pivotArea type="all" dataOnly="0" outline="0" fieldPosition="0"/>
    </format>
    <format dxfId="97">
      <pivotArea dataOnly="0" labelOnly="1" fieldPosition="0">
        <references count="1">
          <reference field="2" count="0"/>
        </references>
      </pivotArea>
    </format>
    <format dxfId="98">
      <pivotArea dataOnly="0" outline="0" fieldPosition="0">
        <references count="1">
          <reference field="2" count="0" defaultSubtotal="1"/>
        </references>
      </pivotArea>
    </format>
    <format dxfId="99">
      <pivotArea outline="0" collapsedLevelsAreSubtotals="1" fieldPosition="0"/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outline="0" collapsedLevelsAreSubtotals="1" fieldPosition="0"/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04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0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06">
      <pivotArea dataOnly="0" labelOnly="1" grandRow="1" outline="0" offset="A256" fieldPosition="0"/>
    </format>
    <format dxfId="107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08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109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110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111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112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13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14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15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16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117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118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119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20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21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122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123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124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125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126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127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128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129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130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131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132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133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134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135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136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137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138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139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140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141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142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143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144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145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146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147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148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149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150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151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152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153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154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155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156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157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158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159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160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161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162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163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164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165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166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167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168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169">
      <pivotArea dataOnly="0" labelOnly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170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171">
      <pivotArea dataOnly="0" labelOnly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172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173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74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75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6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77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78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9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80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81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82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83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84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85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6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187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8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9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90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91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92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93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94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95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6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97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198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99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00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01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02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203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04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205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206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207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8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09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10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1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2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213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214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5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216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17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218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219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220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21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222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223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224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25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226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227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8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229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230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231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232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233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234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235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236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237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38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239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40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41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42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243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244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245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46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247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248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249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50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51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52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253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254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55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256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57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258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59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60">
      <pivotArea dataOnly="0" labelOnly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261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62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63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264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265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266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267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268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269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270">
      <pivotArea dataOnly="0" labelOnly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271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72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73">
      <pivotArea dataOnly="0" labelOnly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74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275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276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277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278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79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280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281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82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283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284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285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86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287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288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289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90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91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292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93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294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295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96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97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98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99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300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01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302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03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04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05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306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07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08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09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310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1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312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3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314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315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316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17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18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319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20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321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22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23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24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25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26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27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28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329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330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331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32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333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34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335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336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337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338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39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340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341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342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3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44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345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346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47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348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34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350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351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52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353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35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55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356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357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58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359">
      <pivotArea dataOnly="0" labelOnly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60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61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362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6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64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65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66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67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36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369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370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371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2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7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4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75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376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77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8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79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380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1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82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383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384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5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86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387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388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389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90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391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2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93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394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95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6">
      <pivotArea dataOnly="0" labelOnly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397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398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99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400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401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402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403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404">
      <pivotArea dataOnly="0" labelOnly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405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406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07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08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409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410">
      <pivotArea dataOnly="0" labelOnly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411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412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13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414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15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416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417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18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19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20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21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422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423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424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425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426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27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428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429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430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431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432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33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434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435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36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37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438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39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40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441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442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443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44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445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446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447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448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49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0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451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52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3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454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455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56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457">
      <pivotArea dataOnly="0" labelOnly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458">
      <pivotArea dataOnly="0" labelOnly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459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460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461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62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463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464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465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66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467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468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69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70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1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72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3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474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75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476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477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78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479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480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1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82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483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484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85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486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487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488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9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490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491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92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493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4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495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6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7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98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499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00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01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502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03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04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05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06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07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08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509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10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11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512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13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514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515">
      <pivotArea dataOnly="0" labelOnly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516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517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518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519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520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521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522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23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24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525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526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27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528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529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530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31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32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33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34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35">
      <pivotArea dataOnly="0" labelOnly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536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37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538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539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540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41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42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43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544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5">
      <pivotArea dataOnly="0" labelOnly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46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47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48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49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50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551">
      <pivotArea dataOnly="0" labelOnly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552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53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54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555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56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557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558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559">
      <pivotArea dataOnly="0" labelOnly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560">
      <pivotArea dataOnly="0" labelOnly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561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562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63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564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565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566">
      <pivotArea dataOnly="0" labelOnly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567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68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69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570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571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572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3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74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5">
      <pivotArea dataOnly="0" labelOnly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576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577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78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579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80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1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582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583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584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585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86">
      <pivotArea dataOnly="0" labelOnly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587">
      <pivotArea dataOnly="0" labelOnly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588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589">
      <pivotArea dataOnly="0" labelOnly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590">
      <pivotArea dataOnly="0" labelOnly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591">
      <pivotArea dataOnly="0" labelOnly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592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93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94">
      <pivotArea dataOnly="0" labelOnly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595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596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597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598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99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600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01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602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603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604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05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606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07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608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609">
      <pivotArea dataOnly="0" labelOnly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0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611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2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613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614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5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616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617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618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619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20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21">
      <pivotArea dataOnly="0" labelOnly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622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623">
      <pivotArea dataOnly="0" labelOnly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624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625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626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627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628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629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30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631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632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33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634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635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636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637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638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639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40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641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2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3">
      <pivotArea dataOnly="0" labelOnly="1" fieldPosition="0">
        <references count="1">
          <reference field="0" count="1">
            <x v="1"/>
          </reference>
        </references>
      </pivotArea>
    </format>
    <format dxfId="644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645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46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647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648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49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650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651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652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653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654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55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656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657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658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659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660">
      <pivotArea dataOnly="0" labelOnly="1" offset="B256:IV256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661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62">
      <pivotArea dataOnly="0" labelOnly="1" offset="B256:IV256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663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664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665">
      <pivotArea dataOnly="0" labelOnly="1" fieldPosition="0">
        <references count="1">
          <reference field="0" count="1">
            <x v="5"/>
          </reference>
        </references>
      </pivotArea>
    </format>
    <format dxfId="666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667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668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669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670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71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72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73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674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675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676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677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678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679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680">
      <pivotArea dataOnly="0" labelOnly="1" fieldPosition="0">
        <references count="1">
          <reference field="0" count="1">
            <x v="6"/>
          </reference>
        </references>
      </pivotArea>
    </format>
    <format dxfId="681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682">
      <pivotArea dataOnly="0" labelOnly="1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>
            <x v="3"/>
          </reference>
        </references>
      </pivotArea>
    </format>
    <format dxfId="683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84">
      <pivotArea collapsedLevelsAreSubtotals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85">
      <pivotArea dataOnly="0" labelOnly="1" fieldPosition="0">
        <references count="1">
          <reference field="0" count="1">
            <x v="7"/>
          </reference>
        </references>
      </pivotArea>
    </format>
    <format dxfId="686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687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688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689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690">
      <pivotArea dataOnly="0" labelOnly="1" fieldPosition="0">
        <references count="1">
          <reference field="0" count="1">
            <x v="8"/>
          </reference>
        </references>
      </pivotArea>
    </format>
    <format dxfId="691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692">
      <pivotArea collapsedLevelsAreSubtotals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93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694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95">
      <pivotArea collapsedLevelsAreSubtotals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96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697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98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699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700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701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702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03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04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705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706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707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708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09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10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11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12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713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714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15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16">
      <pivotArea dataOnly="0" labelOnly="1" fieldPosition="0">
        <references count="1">
          <reference field="0" count="1">
            <x v="13"/>
          </reference>
        </references>
      </pivotArea>
    </format>
    <format dxfId="717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718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19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20">
      <pivotArea dataOnly="0" labelOnly="1" fieldPosition="0">
        <references count="1">
          <reference field="0" count="1">
            <x v="12"/>
          </reference>
        </references>
      </pivotArea>
    </format>
    <format dxfId="721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722">
      <pivotArea dataOnly="0" labelOnly="1" fieldPosition="0">
        <references count="1">
          <reference field="1" count="0"/>
        </references>
      </pivotArea>
    </format>
    <format dxfId="723">
      <pivotArea dataOnly="0" labelOnly="1" fieldPosition="0">
        <references count="1">
          <reference field="3" count="0"/>
        </references>
      </pivotArea>
    </format>
    <format dxfId="724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25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726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27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28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729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730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731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732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733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34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735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736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37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38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739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740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741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742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743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44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45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46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47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48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749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750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51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752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753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754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755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756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757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758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759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760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761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762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763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64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765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766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767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68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69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70">
      <pivotArea dataOnly="0" labelOnly="1" fieldPosition="0">
        <references count="1">
          <reference field="4" count="0"/>
        </references>
      </pivotArea>
    </format>
    <format dxfId="771">
      <pivotArea dataOnly="0" outline="0" fieldPosition="0">
        <references count="1">
          <reference field="0" count="1">
            <x v="0"/>
          </reference>
        </references>
      </pivotArea>
    </format>
    <format dxfId="772">
      <pivotArea dataOnly="0" labelOnly="1" fieldPosition="0">
        <references count="1">
          <reference field="0" count="1">
            <x v="0"/>
          </reference>
        </references>
      </pivotArea>
    </format>
    <format dxfId="773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774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77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776">
      <pivotArea dataOnly="0" labelOnly="1" fieldPosition="0">
        <references count="1">
          <reference field="0" count="0"/>
        </references>
      </pivotArea>
    </format>
    <format dxfId="777">
      <pivotArea collapsedLevelsAreSubtotals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778">
      <pivotArea dataOnly="0" labelOnly="1" fieldPosition="0">
        <references count="1">
          <reference field="0" count="1">
            <x v="4"/>
          </reference>
        </references>
      </pivotArea>
    </format>
    <format dxfId="779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780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781">
      <pivotArea dataOnly="0" labelOnly="1" fieldPosition="0">
        <references count="1">
          <reference field="0" count="1">
            <x v="5"/>
          </reference>
        </references>
      </pivotArea>
    </format>
    <format dxfId="782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783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784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785">
      <pivotArea dataOnly="0" labelOnly="1" fieldPosition="0">
        <references count="1">
          <reference field="0" count="1">
            <x v="6"/>
          </reference>
        </references>
      </pivotArea>
    </format>
    <format dxfId="786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787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788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789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790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91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92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93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94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95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796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797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798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799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800">
      <pivotArea collapsedLevelsAreSubtotals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801">
      <pivotArea dataOnly="0" labelOnly="1" fieldPosition="0">
        <references count="1">
          <reference field="0" count="1">
            <x v="7"/>
          </reference>
        </references>
      </pivotArea>
    </format>
    <format dxfId="802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803">
      <pivotArea dataOnly="0" labelOnly="1" fieldPosition="0">
        <references count="3">
          <reference field="0" count="1" selected="0">
            <x v="7"/>
          </reference>
          <reference field="1" count="1">
            <x v="69"/>
          </reference>
          <reference field="2" count="1" selected="0">
            <x v="26"/>
          </reference>
        </references>
      </pivotArea>
    </format>
    <format dxfId="804">
      <pivotArea dataOnly="0" labelOnly="1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>
            <x v="3"/>
          </reference>
        </references>
      </pivotArea>
    </format>
    <format dxfId="805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806">
      <pivotArea dataOnly="0" labelOnly="1" fieldPosition="0">
        <references count="1">
          <reference field="0" count="1">
            <x v="8"/>
          </reference>
        </references>
      </pivotArea>
    </format>
    <format dxfId="807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808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809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810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811">
      <pivotArea collapsedLevelsAreSubtotals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12">
      <pivotArea dataOnly="0" labelOnly="1" fieldPosition="0">
        <references count="1">
          <reference field="0" count="1">
            <x v="11"/>
          </reference>
        </references>
      </pivotArea>
    </format>
    <format dxfId="813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814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815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16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817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818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819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820">
      <pivotArea dataOnly="0" labelOnly="1" fieldPosition="0">
        <references count="1">
          <reference field="0" count="1">
            <x v="14"/>
          </reference>
        </references>
      </pivotArea>
    </format>
    <format dxfId="821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822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823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824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825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826">
      <pivotArea collapsedLevelsAreSubtotals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27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828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829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30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831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832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833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834">
      <pivotArea collapsedLevelsAreSubtotals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835">
      <pivotArea collapsedLevelsAreSubtotals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36">
      <pivotArea collapsedLevelsAreSubtotals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37">
      <pivotArea collapsedLevelsAreSubtotals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838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839">
      <pivotArea dataOnly="0" labelOnly="1" fieldPosition="0">
        <references count="3">
          <reference field="0" count="1" selected="0">
            <x v="16"/>
          </reference>
          <reference field="1" count="16">
            <x v="22"/>
            <x v="24"/>
            <x v="27"/>
            <x v="78"/>
            <x v="115"/>
            <x v="133"/>
            <x v="141"/>
            <x v="174"/>
            <x v="287"/>
            <x v="300"/>
            <x v="327"/>
            <x v="370"/>
            <x v="386"/>
            <x v="387"/>
            <x v="396"/>
            <x v="423"/>
          </reference>
          <reference field="2" count="1" selected="0">
            <x v="5"/>
          </reference>
        </references>
      </pivotArea>
    </format>
    <format dxfId="840">
      <pivotArea dataOnly="0" labelOnly="1" fieldPosition="0">
        <references count="4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841">
      <pivotArea dataOnly="0" labelOnly="1" fieldPosition="0">
        <references count="4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842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843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844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845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846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847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848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849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850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51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52">
      <pivotArea dataOnly="0" labelOnly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853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854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855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856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857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858">
      <pivotArea collapsedLevelsAreSubtotals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859">
      <pivotArea dataOnly="0" labelOnly="1" fieldPosition="0">
        <references count="1">
          <reference field="0" count="1">
            <x v="17"/>
          </reference>
        </references>
      </pivotArea>
    </format>
    <format dxfId="860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861">
      <pivotArea dataOnly="0" labelOnly="1" fieldPosition="0">
        <references count="3">
          <reference field="0" count="1" selected="0">
            <x v="17"/>
          </reference>
          <reference field="1" count="7">
            <x v="112"/>
            <x v="125"/>
            <x v="192"/>
            <x v="282"/>
            <x v="283"/>
            <x v="376"/>
            <x v="430"/>
          </reference>
          <reference field="2" count="1" selected="0">
            <x v="33"/>
          </reference>
        </references>
      </pivotArea>
    </format>
    <format dxfId="862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863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864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865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866">
      <pivotArea dataOnly="0" labelOnly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867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868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69">
      <pivotArea collapsedLevelsAreSubtotals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70">
      <pivotArea collapsedLevelsAreSubtotals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871">
      <pivotArea collapsedLevelsAreSubtotals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872">
      <pivotArea dataOnly="0" labelOnly="1" fieldPosition="0">
        <references count="1">
          <reference field="0" count="1">
            <x v="18"/>
          </reference>
        </references>
      </pivotArea>
    </format>
    <format dxfId="873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874">
      <pivotArea dataOnly="0" labelOnly="1" fieldPosition="0">
        <references count="3">
          <reference field="0" count="1" selected="0">
            <x v="18"/>
          </reference>
          <reference field="1" count="17">
            <x v="98"/>
            <x v="124"/>
            <x v="158"/>
            <x v="159"/>
            <x v="177"/>
            <x v="178"/>
            <x v="258"/>
            <x v="273"/>
            <x v="286"/>
            <x v="289"/>
            <x v="297"/>
            <x v="305"/>
            <x v="306"/>
            <x v="392"/>
            <x v="420"/>
            <x v="421"/>
            <x v="435"/>
          </reference>
          <reference field="2" count="1" selected="0">
            <x v="0"/>
          </reference>
        </references>
      </pivotArea>
    </format>
    <format dxfId="875">
      <pivotArea dataOnly="0" labelOnly="1" fieldPosition="0">
        <references count="4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876">
      <pivotArea dataOnly="0" labelOnly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77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878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879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880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881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882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883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884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85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886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887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888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889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890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891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892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893">
      <pivotArea collapsedLevelsAreSubtotals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894">
      <pivotArea collapsedLevelsAreSubtotals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895">
      <pivotArea collapsedLevelsAreSubtotals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96">
      <pivotArea collapsedLevelsAreSubtotals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97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898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899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900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901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902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903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04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05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06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907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908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09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910">
      <pivotArea collapsedLevelsAreSubtotals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911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912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913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914">
      <pivotArea collapsedLevelsAreSubtotals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15">
      <pivotArea collapsedLevelsAreSubtotals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16">
      <pivotArea collapsedLevelsAreSubtotals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17">
      <pivotArea collapsedLevelsAreSubtotals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18">
      <pivotArea collapsedLevelsAreSubtotals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19">
      <pivotArea collapsedLevelsAreSubtotals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920">
      <pivotArea dataOnly="0" labelOnly="1" fieldPosition="0">
        <references count="1">
          <reference field="0" count="1">
            <x v="21"/>
          </reference>
        </references>
      </pivotArea>
    </format>
    <format dxfId="921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922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23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924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25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26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27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928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29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930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31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932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933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934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35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936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937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38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939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40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41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42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943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944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45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46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947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948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949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50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951">
      <pivotArea collapsedLevelsAreSubtotals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952">
      <pivotArea collapsedLevelsAreSubtotals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53">
      <pivotArea collapsedLevelsAreSubtotals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954">
      <pivotArea dataOnly="0" labelOnly="1" fieldPosition="0">
        <references count="1">
          <reference field="0" count="1">
            <x v="22"/>
          </reference>
        </references>
      </pivotArea>
    </format>
    <format dxfId="955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956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957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958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959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960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961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962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963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964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965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66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67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968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969">
      <pivotArea dataOnly="0" labelOnly="1" fieldPosition="0">
        <references count="1">
          <reference field="0" count="1">
            <x v="23"/>
          </reference>
        </references>
      </pivotArea>
    </format>
    <format dxfId="970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971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72">
      <pivotArea dataOnly="0" labelOnly="1" fieldPosition="0">
        <references count="1">
          <reference field="0" count="1">
            <x v="24"/>
          </reference>
        </references>
      </pivotArea>
    </format>
    <format dxfId="973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974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975">
      <pivotArea collapsedLevelsAreSubtotals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76">
      <pivotArea dataOnly="0" labelOnly="1" fieldPosition="0">
        <references count="1">
          <reference field="0" count="1">
            <x v="25"/>
          </reference>
        </references>
      </pivotArea>
    </format>
    <format dxfId="977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978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97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980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981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82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983">
      <pivotArea collapsedLevelsAreSubtotals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984">
      <pivotArea collapsedLevelsAreSubtotals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985">
      <pivotArea dataOnly="0" labelOnly="1" fieldPosition="0">
        <references count="1">
          <reference field="0" count="1">
            <x v="26"/>
          </reference>
        </references>
      </pivotArea>
    </format>
    <format dxfId="986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987">
      <pivotArea dataOnly="0" labelOnly="1" fieldPosition="0">
        <references count="3">
          <reference field="0" count="1" selected="0">
            <x v="26"/>
          </reference>
          <reference field="1" count="10">
            <x v="83"/>
            <x v="104"/>
            <x v="105"/>
            <x v="106"/>
            <x v="311"/>
            <x v="336"/>
            <x v="365"/>
            <x v="416"/>
            <x v="422"/>
            <x v="448"/>
          </reference>
          <reference field="2" count="1" selected="0">
            <x v="39"/>
          </reference>
        </references>
      </pivotArea>
    </format>
    <format dxfId="988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989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990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991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992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993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994">
      <pivotArea dataOnly="0" labelOnly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995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996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997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998">
      <pivotArea collapsedLevelsAreSubtotals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999">
      <pivotArea collapsedLevelsAreSubtotals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00">
      <pivotArea collapsedLevelsAreSubtotals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01">
      <pivotArea dataOnly="0" labelOnly="1" fieldPosition="0">
        <references count="1">
          <reference field="0" count="1">
            <x v="27"/>
          </reference>
        </references>
      </pivotArea>
    </format>
    <format dxfId="1002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100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004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005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06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07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100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1009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1010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1011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12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1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14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015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016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17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18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19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020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21">
      <pivotArea collapsedLevelsAreSubtotals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22">
      <pivotArea dataOnly="0" labelOnly="1" fieldPosition="0">
        <references count="1">
          <reference field="0" count="1">
            <x v="28"/>
          </reference>
        </references>
      </pivotArea>
    </format>
    <format dxfId="1023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1024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25">
      <pivotArea dataOnly="0" labelOnly="1" fieldPosition="0">
        <references count="1">
          <reference field="0" count="1">
            <x v="29"/>
          </reference>
        </references>
      </pivotArea>
    </format>
    <format dxfId="1026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102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1028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029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30">
      <pivotArea dataOnly="0" labelOnly="1" fieldPosition="0">
        <references count="1">
          <reference field="0" count="1">
            <x v="30"/>
          </reference>
        </references>
      </pivotArea>
    </format>
    <format dxfId="1031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1032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033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034">
      <pivotArea collapsedLevelsAreSubtotals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35">
      <pivotArea dataOnly="0" labelOnly="1" fieldPosition="0">
        <references count="1">
          <reference field="0" count="1">
            <x v="31"/>
          </reference>
        </references>
      </pivotArea>
    </format>
    <format dxfId="1036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1037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038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1039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40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1041">
      <pivotArea dataOnly="0" labelOnly="1" fieldPosition="0">
        <references count="1">
          <reference field="0" count="1">
            <x v="32"/>
          </reference>
        </references>
      </pivotArea>
    </format>
    <format dxfId="1042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1043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44">
      <pivotArea collapsedLevelsAreSubtotals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45">
      <pivotArea collapsedLevelsAreSubtotals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046">
      <pivotArea collapsedLevelsAreSubtotals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47">
      <pivotArea collapsedLevelsAreSubtotals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48">
      <pivotArea dataOnly="0" labelOnly="1" fieldPosition="0">
        <references count="1">
          <reference field="0" count="1">
            <x v="33"/>
          </reference>
        </references>
      </pivotArea>
    </format>
    <format dxfId="1049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1050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51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052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53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54">
      <pivotArea collapsedLevelsAreSubtotals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055">
      <pivotArea collapsedLevelsAreSubtotals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56">
      <pivotArea dataOnly="0" labelOnly="1" fieldPosition="0">
        <references count="1">
          <reference field="0" count="1">
            <x v="34"/>
          </reference>
        </references>
      </pivotArea>
    </format>
    <format dxfId="1057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1058">
      <pivotArea dataOnly="0" labelOnly="1" fieldPosition="0">
        <references count="3">
          <reference field="0" count="1" selected="0">
            <x v="34"/>
          </reference>
          <reference field="1" count="4">
            <x v="44"/>
            <x v="109"/>
            <x v="296"/>
            <x v="301"/>
          </reference>
          <reference field="2" count="1" selected="0">
            <x v="55"/>
          </reference>
        </references>
      </pivotArea>
    </format>
    <format dxfId="1059">
      <pivotArea dataOnly="0" labelOnly="1" fieldPosition="0">
        <references count="4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>
            <x v="0"/>
          </reference>
        </references>
      </pivotArea>
    </format>
    <format dxfId="1060">
      <pivotArea dataOnly="0" labelOnly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061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1062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63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064">
      <pivotArea dataOnly="0" labelOnly="1" fieldPosition="0">
        <references count="1">
          <reference field="0" count="1">
            <x v="35"/>
          </reference>
        </references>
      </pivotArea>
    </format>
    <format dxfId="1065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1066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1067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1068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1069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1070">
      <pivotArea collapsedLevelsAreSubtotals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1071">
      <pivotArea dataOnly="0" labelOnly="1" fieldPosition="0">
        <references count="1">
          <reference field="0" count="1">
            <x v="36"/>
          </reference>
        </references>
      </pivotArea>
    </format>
    <format dxfId="1072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1073">
      <pivotArea dataOnly="0" labelOnly="1" fieldPosition="0">
        <references count="3">
          <reference field="0" count="1" selected="0">
            <x v="36"/>
          </reference>
          <reference field="1" count="3">
            <x v="195"/>
            <x v="226"/>
            <x v="337"/>
          </reference>
          <reference field="2" count="1" selected="0">
            <x v="19"/>
          </reference>
        </references>
      </pivotArea>
    </format>
    <format dxfId="1074">
      <pivotArea dataOnly="0" labelOnly="1" fieldPosition="0">
        <references count="4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>
            <x v="3"/>
          </reference>
        </references>
      </pivotArea>
    </format>
    <format dxfId="1075">
      <pivotArea dataOnly="0" labelOnly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1076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1077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078">
      <pivotArea collapsedLevelsAreSubtotals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79">
      <pivotArea collapsedLevelsAreSubtotals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1080">
      <pivotArea collapsedLevelsAreSubtotals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81">
      <pivotArea collapsedLevelsAreSubtotals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82">
      <pivotArea dataOnly="0" labelOnly="1" fieldPosition="0">
        <references count="1">
          <reference field="0" count="1">
            <x v="37"/>
          </reference>
        </references>
      </pivotArea>
    </format>
    <format dxfId="1083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1084">
      <pivotArea dataOnly="0" labelOnly="1" fieldPosition="0">
        <references count="3">
          <reference field="0" count="1" selected="0">
            <x v="37"/>
          </reference>
          <reference field="1" count="11">
            <x v="63"/>
            <x v="151"/>
            <x v="152"/>
            <x v="153"/>
            <x v="234"/>
            <x v="310"/>
            <x v="323"/>
            <x v="379"/>
            <x v="424"/>
            <x v="425"/>
            <x v="428"/>
          </reference>
          <reference field="2" count="1" selected="0">
            <x v="3"/>
          </reference>
        </references>
      </pivotArea>
    </format>
    <format dxfId="1085">
      <pivotArea dataOnly="0" labelOnly="1" fieldPosition="0">
        <references count="4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1086">
      <pivotArea dataOnly="0" labelOnly="1" fieldPosition="0">
        <references count="4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1087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88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1089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1090">
      <pivotArea dataOnly="0" labelOnly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1091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1092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93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1094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95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1096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1097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98">
      <pivotArea collapsedLevelsAreSubtotals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099">
      <pivotArea collapsedLevelsAreSubtotals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00">
      <pivotArea collapsedLevelsAreSubtotals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01">
      <pivotArea dataOnly="0" labelOnly="1" fieldPosition="0">
        <references count="1">
          <reference field="0" count="1">
            <x v="38"/>
          </reference>
        </references>
      </pivotArea>
    </format>
    <format dxfId="1102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1103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04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105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106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1107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108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1109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1110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1111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12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1113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1114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1115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1116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1117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18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1119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1120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121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22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1123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24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25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1126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1127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1128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129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1130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1131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1132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1133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34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135">
      <pivotArea collapsedLevelsAreSubtotals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36">
      <pivotArea collapsedLevelsAreSubtotals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1137">
      <pivotArea collapsedLevelsAreSubtotals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1138">
      <pivotArea dataOnly="0" labelOnly="1" fieldPosition="0">
        <references count="1">
          <reference field="0" count="1">
            <x v="39"/>
          </reference>
        </references>
      </pivotArea>
    </format>
    <format dxfId="1139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1140">
      <pivotArea dataOnly="0" labelOnly="1" fieldPosition="0">
        <references count="3">
          <reference field="0" count="1" selected="0">
            <x v="39"/>
          </reference>
          <reference field="1" count="9">
            <x v="4"/>
            <x v="76"/>
            <x v="130"/>
            <x v="188"/>
            <x v="224"/>
            <x v="314"/>
            <x v="321"/>
            <x v="339"/>
            <x v="402"/>
          </reference>
          <reference field="2" count="1" selected="0">
            <x v="51"/>
          </reference>
        </references>
      </pivotArea>
    </format>
    <format dxfId="1141">
      <pivotArea dataOnly="0" labelOnly="1" fieldPosition="0">
        <references count="4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1142">
      <pivotArea dataOnly="0" labelOnly="1" fieldPosition="0">
        <references count="4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1143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1144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45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46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1147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1148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149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1150">
      <pivotArea dataOnly="0" labelOnly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1151">
      <pivotArea dataOnly="0" labelOnly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1152">
      <pivotArea collapsedLevelsAreSubtotals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53">
      <pivotArea collapsedLevelsAreSubtotals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54">
      <pivotArea collapsedLevelsAreSubtotals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155">
      <pivotArea collapsedLevelsAreSubtotals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56">
      <pivotArea collapsedLevelsAreSubtotals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57">
      <pivotArea collapsedLevelsAreSubtotals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58">
      <pivotArea collapsedLevelsAreSubtotals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59">
      <pivotArea collapsedLevelsAreSubtotals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60">
      <pivotArea collapsedLevelsAreSubtotals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61">
      <pivotArea dataOnly="0" labelOnly="1" fieldPosition="0">
        <references count="1">
          <reference field="0" count="1">
            <x v="40"/>
          </reference>
        </references>
      </pivotArea>
    </format>
    <format dxfId="1162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1163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1164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1165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66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1167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1168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1169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70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1171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172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173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174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75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176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77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1178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79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1180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1181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82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83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1184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85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86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1187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1188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189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1190">
      <pivotArea collapsedLevelsAreSubtotals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91">
      <pivotArea collapsedLevelsAreSubtotals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92">
      <pivotArea dataOnly="0" labelOnly="1" fieldPosition="0">
        <references count="1">
          <reference field="0" count="1">
            <x v="41"/>
          </reference>
        </references>
      </pivotArea>
    </format>
    <format dxfId="1193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1194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1195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1196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97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1198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1199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200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1201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202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1203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204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05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1206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1207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208">
      <pivotArea collapsedLevelsAreSubtotals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09">
      <pivotArea collapsedLevelsAreSubtotals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10">
      <pivotArea collapsedLevelsAreSubtotals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11">
      <pivotArea collapsedLevelsAreSubtotals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12">
      <pivotArea collapsedLevelsAreSubtotals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13">
      <pivotArea dataOnly="0" labelOnly="1" fieldPosition="0">
        <references count="1">
          <reference field="0" count="1">
            <x v="42"/>
          </reference>
        </references>
      </pivotArea>
    </format>
    <format dxfId="1214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1215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216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1217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18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19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20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21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22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23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1224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25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226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1227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28">
      <pivotArea collapsedLevelsAreSubtotals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229">
      <pivotArea dataOnly="0" labelOnly="1" fieldPosition="0">
        <references count="1">
          <reference field="0" count="1">
            <x v="43"/>
          </reference>
        </references>
      </pivotArea>
    </format>
    <format dxfId="1230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1231">
      <pivotArea dataOnly="0" labelOnly="1" fieldPosition="0">
        <references count="3">
          <reference field="0" count="1" selected="0">
            <x v="43"/>
          </reference>
          <reference field="1" count="9">
            <x v="13"/>
            <x v="14"/>
            <x v="16"/>
            <x v="84"/>
            <x v="133"/>
            <x v="181"/>
            <x v="210"/>
            <x v="291"/>
            <x v="312"/>
          </reference>
          <reference field="2" count="1" selected="0">
            <x v="29"/>
          </reference>
        </references>
      </pivotArea>
    </format>
    <format dxfId="1232">
      <pivotArea dataOnly="0" labelOnly="1" fieldPosition="0">
        <references count="4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1233">
      <pivotArea dataOnly="0" labelOnly="1" fieldPosition="0">
        <references count="4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1234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1235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1236">
      <pivotArea dataOnly="0" labelOnly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237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1238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1239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1240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1241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1242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1243">
      <pivotArea collapsedLevelsAreSubtotals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44">
      <pivotArea collapsedLevelsAreSubtotals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45">
      <pivotArea collapsedLevelsAreSubtotals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46">
      <pivotArea collapsedLevelsAreSubtotals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47">
      <pivotArea collapsedLevelsAreSubtotals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48">
      <pivotArea collapsedLevelsAreSubtotals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49">
      <pivotArea collapsedLevelsAreSubtotals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1250">
      <pivotArea collapsedLevelsAreSubtotals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51">
      <pivotArea collapsedLevelsAreSubtotals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52">
      <pivotArea collapsedLevelsAreSubtotals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53">
      <pivotArea dataOnly="0" labelOnly="1" fieldPosition="0">
        <references count="1">
          <reference field="0" count="1">
            <x v="44"/>
          </reference>
        </references>
      </pivotArea>
    </format>
    <format dxfId="1254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1255">
      <pivotArea dataOnly="0" labelOnly="1" fieldPosition="0">
        <references count="3">
          <reference field="0" count="1" selected="0">
            <x v="44"/>
          </reference>
          <reference field="1" count="20">
            <x v="21"/>
            <x v="23"/>
            <x v="35"/>
            <x v="150"/>
            <x v="173"/>
            <x v="186"/>
            <x v="203"/>
            <x v="219"/>
            <x v="241"/>
            <x v="249"/>
            <x v="250"/>
            <x v="251"/>
            <x v="252"/>
            <x v="298"/>
            <x v="329"/>
            <x v="362"/>
            <x v="393"/>
            <x v="398"/>
            <x v="433"/>
            <x v="434"/>
          </reference>
          <reference field="2" count="1" selected="0">
            <x v="25"/>
          </reference>
        </references>
      </pivotArea>
    </format>
    <format dxfId="1256">
      <pivotArea dataOnly="0" labelOnly="1" fieldPosition="0">
        <references count="4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1257">
      <pivotArea dataOnly="0" labelOnly="1" fieldPosition="0">
        <references count="4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1258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259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60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1261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1262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63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264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1265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1266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67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68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69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70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71">
      <pivotArea dataOnly="0" labelOnly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1272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73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274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1275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1276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277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78">
      <pivotArea collapsedLevelsAreSubtotals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79">
      <pivotArea collapsedLevelsAreSubtotals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280">
      <pivotArea collapsedLevelsAreSubtotals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81">
      <pivotArea collapsedLevelsAreSubtotals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1282">
      <pivotArea collapsedLevelsAreSubtotals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83">
      <pivotArea dataOnly="0" labelOnly="1" fieldPosition="0">
        <references count="1">
          <reference field="0" count="1">
            <x v="45"/>
          </reference>
        </references>
      </pivotArea>
    </format>
    <format dxfId="1284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1285">
      <pivotArea dataOnly="0" labelOnly="1" fieldPosition="0">
        <references count="3">
          <reference field="0" count="1" selected="0">
            <x v="45"/>
          </reference>
          <reference field="1" count="12">
            <x v="52"/>
            <x v="97"/>
            <x v="101"/>
            <x v="189"/>
            <x v="190"/>
            <x v="253"/>
            <x v="263"/>
            <x v="307"/>
            <x v="368"/>
            <x v="385"/>
            <x v="411"/>
            <x v="445"/>
          </reference>
          <reference field="2" count="1" selected="0">
            <x v="24"/>
          </reference>
        </references>
      </pivotArea>
    </format>
    <format dxfId="1286">
      <pivotArea dataOnly="0" labelOnly="1" fieldPosition="0">
        <references count="4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1287">
      <pivotArea dataOnly="0" labelOnly="1" fieldPosition="0">
        <references count="4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1288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289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1290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91">
      <pivotArea dataOnly="0" labelOnly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292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293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94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95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296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297">
      <pivotArea dataOnly="0" labelOnly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1298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99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300">
      <pivotArea dataOnly="0" labelOnly="1" fieldPosition="0">
        <references count="1">
          <reference field="0" count="1">
            <x v="46"/>
          </reference>
        </references>
      </pivotArea>
    </format>
    <format dxfId="1301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1302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303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04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1305">
      <pivotArea collapsedLevelsAreSubtotals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1306">
      <pivotArea collapsedLevelsAreSubtotals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307">
      <pivotArea collapsedLevelsAreSubtotals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08">
      <pivotArea collapsedLevelsAreSubtotals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309">
      <pivotArea dataOnly="0" labelOnly="1" fieldPosition="0">
        <references count="1">
          <reference field="0" count="1">
            <x v="47"/>
          </reference>
        </references>
      </pivotArea>
    </format>
    <format dxfId="1310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1311">
      <pivotArea dataOnly="0" labelOnly="1" fieldPosition="0">
        <references count="3">
          <reference field="0" count="1" selected="0">
            <x v="47"/>
          </reference>
          <reference field="1" count="9">
            <x v="37"/>
            <x v="85"/>
            <x v="118"/>
            <x v="184"/>
            <x v="234"/>
            <x v="319"/>
            <x v="356"/>
            <x v="358"/>
            <x v="359"/>
          </reference>
          <reference field="2" count="1" selected="0">
            <x v="37"/>
          </reference>
        </references>
      </pivotArea>
    </format>
    <format dxfId="1312">
      <pivotArea dataOnly="0" labelOnly="1" fieldPosition="0">
        <references count="4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>
            <x v="1"/>
          </reference>
        </references>
      </pivotArea>
    </format>
    <format dxfId="1313">
      <pivotArea dataOnly="0" labelOnly="1" fieldPosition="0">
        <references count="4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1314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315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1316">
      <pivotArea dataOnly="0" labelOnly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1317">
      <pivotArea dataOnly="0" labelOnly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318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1319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20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321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322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1323">
      <pivotArea collapsedLevelsAreSubtotals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1324">
      <pivotArea dataOnly="0" labelOnly="1" fieldPosition="0">
        <references count="1">
          <reference field="0" count="1">
            <x v="48"/>
          </reference>
        </references>
      </pivotArea>
    </format>
    <format dxfId="1325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1326">
      <pivotArea dataOnly="0" labelOnly="1" fieldPosition="0">
        <references count="3">
          <reference field="0" count="1" selected="0">
            <x v="48"/>
          </reference>
          <reference field="1" count="1">
            <x v="276"/>
          </reference>
          <reference field="2" count="1" selected="0">
            <x v="32"/>
          </reference>
        </references>
      </pivotArea>
    </format>
    <format dxfId="1327">
      <pivotArea dataOnly="0" labelOnly="1" fieldPosition="0">
        <references count="4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>
            <x v="7"/>
          </reference>
        </references>
      </pivotArea>
    </format>
    <format dxfId="1328">
      <pivotArea dataOnly="0" labelOnly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1329">
      <pivotArea collapsedLevelsAreSubtotals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330">
      <pivotArea collapsedLevelsAreSubtotals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31">
      <pivotArea dataOnly="0" labelOnly="1" fieldPosition="0">
        <references count="1">
          <reference field="0" count="1">
            <x v="49"/>
          </reference>
        </references>
      </pivotArea>
    </format>
    <format dxfId="1332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1333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334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35">
      <pivotArea collapsedLevelsAreSubtotals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336">
      <pivotArea collapsedLevelsAreSubtotals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1337">
      <pivotArea dataOnly="0" labelOnly="1" fieldPosition="0">
        <references count="1">
          <reference field="0" count="1">
            <x v="50"/>
          </reference>
        </references>
      </pivotArea>
    </format>
    <format dxfId="1338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1339">
      <pivotArea dataOnly="0" labelOnly="1" fieldPosition="0">
        <references count="3">
          <reference field="0" count="1" selected="0">
            <x v="50"/>
          </reference>
          <reference field="1" count="9">
            <x v="20"/>
            <x v="139"/>
            <x v="169"/>
            <x v="202"/>
            <x v="211"/>
            <x v="265"/>
            <x v="268"/>
            <x v="346"/>
            <x v="388"/>
          </reference>
          <reference field="2" count="1" selected="0">
            <x v="44"/>
          </reference>
        </references>
      </pivotArea>
    </format>
    <format dxfId="1340">
      <pivotArea dataOnly="0" labelOnly="1" fieldPosition="0">
        <references count="4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>
            <x v="7"/>
          </reference>
        </references>
      </pivotArea>
    </format>
    <format dxfId="1341">
      <pivotArea dataOnly="0" labelOnly="1" fieldPosition="0">
        <references count="4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1342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1343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344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345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346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347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348">
      <pivotArea dataOnly="0" labelOnly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1349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1350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351">
      <pivotArea dataOnly="0" labelOnly="1" fieldPosition="0">
        <references count="1">
          <reference field="0" count="1">
            <x v="51"/>
          </reference>
        </references>
      </pivotArea>
    </format>
    <format dxfId="1352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1353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1354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355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356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1357">
      <pivotArea dataOnly="0" labelOnly="1" fieldPosition="0">
        <references count="1">
          <reference field="0" count="1">
            <x v="52"/>
          </reference>
        </references>
      </pivotArea>
    </format>
    <format dxfId="1358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1359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1360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361">
      <pivotArea collapsedLevelsAreSubtotals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62">
      <pivotArea collapsedLevelsAreSubtotals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363">
      <pivotArea collapsedLevelsAreSubtotals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364">
      <pivotArea dataOnly="0" labelOnly="1" fieldPosition="0">
        <references count="1">
          <reference field="0" count="1">
            <x v="53"/>
          </reference>
        </references>
      </pivotArea>
    </format>
    <format dxfId="1365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1366">
      <pivotArea dataOnly="0" labelOnly="1" fieldPosition="0">
        <references count="3">
          <reference field="0" count="1" selected="0">
            <x v="53"/>
          </reference>
          <reference field="1" count="5">
            <x v="114"/>
            <x v="143"/>
            <x v="308"/>
            <x v="380"/>
            <x v="403"/>
          </reference>
          <reference field="2" count="1" selected="0">
            <x v="63"/>
          </reference>
        </references>
      </pivotArea>
    </format>
    <format dxfId="1367">
      <pivotArea dataOnly="0" labelOnly="1" fieldPosition="0">
        <references count="4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>
            <x v="0"/>
          </reference>
        </references>
      </pivotArea>
    </format>
    <format dxfId="1368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369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70">
      <pivotArea dataOnly="0" labelOnly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371">
      <pivotArea dataOnly="0" labelOnly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372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373">
      <pivotArea collapsedLevelsAreSubtotals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374">
      <pivotArea collapsedLevelsAreSubtotals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375">
      <pivotArea collapsedLevelsAreSubtotals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376">
      <pivotArea collapsedLevelsAreSubtotals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77">
      <pivotArea collapsedLevelsAreSubtotals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78">
      <pivotArea collapsedLevelsAreSubtotals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379">
      <pivotArea dataOnly="0" labelOnly="1" fieldPosition="0">
        <references count="1">
          <reference field="0" count="1">
            <x v="54"/>
          </reference>
        </references>
      </pivotArea>
    </format>
    <format dxfId="1380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1381">
      <pivotArea dataOnly="0" labelOnly="1" fieldPosition="0">
        <references count="3">
          <reference field="0" count="1" selected="0">
            <x v="54"/>
          </reference>
          <reference field="1" count="6">
            <x v="162"/>
            <x v="163"/>
            <x v="278"/>
            <x v="313"/>
            <x v="351"/>
            <x v="450"/>
          </reference>
          <reference field="2" count="1" selected="0">
            <x v="64"/>
          </reference>
        </references>
      </pivotArea>
    </format>
    <format dxfId="1382">
      <pivotArea dataOnly="0" labelOnly="1" fieldPosition="0">
        <references count="4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1383">
      <pivotArea dataOnly="0" labelOnly="1" fieldPosition="0">
        <references count="4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>
            <x v="0"/>
          </reference>
        </references>
      </pivotArea>
    </format>
    <format dxfId="1384">
      <pivotArea dataOnly="0" labelOnly="1" fieldPosition="0">
        <references count="4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>
            <x v="0"/>
          </reference>
        </references>
      </pivotArea>
    </format>
    <format dxfId="1385">
      <pivotArea dataOnly="0" labelOnly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386">
      <pivotArea dataOnly="0" labelOnly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387">
      <pivotArea dataOnly="0" labelOnly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388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89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90">
      <pivotArea dataOnly="0" labelOnly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391">
      <pivotArea dataOnly="0" labelOnly="1" fieldPosition="0">
        <references count="1">
          <reference field="0" count="1">
            <x v="55"/>
          </reference>
        </references>
      </pivotArea>
    </format>
    <format dxfId="1392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1393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394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395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396">
      <pivotArea dataOnly="0" labelOnly="1" fieldPosition="0">
        <references count="1">
          <reference field="0" count="1">
            <x v="56"/>
          </reference>
        </references>
      </pivotArea>
    </format>
    <format dxfId="1397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1398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399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400">
      <pivotArea dataOnly="0" labelOnly="1" fieldPosition="0">
        <references count="1">
          <reference field="0" count="1">
            <x v="57"/>
          </reference>
        </references>
      </pivotArea>
    </format>
    <format dxfId="1401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1402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03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1404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1405">
      <pivotArea collapsedLevelsAreSubtotals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06">
      <pivotArea dataOnly="0" labelOnly="1" fieldPosition="0">
        <references count="1">
          <reference field="0" count="1">
            <x v="58"/>
          </reference>
        </references>
      </pivotArea>
    </format>
    <format dxfId="1407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1408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1409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10">
      <pivotArea collapsedLevelsAreSubtotals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11">
      <pivotArea collapsedLevelsAreSubtotals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12">
      <pivotArea collapsedLevelsAreSubtotals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13">
      <pivotArea collapsedLevelsAreSubtotals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1414">
      <pivotArea collapsedLevelsAreSubtotals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15">
      <pivotArea collapsedLevelsAreSubtotals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416">
      <pivotArea dataOnly="0" labelOnly="1" fieldPosition="0">
        <references count="1">
          <reference field="0" count="1">
            <x v="59"/>
          </reference>
        </references>
      </pivotArea>
    </format>
    <format dxfId="1417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1418">
      <pivotArea dataOnly="0" labelOnly="1" fieldPosition="0">
        <references count="3">
          <reference field="0" count="1" selected="0">
            <x v="59"/>
          </reference>
          <reference field="1" count="12">
            <x v="68"/>
            <x v="79"/>
            <x v="80"/>
            <x v="148"/>
            <x v="170"/>
            <x v="187"/>
            <x v="233"/>
            <x v="281"/>
            <x v="315"/>
            <x v="335"/>
            <x v="363"/>
            <x v="377"/>
          </reference>
          <reference field="2" count="1" selected="0">
            <x v="1"/>
          </reference>
        </references>
      </pivotArea>
    </format>
    <format dxfId="1419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1420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421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422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1423">
      <pivotArea dataOnly="0" labelOnly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24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25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26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1427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28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29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430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1431">
      <pivotArea dataOnly="0" labelOnly="1" fieldPosition="0">
        <references count="1">
          <reference field="0" count="1">
            <x v="60"/>
          </reference>
        </references>
      </pivotArea>
    </format>
    <format dxfId="1432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1433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1434">
      <pivotArea collapsedLevelsAreSubtotals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35">
      <pivotArea dataOnly="0" labelOnly="1" fieldPosition="0">
        <references count="1">
          <reference field="0" count="1">
            <x v="61"/>
          </reference>
        </references>
      </pivotArea>
    </format>
    <format dxfId="1436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1437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1438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39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440">
      <pivotArea collapsedLevelsAreSubtotals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1441">
      <pivotArea collapsedLevelsAreSubtotals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1442">
      <pivotArea dataOnly="0" labelOnly="1" fieldPosition="0">
        <references count="1">
          <reference field="0" count="1">
            <x v="62"/>
          </reference>
        </references>
      </pivotArea>
    </format>
    <format dxfId="1443">
      <pivotArea dataOnly="0" labelOnly="1" fieldPosition="0">
        <references count="2">
          <reference field="0" count="1" selected="0">
            <x v="62"/>
          </reference>
          <reference field="2" count="1">
            <x v="45"/>
          </reference>
        </references>
      </pivotArea>
    </format>
    <format dxfId="1444">
      <pivotArea dataOnly="0" labelOnly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1445">
      <pivotArea dataOnly="0" labelOnly="1" fieldPosition="0">
        <references count="3">
          <reference field="0" count="1" selected="0">
            <x v="62"/>
          </reference>
          <reference field="1" count="1">
            <x v="93"/>
          </reference>
          <reference field="2" count="1" selected="0">
            <x v="45"/>
          </reference>
        </references>
      </pivotArea>
    </format>
    <format dxfId="1446">
      <pivotArea dataOnly="0" labelOnly="1" fieldPosition="0">
        <references count="4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>
            <x v="7"/>
          </reference>
        </references>
      </pivotArea>
    </format>
    <format dxfId="1447">
      <pivotArea dataOnly="0" labelOnly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1448">
      <pivotArea collapsedLevelsAreSubtotals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449">
      <pivotArea dataOnly="0" labelOnly="1" fieldPosition="0">
        <references count="1">
          <reference field="0" count="1">
            <x v="63"/>
          </reference>
        </references>
      </pivotArea>
    </format>
    <format dxfId="1450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1451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452">
      <pivotArea collapsedLevelsAreSubtotals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1453">
      <pivotArea collapsedLevelsAreSubtotals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1454">
      <pivotArea dataOnly="0" labelOnly="1" fieldPosition="0">
        <references count="1">
          <reference field="0" count="1">
            <x v="64"/>
          </reference>
        </references>
      </pivotArea>
    </format>
    <format dxfId="1455">
      <pivotArea dataOnly="0" labelOnly="1" fieldPosition="0">
        <references count="2">
          <reference field="0" count="1" selected="0">
            <x v="64"/>
          </reference>
          <reference field="2" count="1">
            <x v="60"/>
          </reference>
        </references>
      </pivotArea>
    </format>
    <format dxfId="1456">
      <pivotArea dataOnly="0" labelOnly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1457">
      <pivotArea dataOnly="0" labelOnly="1" fieldPosition="0">
        <references count="3">
          <reference field="0" count="1" selected="0">
            <x v="64"/>
          </reference>
          <reference field="1" count="1">
            <x v="401"/>
          </reference>
          <reference field="2" count="1" selected="0">
            <x v="60"/>
          </reference>
        </references>
      </pivotArea>
    </format>
    <format dxfId="1458">
      <pivotArea dataOnly="0" labelOnly="1" fieldPosition="0">
        <references count="4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>
            <x v="7"/>
          </reference>
        </references>
      </pivotArea>
    </format>
    <format dxfId="1459">
      <pivotArea dataOnly="0" labelOnly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1460">
      <pivotArea collapsedLevelsAreSubtotals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461">
      <pivotArea dataOnly="0" labelOnly="1" fieldPosition="0">
        <references count="1">
          <reference field="0" count="1">
            <x v="65"/>
          </reference>
        </references>
      </pivotArea>
    </format>
    <format dxfId="1462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1463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1464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465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1466">
      <pivotArea grandRow="1" outline="0" collapsedLevelsAreSubtotals="1" fieldPosition="0"/>
    </format>
    <format dxfId="1467">
      <pivotArea grandRow="1" outline="0" collapsedLevelsAreSubtotals="1" fieldPosition="0"/>
    </format>
    <format dxfId="1468">
      <pivotArea outline="0" collapsedLevelsAreSubtotals="1" fieldPosition="0"/>
    </format>
    <format dxfId="14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71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1472">
      <pivotArea collapsedLevelsAreSubtotals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473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474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475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1476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1477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1478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1479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480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481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482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483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1484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1485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1486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487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488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1489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1490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1491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1492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1493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1494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1495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1496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1497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1498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1499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1500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1501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1502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1503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1504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1505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1506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1507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1508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1509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1510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1511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1512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1513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1514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1515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1516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1517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1518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1519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1520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1521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1522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1523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1524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1525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1526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1527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1528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1529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1530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1531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1532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1533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1534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1535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1536">
      <pivotArea dataOnly="0" labelOnly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1537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1538">
      <pivotArea dataOnly="0" labelOnly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1539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1540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1541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542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543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44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45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546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47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48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49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50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51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552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53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554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1555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556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57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558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59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60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61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62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563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564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565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66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1567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568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69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1570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15"/>
          </reference>
        </references>
      </pivotArea>
    </format>
    <format dxfId="1571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72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573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574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575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576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577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578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79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580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581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582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583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584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585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586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587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24"/>
          </reference>
        </references>
      </pivotArea>
    </format>
    <format dxfId="1588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89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1590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591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592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593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594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595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1596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597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98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599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600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1601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602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1603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1604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605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606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607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608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609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610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611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12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613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14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615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616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1617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1618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619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1620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21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1622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1623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1624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625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1626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27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628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29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1630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1631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32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1633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634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1635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36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37">
      <pivotArea dataOnly="0" labelOnly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1638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639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640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641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1642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643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644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645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646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1647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1648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1649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1650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1651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1652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1653">
      <pivotArea dataOnly="0" labelOnly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1654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655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56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1657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658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1659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1660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661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662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1663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64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1665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1666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667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668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1669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1670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1671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672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673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674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1675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76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1677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678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79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680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681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82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83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4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685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686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7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1688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1689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1690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1691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692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1693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694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695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696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697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698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699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00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01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02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1703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04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1705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06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1707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1708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1709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710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711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1712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13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1714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15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16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17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1718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719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720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21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1722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1723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1724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25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1726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27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28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1729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730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1731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1732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1733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1734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735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1736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1737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738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39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40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1741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742">
      <pivotArea dataOnly="0" labelOnly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43">
      <pivotArea dataOnly="0" labelOnly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44">
      <pivotArea dataOnly="0" labelOnly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45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46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47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1748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174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1750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1751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52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1753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175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755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1756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1757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758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1759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60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1761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762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76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764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765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766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767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176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1769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1770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1771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72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77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74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775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776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77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78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779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80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781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82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83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84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1785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86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8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1788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789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90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91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792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793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1794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95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1796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97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98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799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00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01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802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03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04">
      <pivotArea dataOnly="0" labelOnly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805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1806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07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808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1809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1810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1811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1812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13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14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15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16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17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1818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819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20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21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1822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1823">
      <pivotArea dataOnly="0" labelOnly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1824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1825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26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1827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28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1829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1830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31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32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833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834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1835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836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1837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1838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1839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40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1841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1842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1843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1844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1845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46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1847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1848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849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50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1851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52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53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1854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1855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1856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857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1858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1859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1860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1861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62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863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4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5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6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7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8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69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70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871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1872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73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74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1875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1876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877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1878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1879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1880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881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1882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83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1884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1885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1886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87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1888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15"/>
          </reference>
        </references>
      </pivotArea>
    </format>
    <format dxfId="1889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90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891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892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893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94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1895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96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1897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1898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99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00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1901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02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03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1904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1905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906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1907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08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09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10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11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12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13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14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1915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1916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17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1918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1919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920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1921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22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1923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24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25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1926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1927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1928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29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1930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31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32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33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34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35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36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1937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38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39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1940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41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942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43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1944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1945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1946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1947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1948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1949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1950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1951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952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53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1954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1955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56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957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1958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1959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60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61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62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63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64">
      <pivotArea dataOnly="0" labelOnly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1965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66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967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1968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1969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70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71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1972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73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74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1975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976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977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1978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79">
      <pivotArea dataOnly="0" labelOnly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980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981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82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83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984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985">
      <pivotArea dataOnly="0" labelOnly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1986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87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988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989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990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91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1992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993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1994">
      <pivotArea dataOnly="0" labelOnly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1995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1996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1997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998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999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2000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2001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2002">
      <pivotArea dataOnly="0" labelOnly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2003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004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005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2006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2007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2008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009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010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11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012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013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014">
      <pivotArea dataOnly="0" labelOnly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2015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2016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017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2018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019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020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021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2022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2023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024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2025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2026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2027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028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029">
      <pivotArea dataOnly="0" labelOnly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030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2031">
      <pivotArea dataOnly="0" labelOnly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2032">
      <pivotArea dataOnly="0" labelOnly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2033">
      <pivotArea dataOnly="0" labelOnly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2034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035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036">
      <pivotArea dataOnly="0" labelOnly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2037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2038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2039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2040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041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2042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43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2044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2045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2046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2047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2048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049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050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2051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052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053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2054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055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56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2057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2058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2059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2060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2061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2062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063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064">
      <pivotArea dataOnly="0" labelOnly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2065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2066">
      <pivotArea dataOnly="0" labelOnly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2067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2068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2069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2070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2071">
      <pivotArea dataOnly="0" labelOnly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2072">
      <pivotArea field="3" type="button" dataOnly="0" labelOnly="1" outline="0" axis="axisRow" fieldPosition="3"/>
    </format>
    <format dxfId="2073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2074">
      <pivotArea collapsedLevelsAreSubtotals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2075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2076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14"/>
          </reference>
        </references>
      </pivotArea>
    </format>
    <format dxfId="2077">
      <pivotArea collapsedLevelsAreSubtotals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15"/>
          </reference>
        </references>
      </pivotArea>
    </format>
    <format dxfId="2078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15"/>
          </reference>
        </references>
      </pivotArea>
    </format>
    <format dxfId="2079">
      <pivotArea collapsedLevelsAreSubtotals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80">
      <pivotArea collapsedLevelsAreSubtotals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081">
      <pivotArea collapsedLevelsAreSubtotals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082">
      <pivotArea collapsedLevelsAreSubtotals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83">
      <pivotArea collapsedLevelsAreSubtotals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2084">
      <pivotArea collapsedLevelsAreSubtotals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2085">
      <pivotArea collapsedLevelsAreSubtotals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2086">
      <pivotArea collapsedLevelsAreSubtotals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2087">
      <pivotArea collapsedLevelsAreSubtotals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2088">
      <pivotArea collapsedLevelsAreSubtotals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089">
      <pivotArea collapsedLevelsAreSubtotals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090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2091">
      <pivotArea collapsedLevelsAreSubtotals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2092">
      <pivotArea collapsedLevelsAreSubtotals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093">
      <pivotArea collapsedLevelsAreSubtotals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94">
      <pivotArea collapsedLevelsAreSubtotals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2095">
      <pivotArea collapsedLevelsAreSubtotals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2096">
      <pivotArea collapsedLevelsAreSubtotals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097">
      <pivotArea collapsedLevelsAreSubtotals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098">
      <pivotArea collapsedLevelsAreSubtotals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099">
      <pivotArea collapsedLevelsAreSubtotals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100">
      <pivotArea collapsedLevelsAreSubtotals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101">
      <pivotArea collapsedLevelsAreSubtotals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102">
      <pivotArea collapsedLevelsAreSubtotals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103">
      <pivotArea collapsedLevelsAreSubtotals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104">
      <pivotArea collapsedLevelsAreSubtotals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2105">
      <pivotArea collapsedLevelsAreSubtotals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2106">
      <pivotArea collapsedLevelsAreSubtotals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107">
      <pivotArea collapsedLevelsAreSubtotals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108">
      <pivotArea collapsedLevelsAreSubtotals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2109">
      <pivotArea collapsedLevelsAreSubtotals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2110">
      <pivotArea collapsedLevelsAreSubtotals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111">
      <pivotArea collapsedLevelsAreSubtotals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2112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2113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114">
      <pivotArea collapsedLevelsAreSubtotals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2115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2116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2117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2118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2119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120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121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122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23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24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2125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2126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27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2128">
      <pivotArea collapsedLevelsAreSubtotals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2129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2130">
      <pivotArea collapsedLevelsAreSubtotals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2131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2132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2133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2134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2135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2136">
      <pivotArea collapsedLevelsAreSubtotals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2137">
      <pivotArea collapsedLevelsAreSubtotals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2138">
      <pivotArea collapsedLevelsAreSubtotals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2139">
      <pivotArea collapsedLevelsAreSubtotals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2140">
      <pivotArea collapsedLevelsAreSubtotals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2141">
      <pivotArea collapsedLevelsAreSubtotals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142">
      <pivotArea collapsedLevelsAreSubtotals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2143">
      <pivotArea collapsedLevelsAreSubtotals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2144">
      <pivotArea collapsedLevelsAreSubtotals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2145">
      <pivotArea collapsedLevelsAreSubtotals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2146">
      <pivotArea collapsedLevelsAreSubtotals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2147">
      <pivotArea collapsedLevelsAreSubtotals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2148">
      <pivotArea collapsedLevelsAreSubtotals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2149">
      <pivotArea collapsedLevelsAreSubtotals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2150">
      <pivotArea collapsedLevelsAreSubtotals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2151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2152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2153">
      <pivotArea collapsedLevelsAreSubtotals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2154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2155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2156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2157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2158">
      <pivotArea collapsedLevelsAreSubtotals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2159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2160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2161">
      <pivotArea collapsedLevelsAreSubtotals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2162">
      <pivotArea collapsedLevelsAreSubtotals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163">
      <pivotArea collapsedLevelsAreSubtotals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164">
      <pivotArea collapsedLevelsAreSubtotals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2165">
      <pivotArea collapsedLevelsAreSubtotals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2166">
      <pivotArea collapsedLevelsAreSubtotals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2167">
      <pivotArea collapsedLevelsAreSubtotals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2168">
      <pivotArea collapsedLevelsAreSubtotals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2169">
      <pivotArea collapsedLevelsAreSubtotals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2170">
      <pivotArea collapsedLevelsAreSubtotals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2171">
      <pivotArea collapsedLevelsAreSubtotals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2172">
      <pivotArea collapsedLevelsAreSubtotals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2173">
      <pivotArea collapsedLevelsAreSubtotals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174">
      <pivotArea collapsedLevelsAreSubtotals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2175">
      <pivotArea collapsedLevelsAreSubtotals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2176">
      <pivotArea collapsedLevelsAreSubtotals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2177">
      <pivotArea collapsedLevelsAreSubtotals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178">
      <pivotArea collapsedLevelsAreSubtotals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179">
      <pivotArea collapsedLevelsAreSubtotals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2180">
      <pivotArea collapsedLevelsAreSubtotals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2181">
      <pivotArea collapsedLevelsAreSubtotals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2182">
      <pivotArea collapsedLevelsAreSubtotals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2183">
      <pivotArea collapsedLevelsAreSubtotals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184">
      <pivotArea collapsedLevelsAreSubtotals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2185">
      <pivotArea collapsedLevelsAreSubtotals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2186">
      <pivotArea collapsedLevelsAreSubtotals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2187">
      <pivotArea collapsedLevelsAreSubtotals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188">
      <pivotArea collapsedLevelsAreSubtotals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189">
      <pivotArea collapsedLevelsAreSubtotals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2190">
      <pivotArea collapsedLevelsAreSubtotals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2191">
      <pivotArea collapsedLevelsAreSubtotals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2192">
      <pivotArea collapsedLevelsAreSubtotals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2193">
      <pivotArea collapsedLevelsAreSubtotals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2194">
      <pivotArea collapsedLevelsAreSubtotals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2195">
      <pivotArea collapsedLevelsAreSubtotals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2196">
      <pivotArea collapsedLevelsAreSubtotals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2197">
      <pivotArea collapsedLevelsAreSubtotals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2198">
      <pivotArea collapsedLevelsAreSubtotals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2199">
      <pivotArea collapsedLevelsAreSubtotals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2200">
      <pivotArea collapsedLevelsAreSubtotals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2201">
      <pivotArea collapsedLevelsAreSubtotals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2202">
      <pivotArea collapsedLevelsAreSubtotals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203">
      <pivotArea collapsedLevelsAreSubtotals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04">
      <pivotArea collapsedLevelsAreSubtotals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2205">
      <pivotArea collapsedLevelsAreSubtotals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2206">
      <pivotArea collapsedLevelsAreSubtotals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2207">
      <pivotArea collapsedLevelsAreSubtotals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2208">
      <pivotArea collapsedLevelsAreSubtotals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2209">
      <pivotArea collapsedLevelsAreSubtotals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210">
      <pivotArea collapsedLevelsAreSubtotals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2211">
      <pivotArea collapsedLevelsAreSubtotals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2212">
      <pivotArea collapsedLevelsAreSubtotals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13">
      <pivotArea collapsedLevelsAreSubtotals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2214">
      <pivotArea collapsedLevelsAreSubtotals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2215">
      <pivotArea collapsedLevelsAreSubtotals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2216">
      <pivotArea collapsedLevelsAreSubtotals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217">
      <pivotArea collapsedLevelsAreSubtotals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2218">
      <pivotArea collapsedLevelsAreSubtotals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2219">
      <pivotArea collapsedLevelsAreSubtotals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2220">
      <pivotArea collapsedLevelsAreSubtotals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221">
      <pivotArea collapsedLevelsAreSubtotals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2222">
      <pivotArea collapsedLevelsAreSubtotals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2223">
      <pivotArea collapsedLevelsAreSubtotals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2224">
      <pivotArea collapsedLevelsAreSubtotals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2225">
      <pivotArea collapsedLevelsAreSubtotals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26">
      <pivotArea collapsedLevelsAreSubtotals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2227">
      <pivotArea collapsedLevelsAreSubtotals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228">
      <pivotArea collapsedLevelsAreSubtotals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2229">
      <pivotArea collapsedLevelsAreSubtotals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2230">
      <pivotArea collapsedLevelsAreSubtotals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2231">
      <pivotArea collapsedLevelsAreSubtotals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232">
      <pivotArea collapsedLevelsAreSubtotals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33">
      <pivotArea collapsedLevelsAreSubtotals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2234">
      <pivotArea collapsedLevelsAreSubtotals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235">
      <pivotArea collapsedLevelsAreSubtotals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2236">
      <pivotArea collapsedLevelsAreSubtotals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2237">
      <pivotArea collapsedLevelsAreSubtotals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2238">
      <pivotArea collapsedLevelsAreSubtotals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2239">
      <pivotArea collapsedLevelsAreSubtotals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2240">
      <pivotArea collapsedLevelsAreSubtotals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2241">
      <pivotArea collapsedLevelsAreSubtotals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242">
      <pivotArea collapsedLevelsAreSubtotals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2243">
      <pivotArea collapsedLevelsAreSubtotals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2244">
      <pivotArea collapsedLevelsAreSubtotals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2245">
      <pivotArea collapsedLevelsAreSubtotals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2246">
      <pivotArea collapsedLevelsAreSubtotals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2247">
      <pivotArea collapsedLevelsAreSubtotals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2248">
      <pivotArea collapsedLevelsAreSubtotals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2249">
      <pivotArea collapsedLevelsAreSubtotals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250">
      <pivotArea collapsedLevelsAreSubtotals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2251">
      <pivotArea collapsedLevelsAreSubtotals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2252">
      <pivotArea collapsedLevelsAreSubtotals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253">
      <pivotArea collapsedLevelsAreSubtotals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254">
      <pivotArea collapsedLevelsAreSubtotals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2255">
      <pivotArea collapsedLevelsAreSubtotals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56">
      <pivotArea collapsedLevelsAreSubtotals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2257">
      <pivotArea collapsedLevelsAreSubtotals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58">
      <pivotArea collapsedLevelsAreSubtotals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2259">
      <pivotArea collapsedLevelsAreSubtotals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2260">
      <pivotArea collapsedLevelsAreSubtotals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2261">
      <pivotArea collapsedLevelsAreSubtotals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262">
      <pivotArea collapsedLevelsAreSubtotals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2263">
      <pivotArea collapsedLevelsAreSubtotals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2264">
      <pivotArea collapsedLevelsAreSubtotals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2265">
      <pivotArea collapsedLevelsAreSubtotals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2266">
      <pivotArea collapsedLevelsAreSubtotals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67">
      <pivotArea collapsedLevelsAreSubtotals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2268">
      <pivotArea collapsedLevelsAreSubtotals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2269">
      <pivotArea collapsedLevelsAreSubtotals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2270">
      <pivotArea collapsedLevelsAreSubtotals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271">
      <pivotArea collapsedLevelsAreSubtotals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272">
      <pivotArea collapsedLevelsAreSubtotals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273">
      <pivotArea collapsedLevelsAreSubtotals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2274">
      <pivotArea collapsedLevelsAreSubtotals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2275">
      <pivotArea collapsedLevelsAreSubtotals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2276">
      <pivotArea collapsedLevelsAreSubtotals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2277">
      <pivotArea collapsedLevelsAreSubtotals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2278">
      <pivotArea collapsedLevelsAreSubtotals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2279">
      <pivotArea collapsedLevelsAreSubtotals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2280">
      <pivotArea collapsedLevelsAreSubtotals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2281">
      <pivotArea collapsedLevelsAreSubtotals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2282">
      <pivotArea collapsedLevelsAreSubtotals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283">
      <pivotArea collapsedLevelsAreSubtotals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2284">
      <pivotArea collapsedLevelsAreSubtotals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2285">
      <pivotArea collapsedLevelsAreSubtotals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2286">
      <pivotArea collapsedLevelsAreSubtotals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2287">
      <pivotArea collapsedLevelsAreSubtotals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288">
      <pivotArea collapsedLevelsAreSubtotals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2289">
      <pivotArea collapsedLevelsAreSubtotals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2290">
      <pivotArea collapsedLevelsAreSubtotals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291">
      <pivotArea collapsedLevelsAreSubtotals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292">
      <pivotArea collapsedLevelsAreSubtotals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2293">
      <pivotArea collapsedLevelsAreSubtotals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2294">
      <pivotArea collapsedLevelsAreSubtotals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2295">
      <pivotArea collapsedLevelsAreSubtotals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2296">
      <pivotArea collapsedLevelsAreSubtotals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2297">
      <pivotArea collapsedLevelsAreSubtotals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2298">
      <pivotArea collapsedLevelsAreSubtotals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2299">
      <pivotArea collapsedLevelsAreSubtotals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300">
      <pivotArea collapsedLevelsAreSubtotals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2301">
      <pivotArea collapsedLevelsAreSubtotals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2302">
      <pivotArea collapsedLevelsAreSubtotals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2303">
      <pivotArea collapsedLevelsAreSubtotals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2304">
      <pivotArea collapsedLevelsAreSubtotals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2305">
      <pivotArea collapsedLevelsAreSubtotals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2306">
      <pivotArea collapsedLevelsAreSubtotals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2307">
      <pivotArea collapsedLevelsAreSubtotals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2308">
      <pivotArea collapsedLevelsAreSubtotals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2309">
      <pivotArea collapsedLevelsAreSubtotals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2310">
      <pivotArea collapsedLevelsAreSubtotals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2311">
      <pivotArea collapsedLevelsAreSubtotals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312">
      <pivotArea collapsedLevelsAreSubtotals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2313">
      <pivotArea collapsedLevelsAreSubtotals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2314">
      <pivotArea collapsedLevelsAreSubtotals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315">
      <pivotArea collapsedLevelsAreSubtotals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316">
      <pivotArea collapsedLevelsAreSubtotals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2317">
      <pivotArea collapsedLevelsAreSubtotals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2318">
      <pivotArea collapsedLevelsAreSubtotals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2319">
      <pivotArea collapsedLevelsAreSubtotals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2320">
      <pivotArea collapsedLevelsAreSubtotals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2321">
      <pivotArea collapsedLevelsAreSubtotals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2322">
      <pivotArea collapsedLevelsAreSubtotals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323">
      <pivotArea collapsedLevelsAreSubtotals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324">
      <pivotArea collapsedLevelsAreSubtotals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325">
      <pivotArea collapsedLevelsAreSubtotals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2326">
      <pivotArea collapsedLevelsAreSubtotals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2327">
      <pivotArea collapsedLevelsAreSubtotals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2328">
      <pivotArea collapsedLevelsAreSubtotals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2329">
      <pivotArea collapsedLevelsAreSubtotals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30">
      <pivotArea collapsedLevelsAreSubtotals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331">
      <pivotArea collapsedLevelsAreSubtotals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32">
      <pivotArea collapsedLevelsAreSubtotals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2333">
      <pivotArea collapsedLevelsAreSubtotals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2334">
      <pivotArea collapsedLevelsAreSubtotals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2335">
      <pivotArea collapsedLevelsAreSubtotals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36">
      <pivotArea collapsedLevelsAreSubtotals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337">
      <pivotArea collapsedLevelsAreSubtotals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2338">
      <pivotArea collapsedLevelsAreSubtotals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2339">
      <pivotArea collapsedLevelsAreSubtotals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40">
      <pivotArea collapsedLevelsAreSubtotals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2341">
      <pivotArea collapsedLevelsAreSubtotals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2342">
      <pivotArea collapsedLevelsAreSubtotals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2343">
      <pivotArea collapsedLevelsAreSubtotals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2344">
      <pivotArea collapsedLevelsAreSubtotals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2345">
      <pivotArea collapsedLevelsAreSubtotals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2346">
      <pivotArea collapsedLevelsAreSubtotals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2347">
      <pivotArea collapsedLevelsAreSubtotals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2348">
      <pivotArea collapsedLevelsAreSubtotals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2349">
      <pivotArea collapsedLevelsAreSubtotals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50">
      <pivotArea collapsedLevelsAreSubtotals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2351">
      <pivotArea collapsedLevelsAreSubtotals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352">
      <pivotArea collapsedLevelsAreSubtotals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2353">
      <pivotArea collapsedLevelsAreSubtotals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2354">
      <pivotArea collapsedLevelsAreSubtotals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355">
      <pivotArea collapsedLevelsAreSubtotals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2356">
      <pivotArea collapsedLevelsAreSubtotals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2357">
      <pivotArea collapsedLevelsAreSubtotals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2358">
      <pivotArea collapsedLevelsAreSubtotals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2359">
      <pivotArea collapsedLevelsAreSubtotals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2360">
      <pivotArea collapsedLevelsAreSubtotals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2361">
      <pivotArea collapsedLevelsAreSubtotals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2362">
      <pivotArea collapsedLevelsAreSubtotals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63">
      <pivotArea collapsedLevelsAreSubtotals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2364">
      <pivotArea collapsedLevelsAreSubtotals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2365">
      <pivotArea collapsedLevelsAreSubtotals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2366">
      <pivotArea collapsedLevelsAreSubtotals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2367">
      <pivotArea collapsedLevelsAreSubtotals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2368">
      <pivotArea collapsedLevelsAreSubtotals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2369">
      <pivotArea collapsedLevelsAreSubtotals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2370">
      <pivotArea collapsedLevelsAreSubtotals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2371">
      <pivotArea collapsedLevelsAreSubtotals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2372">
      <pivotArea collapsedLevelsAreSubtotals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2373">
      <pivotArea collapsedLevelsAreSubtotals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2374">
      <pivotArea collapsedLevelsAreSubtotals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2375">
      <pivotArea collapsedLevelsAreSubtotals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2376">
      <pivotArea collapsedLevelsAreSubtotals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2377">
      <pivotArea collapsedLevelsAreSubtotals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378">
      <pivotArea collapsedLevelsAreSubtotals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2379">
      <pivotArea collapsedLevelsAreSubtotals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2380">
      <pivotArea collapsedLevelsAreSubtotals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2381">
      <pivotArea collapsedLevelsAreSubtotals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2382">
      <pivotArea collapsedLevelsAreSubtotals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2383">
      <pivotArea collapsedLevelsAreSubtotals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2384">
      <pivotArea collapsedLevelsAreSubtotals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385">
      <pivotArea collapsedLevelsAreSubtotals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2386">
      <pivotArea collapsedLevelsAreSubtotals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2387">
      <pivotArea collapsedLevelsAreSubtotals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2388">
      <pivotArea collapsedLevelsAreSubtotals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2389">
      <pivotArea collapsedLevelsAreSubtotals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2390">
      <pivotArea collapsedLevelsAreSubtotals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2391">
      <pivotArea collapsedLevelsAreSubtotals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2392">
      <pivotArea collapsedLevelsAreSubtotals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2393">
      <pivotArea collapsedLevelsAreSubtotals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394">
      <pivotArea collapsedLevelsAreSubtotals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2395">
      <pivotArea collapsedLevelsAreSubtotals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2396">
      <pivotArea collapsedLevelsAreSubtotals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2397">
      <pivotArea collapsedLevelsAreSubtotals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2398">
      <pivotArea collapsedLevelsAreSubtotals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2399">
      <pivotArea collapsedLevelsAreSubtotals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400">
      <pivotArea collapsedLevelsAreSubtotals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2401">
      <pivotArea collapsedLevelsAreSubtotals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2402">
      <pivotArea collapsedLevelsAreSubtotals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2403">
      <pivotArea collapsedLevelsAreSubtotals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2404">
      <pivotArea collapsedLevelsAreSubtotals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2405">
      <pivotArea collapsedLevelsAreSubtotals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2406">
      <pivotArea collapsedLevelsAreSubtotals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2407">
      <pivotArea collapsedLevelsAreSubtotals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2408">
      <pivotArea collapsedLevelsAreSubtotals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2409">
      <pivotArea collapsedLevelsAreSubtotals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2410">
      <pivotArea collapsedLevelsAreSubtotals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2411">
      <pivotArea collapsedLevelsAreSubtotals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2412">
      <pivotArea collapsedLevelsAreSubtotals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413">
      <pivotArea collapsedLevelsAreSubtotals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2414">
      <pivotArea collapsedLevelsAreSubtotals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2415">
      <pivotArea collapsedLevelsAreSubtotals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2416">
      <pivotArea collapsedLevelsAreSubtotals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2417">
      <pivotArea collapsedLevelsAreSubtotals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2418">
      <pivotArea collapsedLevelsAreSubtotals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19">
      <pivotArea collapsedLevelsAreSubtotals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20">
      <pivotArea collapsedLevelsAreSubtotals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2421">
      <pivotArea collapsedLevelsAreSubtotals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2422">
      <pivotArea collapsedLevelsAreSubtotals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2423">
      <pivotArea collapsedLevelsAreSubtotals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2424">
      <pivotArea collapsedLevelsAreSubtotals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2425">
      <pivotArea collapsedLevelsAreSubtotals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2426">
      <pivotArea collapsedLevelsAreSubtotals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2427">
      <pivotArea collapsedLevelsAreSubtotals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2428">
      <pivotArea collapsedLevelsAreSubtotals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29">
      <pivotArea collapsedLevelsAreSubtotals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430">
      <pivotArea collapsedLevelsAreSubtotals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2431">
      <pivotArea collapsedLevelsAreSubtotals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2432">
      <pivotArea collapsedLevelsAreSubtotals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2433">
      <pivotArea collapsedLevelsAreSubtotals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2434">
      <pivotArea collapsedLevelsAreSubtotals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2435">
      <pivotArea collapsedLevelsAreSubtotals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2436">
      <pivotArea collapsedLevelsAreSubtotals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2437">
      <pivotArea collapsedLevelsAreSubtotals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2438">
      <pivotArea collapsedLevelsAreSubtotals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2439">
      <pivotArea collapsedLevelsAreSubtotals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2440">
      <pivotArea collapsedLevelsAreSubtotals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2441">
      <pivotArea collapsedLevelsAreSubtotals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442">
      <pivotArea collapsedLevelsAreSubtotals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2443">
      <pivotArea collapsedLevelsAreSubtotals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2444">
      <pivotArea collapsedLevelsAreSubtotals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2445">
      <pivotArea collapsedLevelsAreSubtotals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2446">
      <pivotArea collapsedLevelsAreSubtotals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2447">
      <pivotArea collapsedLevelsAreSubtotals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2448">
      <pivotArea collapsedLevelsAreSubtotals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2449">
      <pivotArea collapsedLevelsAreSubtotals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2450">
      <pivotArea collapsedLevelsAreSubtotals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2451">
      <pivotArea collapsedLevelsAreSubtotals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2452">
      <pivotArea collapsedLevelsAreSubtotals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2453">
      <pivotArea collapsedLevelsAreSubtotals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2454">
      <pivotArea collapsedLevelsAreSubtotals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2455">
      <pivotArea collapsedLevelsAreSubtotals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2456">
      <pivotArea collapsedLevelsAreSubtotals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2457">
      <pivotArea collapsedLevelsAreSubtotals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2458">
      <pivotArea collapsedLevelsAreSubtotals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2459">
      <pivotArea collapsedLevelsAreSubtotals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2460">
      <pivotArea collapsedLevelsAreSubtotals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2461">
      <pivotArea collapsedLevelsAreSubtotals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462">
      <pivotArea collapsedLevelsAreSubtotals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463">
      <pivotArea collapsedLevelsAreSubtotals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2464">
      <pivotArea collapsedLevelsAreSubtotals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2465">
      <pivotArea collapsedLevelsAreSubtotals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2466">
      <pivotArea collapsedLevelsAreSubtotals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2467">
      <pivotArea collapsedLevelsAreSubtotals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2468">
      <pivotArea collapsedLevelsAreSubtotals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2469">
      <pivotArea collapsedLevelsAreSubtotals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2470">
      <pivotArea collapsedLevelsAreSubtotals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71">
      <pivotArea collapsedLevelsAreSubtotals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2472">
      <pivotArea collapsedLevelsAreSubtotals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2473">
      <pivotArea collapsedLevelsAreSubtotals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2474">
      <pivotArea collapsedLevelsAreSubtotals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2475">
      <pivotArea collapsedLevelsAreSubtotals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2476">
      <pivotArea collapsedLevelsAreSubtotals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2477">
      <pivotArea collapsedLevelsAreSubtotals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2478">
      <pivotArea collapsedLevelsAreSubtotals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2479">
      <pivotArea collapsedLevelsAreSubtotals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2480">
      <pivotArea collapsedLevelsAreSubtotals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2481">
      <pivotArea collapsedLevelsAreSubtotals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2482">
      <pivotArea collapsedLevelsAreSubtotals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2483">
      <pivotArea collapsedLevelsAreSubtotals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2484">
      <pivotArea collapsedLevelsAreSubtotals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2485">
      <pivotArea collapsedLevelsAreSubtotals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2486">
      <pivotArea collapsedLevelsAreSubtotals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87">
      <pivotArea collapsedLevelsAreSubtotals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2488">
      <pivotArea collapsedLevelsAreSubtotals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2489">
      <pivotArea collapsedLevelsAreSubtotals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490">
      <pivotArea collapsedLevelsAreSubtotals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2491">
      <pivotArea collapsedLevelsAreSubtotals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92">
      <pivotArea collapsedLevelsAreSubtotals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2493">
      <pivotArea collapsedLevelsAreSubtotals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94">
      <pivotArea collapsedLevelsAreSubtotals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495">
      <pivotArea collapsedLevelsAreSubtotals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2496">
      <pivotArea collapsedLevelsAreSubtotals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2497">
      <pivotArea collapsedLevelsAreSubtotals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2498">
      <pivotArea collapsedLevelsAreSubtotals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2499">
      <pivotArea collapsedLevelsAreSubtotals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500">
      <pivotArea collapsedLevelsAreSubtotals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2501">
      <pivotArea collapsedLevelsAreSubtotals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502">
      <pivotArea collapsedLevelsAreSubtotals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503">
      <pivotArea collapsedLevelsAreSubtotals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2504">
      <pivotArea collapsedLevelsAreSubtotals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505">
      <pivotArea collapsedLevelsAreSubtotals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2506">
      <pivotArea collapsedLevelsAreSubtotals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2507">
      <pivotArea collapsedLevelsAreSubtotals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2508">
      <pivotArea collapsedLevelsAreSubtotals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509">
      <pivotArea collapsedLevelsAreSubtotals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510">
      <pivotArea collapsedLevelsAreSubtotals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2511">
      <pivotArea collapsedLevelsAreSubtotals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2512">
      <pivotArea collapsedLevelsAreSubtotals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2513">
      <pivotArea collapsedLevelsAreSubtotals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2514">
      <pivotArea collapsedLevelsAreSubtotals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2515">
      <pivotArea collapsedLevelsAreSubtotals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516">
      <pivotArea collapsedLevelsAreSubtotals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2517">
      <pivotArea collapsedLevelsAreSubtotals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2518">
      <pivotArea collapsedLevelsAreSubtotals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2519">
      <pivotArea collapsedLevelsAreSubtotals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2520">
      <pivotArea collapsedLevelsAreSubtotals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2521">
      <pivotArea collapsedLevelsAreSubtotals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2522">
      <pivotArea collapsedLevelsAreSubtotals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2523">
      <pivotArea collapsedLevelsAreSubtotals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2524">
      <pivotArea collapsedLevelsAreSubtotals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525">
      <pivotArea collapsedLevelsAreSubtotals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2526">
      <pivotArea collapsedLevelsAreSubtotals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2527">
      <pivotArea collapsedLevelsAreSubtotals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2528">
      <pivotArea collapsedLevelsAreSubtotals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2529">
      <pivotArea collapsedLevelsAreSubtotals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2530">
      <pivotArea collapsedLevelsAreSubtotals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2531">
      <pivotArea collapsedLevelsAreSubtotals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2532">
      <pivotArea collapsedLevelsAreSubtotals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533">
      <pivotArea collapsedLevelsAreSubtotals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2534">
      <pivotArea collapsedLevelsAreSubtotals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2535">
      <pivotArea collapsedLevelsAreSubtotals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2536">
      <pivotArea collapsedLevelsAreSubtotals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2537">
      <pivotArea collapsedLevelsAreSubtotals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2538">
      <pivotArea collapsedLevelsAreSubtotals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2539">
      <pivotArea collapsedLevelsAreSubtotals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2540">
      <pivotArea collapsedLevelsAreSubtotals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2541">
      <pivotArea collapsedLevelsAreSubtotals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2542">
      <pivotArea collapsedLevelsAreSubtotals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2543">
      <pivotArea collapsedLevelsAreSubtotals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2544">
      <pivotArea collapsedLevelsAreSubtotals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2545">
      <pivotArea collapsedLevelsAreSubtotals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2546">
      <pivotArea collapsedLevelsAreSubtotals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2547">
      <pivotArea collapsedLevelsAreSubtotals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548">
      <pivotArea collapsedLevelsAreSubtotals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2549">
      <pivotArea collapsedLevelsAreSubtotals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2550">
      <pivotArea collapsedLevelsAreSubtotals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2551">
      <pivotArea collapsedLevelsAreSubtotals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552">
      <pivotArea collapsedLevelsAreSubtotals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553">
      <pivotArea collapsedLevelsAreSubtotals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2554">
      <pivotArea collapsedLevelsAreSubtotals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555">
      <pivotArea collapsedLevelsAreSubtotals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556">
      <pivotArea collapsedLevelsAreSubtotals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2557">
      <pivotArea collapsedLevelsAreSubtotals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2558">
      <pivotArea collapsedLevelsAreSubtotals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2559">
      <pivotArea collapsedLevelsAreSubtotals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2560">
      <pivotArea collapsedLevelsAreSubtotals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2561">
      <pivotArea collapsedLevelsAreSubtotals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2562">
      <pivotArea collapsedLevelsAreSubtotals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563">
      <pivotArea collapsedLevelsAreSubtotals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2564">
      <pivotArea collapsedLevelsAreSubtotals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2565">
      <pivotArea collapsedLevelsAreSubtotals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2566">
      <pivotArea collapsedLevelsAreSubtotals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2567">
      <pivotArea collapsedLevelsAreSubtotals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2568">
      <pivotArea collapsedLevelsAreSubtotals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2569">
      <pivotArea collapsedLevelsAreSubtotals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2570">
      <pivotArea collapsedLevelsAreSubtotals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2571">
      <pivotArea collapsedLevelsAreSubtotals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2572">
      <pivotArea collapsedLevelsAreSubtotals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2573">
      <pivotArea collapsedLevelsAreSubtotals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2574">
      <pivotArea collapsedLevelsAreSubtotals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2575">
      <pivotArea collapsedLevelsAreSubtotals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2576">
      <pivotArea collapsedLevelsAreSubtotals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2577">
      <pivotArea collapsedLevelsAreSubtotals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2578">
      <pivotArea collapsedLevelsAreSubtotals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2579">
      <pivotArea collapsedLevelsAreSubtotals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2580">
      <pivotArea collapsedLevelsAreSubtotals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2581">
      <pivotArea collapsedLevelsAreSubtotals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2582">
      <pivotArea collapsedLevelsAreSubtotals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583">
      <pivotArea collapsedLevelsAreSubtotals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584">
      <pivotArea collapsedLevelsAreSubtotals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585">
      <pivotArea collapsedLevelsAreSubtotals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586">
      <pivotArea collapsedLevelsAreSubtotals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587">
      <pivotArea collapsedLevelsAreSubtotals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588">
      <pivotArea collapsedLevelsAreSubtotals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2589">
      <pivotArea collapsedLevelsAreSubtotals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590">
      <pivotArea collapsedLevelsAreSubtotals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2591">
      <pivotArea collapsedLevelsAreSubtotals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2592">
      <pivotArea collapsedLevelsAreSubtotals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593">
      <pivotArea collapsedLevelsAreSubtotals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594">
      <pivotArea collapsedLevelsAreSubtotals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595">
      <pivotArea collapsedLevelsAreSubtotals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2596">
      <pivotArea collapsedLevelsAreSubtotals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2597">
      <pivotArea collapsedLevelsAreSubtotals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598">
      <pivotArea collapsedLevelsAreSubtotals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2599">
      <pivotArea collapsedLevelsAreSubtotals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2600">
      <pivotArea collapsedLevelsAreSubtotals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2601">
      <pivotArea collapsedLevelsAreSubtotals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2602">
      <pivotArea collapsedLevelsAreSubtotals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2603">
      <pivotArea collapsedLevelsAreSubtotals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604">
      <pivotArea collapsedLevelsAreSubtotals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605">
      <pivotArea collapsedLevelsAreSubtotals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2606">
      <pivotArea collapsedLevelsAreSubtotals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2607">
      <pivotArea collapsedLevelsAreSubtotals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2608">
      <pivotArea collapsedLevelsAreSubtotals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609">
      <pivotArea collapsedLevelsAreSubtotals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2610">
      <pivotArea collapsedLevelsAreSubtotals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2611">
      <pivotArea collapsedLevelsAreSubtotals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2612">
      <pivotArea collapsedLevelsAreSubtotals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2613">
      <pivotArea collapsedLevelsAreSubtotals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2614">
      <pivotArea collapsedLevelsAreSubtotals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615">
      <pivotArea collapsedLevelsAreSubtotals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2616">
      <pivotArea collapsedLevelsAreSubtotals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2617">
      <pivotArea collapsedLevelsAreSubtotals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618">
      <pivotArea collapsedLevelsAreSubtotals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2619">
      <pivotArea collapsedLevelsAreSubtotals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2620">
      <pivotArea collapsedLevelsAreSubtotals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2621">
      <pivotArea collapsedLevelsAreSubtotals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2622">
      <pivotArea collapsedLevelsAreSubtotals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2623">
      <pivotArea collapsedLevelsAreSubtotals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2624">
      <pivotArea collapsedLevelsAreSubtotals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2625">
      <pivotArea collapsedLevelsAreSubtotals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626">
      <pivotArea collapsedLevelsAreSubtotals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627">
      <pivotArea collapsedLevelsAreSubtotals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2628">
      <pivotArea collapsedLevelsAreSubtotals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2629">
      <pivotArea collapsedLevelsAreSubtotals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2630">
      <pivotArea collapsedLevelsAreSubtotals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2631">
      <pivotArea collapsedLevelsAreSubtotals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2632">
      <pivotArea collapsedLevelsAreSubtotals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633">
      <pivotArea collapsedLevelsAreSubtotals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2634">
      <pivotArea collapsedLevelsAreSubtotals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2635">
      <pivotArea collapsedLevelsAreSubtotals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2636">
      <pivotArea collapsedLevelsAreSubtotals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2637">
      <pivotArea collapsedLevelsAreSubtotals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2638">
      <pivotArea collapsedLevelsAreSubtotals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2639">
      <pivotArea collapsedLevelsAreSubtotals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2640">
      <pivotArea collapsedLevelsAreSubtotals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2641">
      <pivotArea collapsedLevelsAreSubtotals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2642">
      <pivotArea collapsedLevelsAreSubtotals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643">
      <pivotArea collapsedLevelsAreSubtotals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2644">
      <pivotArea collapsedLevelsAreSubtotals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2645">
      <pivotArea collapsedLevelsAreSubtotals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2646">
      <pivotArea collapsedLevelsAreSubtotals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2647">
      <pivotArea collapsedLevelsAreSubtotals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2648">
      <pivotArea collapsedLevelsAreSubtotals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2649">
      <pivotArea collapsedLevelsAreSubtotals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2650">
      <pivotArea collapsedLevelsAreSubtotals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2651">
      <pivotArea collapsedLevelsAreSubtotals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2652">
      <pivotArea collapsedLevelsAreSubtotals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2653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2654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2655">
      <pivotArea dataOnly="0" labelOnly="1" fieldPosition="0">
        <references count="2">
          <reference field="0" count="1" selected="0">
            <x v="2"/>
          </reference>
          <reference field="2" count="1">
            <x v="20"/>
          </reference>
        </references>
      </pivotArea>
    </format>
    <format dxfId="2656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2657">
      <pivotArea dataOnly="0" labelOnly="1" fieldPosition="0">
        <references count="2">
          <reference field="0" count="1" selected="0">
            <x v="3"/>
          </reference>
          <reference field="2" count="1">
            <x v="47"/>
          </reference>
        </references>
      </pivotArea>
    </format>
    <format dxfId="2658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2659">
      <pivotArea dataOnly="0" labelOnly="1" fieldPosition="0">
        <references count="2">
          <reference field="0" count="1" selected="0">
            <x v="4"/>
          </reference>
          <reference field="2" count="1">
            <x v="2"/>
          </reference>
        </references>
      </pivotArea>
    </format>
    <format dxfId="2660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2661">
      <pivotArea dataOnly="0" labelOnly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2662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2663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2664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2665">
      <pivotArea dataOnly="0" labelOnly="1" fieldPosition="0">
        <references count="2">
          <reference field="0" count="1" selected="0">
            <x v="7"/>
          </reference>
          <reference field="2" count="1">
            <x v="26"/>
          </reference>
        </references>
      </pivotArea>
    </format>
    <format dxfId="2666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2667">
      <pivotArea dataOnly="0" labelOnly="1" fieldPosition="0">
        <references count="2">
          <reference field="0" count="1" selected="0">
            <x v="8"/>
          </reference>
          <reference field="2" count="1">
            <x v="13"/>
          </reference>
        </references>
      </pivotArea>
    </format>
    <format dxfId="2668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2669">
      <pivotArea dataOnly="0" labelOnly="1" fieldPosition="0">
        <references count="2">
          <reference field="0" count="1" selected="0">
            <x v="9"/>
          </reference>
          <reference field="2" count="1">
            <x v="41"/>
          </reference>
        </references>
      </pivotArea>
    </format>
    <format dxfId="2670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2671">
      <pivotArea dataOnly="0" labelOnly="1" fieldPosition="0">
        <references count="2">
          <reference field="0" count="1" selected="0">
            <x v="10"/>
          </reference>
          <reference field="2" count="1">
            <x v="54"/>
          </reference>
        </references>
      </pivotArea>
    </format>
    <format dxfId="2672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2673">
      <pivotArea dataOnly="0" labelOnly="1" fieldPosition="0">
        <references count="2">
          <reference field="0" count="1" selected="0">
            <x v="11"/>
          </reference>
          <reference field="2" count="1">
            <x v="22"/>
          </reference>
        </references>
      </pivotArea>
    </format>
    <format dxfId="2674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2675">
      <pivotArea dataOnly="0" labelOnly="1" fieldPosition="0">
        <references count="2">
          <reference field="0" count="1" selected="0">
            <x v="12"/>
          </reference>
          <reference field="2" count="1">
            <x v="16"/>
          </reference>
        </references>
      </pivotArea>
    </format>
    <format dxfId="2676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2677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2678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2679">
      <pivotArea dataOnly="0" labelOnly="1" fieldPosition="0">
        <references count="2">
          <reference field="0" count="1" selected="0">
            <x v="14"/>
          </reference>
          <reference field="2" count="1">
            <x v="42"/>
          </reference>
        </references>
      </pivotArea>
    </format>
    <format dxfId="2680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2681">
      <pivotArea dataOnly="0" labelOnly="1" fieldPosition="0">
        <references count="2">
          <reference field="0" count="1" selected="0">
            <x v="15"/>
          </reference>
          <reference field="2" count="1">
            <x v="36"/>
          </reference>
        </references>
      </pivotArea>
    </format>
    <format dxfId="2682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2683">
      <pivotArea dataOnly="0" labelOnly="1" fieldPosition="0">
        <references count="2">
          <reference field="0" count="1" selected="0">
            <x v="16"/>
          </reference>
          <reference field="2" count="1">
            <x v="5"/>
          </reference>
        </references>
      </pivotArea>
    </format>
    <format dxfId="2684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2685">
      <pivotArea dataOnly="0" labelOnly="1" fieldPosition="0">
        <references count="2">
          <reference field="0" count="1" selected="0">
            <x v="17"/>
          </reference>
          <reference field="2" count="1">
            <x v="33"/>
          </reference>
        </references>
      </pivotArea>
    </format>
    <format dxfId="2686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2687">
      <pivotArea dataOnly="0" labelOnly="1" fieldPosition="0">
        <references count="2">
          <reference field="0" count="1" selected="0">
            <x v="18"/>
          </reference>
          <reference field="2" count="1">
            <x v="0"/>
          </reference>
        </references>
      </pivotArea>
    </format>
    <format dxfId="2688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2689">
      <pivotArea dataOnly="0" labelOnly="1" fieldPosition="0">
        <references count="2">
          <reference field="0" count="1" selected="0">
            <x v="19"/>
          </reference>
          <reference field="2" count="1">
            <x v="46"/>
          </reference>
        </references>
      </pivotArea>
    </format>
    <format dxfId="2690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2691">
      <pivotArea dataOnly="0" labelOnly="1" fieldPosition="0">
        <references count="2">
          <reference field="0" count="1" selected="0">
            <x v="20"/>
          </reference>
          <reference field="2" count="1">
            <x v="31"/>
          </reference>
        </references>
      </pivotArea>
    </format>
    <format dxfId="2692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2693">
      <pivotArea dataOnly="0" labelOnly="1" fieldPosition="0">
        <references count="2">
          <reference field="0" count="1" selected="0">
            <x v="21"/>
          </reference>
          <reference field="2" count="1">
            <x v="34"/>
          </reference>
        </references>
      </pivotArea>
    </format>
    <format dxfId="2694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2695">
      <pivotArea dataOnly="0" labelOnly="1" fieldPosition="0">
        <references count="2">
          <reference field="0" count="1" selected="0">
            <x v="22"/>
          </reference>
          <reference field="2" count="1">
            <x v="52"/>
          </reference>
        </references>
      </pivotArea>
    </format>
    <format dxfId="2696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2697">
      <pivotArea dataOnly="0" labelOnly="1" fieldPosition="0">
        <references count="2">
          <reference field="0" count="1" selected="0">
            <x v="23"/>
          </reference>
          <reference field="2" count="1">
            <x v="40"/>
          </reference>
        </references>
      </pivotArea>
    </format>
    <format dxfId="2698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2699">
      <pivotArea dataOnly="0" labelOnly="1" fieldPosition="0">
        <references count="2">
          <reference field="0" count="1" selected="0">
            <x v="24"/>
          </reference>
          <reference field="2" count="1">
            <x v="50"/>
          </reference>
        </references>
      </pivotArea>
    </format>
    <format dxfId="2700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2701">
      <pivotArea dataOnly="0" labelOnly="1" fieldPosition="0">
        <references count="2">
          <reference field="0" count="1" selected="0">
            <x v="25"/>
          </reference>
          <reference field="2" count="1">
            <x v="49"/>
          </reference>
        </references>
      </pivotArea>
    </format>
    <format dxfId="2702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2703">
      <pivotArea dataOnly="0" labelOnly="1" fieldPosition="0">
        <references count="2">
          <reference field="0" count="1" selected="0">
            <x v="26"/>
          </reference>
          <reference field="2" count="1">
            <x v="39"/>
          </reference>
        </references>
      </pivotArea>
    </format>
    <format dxfId="2704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2705">
      <pivotArea dataOnly="0" labelOnly="1" fieldPosition="0">
        <references count="2">
          <reference field="0" count="1" selected="0">
            <x v="27"/>
          </reference>
          <reference field="2" count="1">
            <x v="58"/>
          </reference>
        </references>
      </pivotArea>
    </format>
    <format dxfId="2706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2707">
      <pivotArea dataOnly="0" labelOnly="1" fieldPosition="0">
        <references count="2">
          <reference field="0" count="1" selected="0">
            <x v="28"/>
          </reference>
          <reference field="2" count="1">
            <x v="65"/>
          </reference>
        </references>
      </pivotArea>
    </format>
    <format dxfId="2708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2709">
      <pivotArea dataOnly="0" labelOnly="1" fieldPosition="0">
        <references count="2">
          <reference field="0" count="1" selected="0">
            <x v="29"/>
          </reference>
          <reference field="2" count="1">
            <x v="35"/>
          </reference>
        </references>
      </pivotArea>
    </format>
    <format dxfId="2710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2711">
      <pivotArea dataOnly="0" labelOnly="1" fieldPosition="0">
        <references count="2">
          <reference field="0" count="1" selected="0">
            <x v="30"/>
          </reference>
          <reference field="2" count="1">
            <x v="10"/>
          </reference>
        </references>
      </pivotArea>
    </format>
    <format dxfId="2712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2713">
      <pivotArea dataOnly="0" labelOnly="1" fieldPosition="0">
        <references count="2">
          <reference field="0" count="1" selected="0">
            <x v="31"/>
          </reference>
          <reference field="2" count="1">
            <x v="38"/>
          </reference>
        </references>
      </pivotArea>
    </format>
    <format dxfId="2714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2715">
      <pivotArea dataOnly="0" labelOnly="1" fieldPosition="0">
        <references count="2">
          <reference field="0" count="1" selected="0">
            <x v="32"/>
          </reference>
          <reference field="2" count="1">
            <x v="18"/>
          </reference>
        </references>
      </pivotArea>
    </format>
    <format dxfId="2716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2717">
      <pivotArea dataOnly="0" labelOnly="1" fieldPosition="0">
        <references count="2">
          <reference field="0" count="1" selected="0">
            <x v="33"/>
          </reference>
          <reference field="2" count="1">
            <x v="57"/>
          </reference>
        </references>
      </pivotArea>
    </format>
    <format dxfId="2718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2719">
      <pivotArea dataOnly="0" labelOnly="1" fieldPosition="0">
        <references count="2">
          <reference field="0" count="1" selected="0">
            <x v="34"/>
          </reference>
          <reference field="2" count="1">
            <x v="55"/>
          </reference>
        </references>
      </pivotArea>
    </format>
    <format dxfId="2720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2721">
      <pivotArea dataOnly="0" labelOnly="1" fieldPosition="0">
        <references count="2">
          <reference field="0" count="1" selected="0">
            <x v="35"/>
          </reference>
          <reference field="2" count="1">
            <x v="61"/>
          </reference>
        </references>
      </pivotArea>
    </format>
    <format dxfId="2722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2723">
      <pivotArea dataOnly="0" labelOnly="1" fieldPosition="0">
        <references count="2">
          <reference field="0" count="1" selected="0">
            <x v="36"/>
          </reference>
          <reference field="2" count="1">
            <x v="19"/>
          </reference>
        </references>
      </pivotArea>
    </format>
    <format dxfId="2724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2725">
      <pivotArea dataOnly="0" labelOnly="1" fieldPosition="0">
        <references count="2">
          <reference field="0" count="1" selected="0">
            <x v="37"/>
          </reference>
          <reference field="2" count="1">
            <x v="3"/>
          </reference>
        </references>
      </pivotArea>
    </format>
    <format dxfId="2726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2727">
      <pivotArea dataOnly="0" labelOnly="1" fieldPosition="0">
        <references count="2">
          <reference field="0" count="1" selected="0">
            <x v="38"/>
          </reference>
          <reference field="2" count="1">
            <x v="62"/>
          </reference>
        </references>
      </pivotArea>
    </format>
    <format dxfId="2728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2729">
      <pivotArea dataOnly="0" labelOnly="1" fieldPosition="0">
        <references count="2">
          <reference field="0" count="1" selected="0">
            <x v="39"/>
          </reference>
          <reference field="2" count="1">
            <x v="51"/>
          </reference>
        </references>
      </pivotArea>
    </format>
    <format dxfId="2730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2731">
      <pivotArea dataOnly="0" labelOnly="1" fieldPosition="0">
        <references count="2">
          <reference field="0" count="1" selected="0">
            <x v="40"/>
          </reference>
          <reference field="2" count="1">
            <x v="28"/>
          </reference>
        </references>
      </pivotArea>
    </format>
    <format dxfId="2732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2733">
      <pivotArea dataOnly="0" labelOnly="1" fieldPosition="0">
        <references count="2">
          <reference field="0" count="1" selected="0">
            <x v="41"/>
          </reference>
          <reference field="2" count="1">
            <x v="53"/>
          </reference>
        </references>
      </pivotArea>
    </format>
    <format dxfId="2734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2735">
      <pivotArea dataOnly="0" labelOnly="1" fieldPosition="0">
        <references count="2">
          <reference field="0" count="1" selected="0">
            <x v="42"/>
          </reference>
          <reference field="2" count="1">
            <x v="7"/>
          </reference>
        </references>
      </pivotArea>
    </format>
    <format dxfId="2736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2737">
      <pivotArea dataOnly="0" labelOnly="1" fieldPosition="0">
        <references count="2">
          <reference field="0" count="1" selected="0">
            <x v="43"/>
          </reference>
          <reference field="2" count="1">
            <x v="29"/>
          </reference>
        </references>
      </pivotArea>
    </format>
    <format dxfId="2738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2739">
      <pivotArea dataOnly="0" labelOnly="1" fieldPosition="0">
        <references count="2">
          <reference field="0" count="1" selected="0">
            <x v="44"/>
          </reference>
          <reference field="2" count="1">
            <x v="25"/>
          </reference>
        </references>
      </pivotArea>
    </format>
    <format dxfId="2740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2741">
      <pivotArea dataOnly="0" labelOnly="1" fieldPosition="0">
        <references count="2">
          <reference field="0" count="1" selected="0">
            <x v="45"/>
          </reference>
          <reference field="2" count="1">
            <x v="24"/>
          </reference>
        </references>
      </pivotArea>
    </format>
    <format dxfId="2742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2743">
      <pivotArea dataOnly="0" labelOnly="1" fieldPosition="0">
        <references count="2">
          <reference field="0" count="1" selected="0">
            <x v="46"/>
          </reference>
          <reference field="2" count="1">
            <x v="12"/>
          </reference>
        </references>
      </pivotArea>
    </format>
    <format dxfId="2744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2745">
      <pivotArea dataOnly="0" labelOnly="1" fieldPosition="0">
        <references count="2">
          <reference field="0" count="1" selected="0">
            <x v="47"/>
          </reference>
          <reference field="2" count="1">
            <x v="37"/>
          </reference>
        </references>
      </pivotArea>
    </format>
    <format dxfId="2746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2747">
      <pivotArea dataOnly="0" labelOnly="1" fieldPosition="0">
        <references count="2">
          <reference field="0" count="1" selected="0">
            <x v="48"/>
          </reference>
          <reference field="2" count="1">
            <x v="32"/>
          </reference>
        </references>
      </pivotArea>
    </format>
    <format dxfId="2748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2749">
      <pivotArea dataOnly="0" labelOnly="1" fieldPosition="0">
        <references count="2">
          <reference field="0" count="1" selected="0">
            <x v="49"/>
          </reference>
          <reference field="2" count="1">
            <x v="6"/>
          </reference>
        </references>
      </pivotArea>
    </format>
    <format dxfId="2750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2751">
      <pivotArea dataOnly="0" labelOnly="1" fieldPosition="0">
        <references count="2">
          <reference field="0" count="1" selected="0">
            <x v="50"/>
          </reference>
          <reference field="2" count="1">
            <x v="44"/>
          </reference>
        </references>
      </pivotArea>
    </format>
    <format dxfId="2752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2753">
      <pivotArea dataOnly="0" labelOnly="1" fieldPosition="0">
        <references count="2">
          <reference field="0" count="1" selected="0">
            <x v="51"/>
          </reference>
          <reference field="2" count="1">
            <x v="23"/>
          </reference>
        </references>
      </pivotArea>
    </format>
    <format dxfId="2754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2755">
      <pivotArea dataOnly="0" labelOnly="1" fieldPosition="0">
        <references count="2">
          <reference field="0" count="1" selected="0">
            <x v="52"/>
          </reference>
          <reference field="2" count="1">
            <x v="14"/>
          </reference>
        </references>
      </pivotArea>
    </format>
    <format dxfId="2756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2757">
      <pivotArea dataOnly="0" labelOnly="1" fieldPosition="0">
        <references count="2">
          <reference field="0" count="1" selected="0">
            <x v="53"/>
          </reference>
          <reference field="2" count="1">
            <x v="63"/>
          </reference>
        </references>
      </pivotArea>
    </format>
    <format dxfId="2758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2759">
      <pivotArea dataOnly="0" labelOnly="1" fieldPosition="0">
        <references count="2">
          <reference field="0" count="1" selected="0">
            <x v="54"/>
          </reference>
          <reference field="2" count="1">
            <x v="64"/>
          </reference>
        </references>
      </pivotArea>
    </format>
    <format dxfId="2760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2761">
      <pivotArea dataOnly="0" labelOnly="1" fieldPosition="0">
        <references count="2">
          <reference field="0" count="1" selected="0">
            <x v="55"/>
          </reference>
          <reference field="2" count="1">
            <x v="48"/>
          </reference>
        </references>
      </pivotArea>
    </format>
    <format dxfId="2762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2763">
      <pivotArea dataOnly="0" labelOnly="1" fieldPosition="0">
        <references count="2">
          <reference field="0" count="1" selected="0">
            <x v="56"/>
          </reference>
          <reference field="2" count="1">
            <x v="15"/>
          </reference>
        </references>
      </pivotArea>
    </format>
    <format dxfId="2764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2765">
      <pivotArea dataOnly="0" labelOnly="1" fieldPosition="0">
        <references count="2">
          <reference field="0" count="1" selected="0">
            <x v="57"/>
          </reference>
          <reference field="2" count="1">
            <x v="30"/>
          </reference>
        </references>
      </pivotArea>
    </format>
    <format dxfId="2766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2767">
      <pivotArea dataOnly="0" labelOnly="1" fieldPosition="0">
        <references count="2">
          <reference field="0" count="1" selected="0">
            <x v="58"/>
          </reference>
          <reference field="2" count="1">
            <x v="27"/>
          </reference>
        </references>
      </pivotArea>
    </format>
    <format dxfId="2768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2769">
      <pivotArea dataOnly="0" labelOnly="1" fieldPosition="0">
        <references count="2">
          <reference field="0" count="1" selected="0">
            <x v="59"/>
          </reference>
          <reference field="2" count="1">
            <x v="1"/>
          </reference>
        </references>
      </pivotArea>
    </format>
    <format dxfId="2770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2771">
      <pivotArea dataOnly="0" labelOnly="1" fieldPosition="0">
        <references count="2">
          <reference field="0" count="1" selected="0">
            <x v="60"/>
          </reference>
          <reference field="2" count="1">
            <x v="59"/>
          </reference>
        </references>
      </pivotArea>
    </format>
    <format dxfId="2772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2773">
      <pivotArea dataOnly="0" labelOnly="1" fieldPosition="0">
        <references count="2">
          <reference field="0" count="1" selected="0">
            <x v="61"/>
          </reference>
          <reference field="2" count="1">
            <x v="21"/>
          </reference>
        </references>
      </pivotArea>
    </format>
    <format dxfId="2774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2775">
      <pivotArea dataOnly="0" labelOnly="1" fieldPosition="0">
        <references count="2">
          <reference field="0" count="1" selected="0">
            <x v="63"/>
          </reference>
          <reference field="2" count="1">
            <x v="11"/>
          </reference>
        </references>
      </pivotArea>
    </format>
    <format dxfId="2776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2777">
      <pivotArea dataOnly="0" labelOnly="1" fieldPosition="0">
        <references count="2">
          <reference field="0" count="1" selected="0">
            <x v="65"/>
          </reference>
          <reference field="2" count="1">
            <x v="56"/>
          </reference>
        </references>
      </pivotArea>
    </format>
    <format dxfId="2778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2779">
      <pivotArea dataOnly="0" labelOnly="1" fieldPosition="0">
        <references count="2">
          <reference field="0" count="1" selected="0">
            <x v="66"/>
          </reference>
          <reference field="2" count="1">
            <x v="66"/>
          </reference>
        </references>
      </pivotArea>
    </format>
    <format dxfId="2780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2781">
      <pivotArea dataOnly="0" labelOnly="1" fieldPosition="0">
        <references count="3">
          <reference field="0" count="1" selected="0">
            <x v="1"/>
          </reference>
          <reference field="1" count="4">
            <x v="9"/>
            <x v="58"/>
            <x v="179"/>
            <x v="364"/>
          </reference>
          <reference field="2" count="1" selected="0">
            <x v="8"/>
          </reference>
        </references>
      </pivotArea>
    </format>
    <format dxfId="2782">
      <pivotArea dataOnly="0" labelOnly="1" fieldPosition="0">
        <references count="3">
          <reference field="0" count="1" selected="0">
            <x v="2"/>
          </reference>
          <reference field="1" count="11">
            <x v="8"/>
            <x v="12"/>
            <x v="65"/>
            <x v="66"/>
            <x v="91"/>
            <x v="99"/>
            <x v="131"/>
            <x v="136"/>
            <x v="146"/>
            <x v="155"/>
            <x v="452"/>
          </reference>
          <reference field="2" count="1" selected="0">
            <x v="20"/>
          </reference>
        </references>
      </pivotArea>
    </format>
    <format dxfId="2783">
      <pivotArea dataOnly="0" labelOnly="1" fieldPosition="0">
        <references count="3">
          <reference field="0" count="1" selected="0">
            <x v="3"/>
          </reference>
          <reference field="1" count="13">
            <x v="39"/>
            <x v="40"/>
            <x v="41"/>
            <x v="42"/>
            <x v="43"/>
            <x v="50"/>
            <x v="100"/>
            <x v="175"/>
            <x v="176"/>
            <x v="180"/>
            <x v="197"/>
            <x v="257"/>
            <x v="453"/>
          </reference>
          <reference field="2" count="1" selected="0">
            <x v="47"/>
          </reference>
        </references>
      </pivotArea>
    </format>
    <format dxfId="2784">
      <pivotArea dataOnly="0" labelOnly="1" fieldPosition="0">
        <references count="3">
          <reference field="0" count="1" selected="0">
            <x v="4"/>
          </reference>
          <reference field="1" count="1">
            <x v="142"/>
          </reference>
          <reference field="2" count="1" selected="0">
            <x v="2"/>
          </reference>
        </references>
      </pivotArea>
    </format>
    <format dxfId="2785">
      <pivotArea dataOnly="0" labelOnly="1" fieldPosition="0">
        <references count="3">
          <reference field="0" count="1" selected="0">
            <x v="5"/>
          </reference>
          <reference field="1" count="3">
            <x v="157"/>
            <x v="262"/>
            <x v="454"/>
          </reference>
          <reference field="2" count="1" selected="0">
            <x v="43"/>
          </reference>
        </references>
      </pivotArea>
    </format>
    <format dxfId="2786">
      <pivotArea dataOnly="0" labelOnly="1" fieldPosition="0">
        <references count="3">
          <reference field="0" count="1" selected="0">
            <x v="6"/>
          </reference>
          <reference field="1" count="13">
            <x v="10"/>
            <x v="73"/>
            <x v="140"/>
            <x v="156"/>
            <x v="200"/>
            <x v="201"/>
            <x v="228"/>
            <x v="230"/>
            <x v="326"/>
            <x v="372"/>
            <x v="373"/>
            <x v="400"/>
            <x v="455"/>
          </reference>
          <reference field="2" count="1" selected="0">
            <x v="17"/>
          </reference>
        </references>
      </pivotArea>
    </format>
    <format dxfId="2787">
      <pivotArea dataOnly="0" labelOnly="1" fieldPosition="0">
        <references count="3">
          <reference field="0" count="1" selected="0">
            <x v="7"/>
          </reference>
          <reference field="1" count="1">
            <x v="456"/>
          </reference>
          <reference field="2" count="1" selected="0">
            <x v="26"/>
          </reference>
        </references>
      </pivotArea>
    </format>
    <format dxfId="2788">
      <pivotArea dataOnly="0" labelOnly="1" fieldPosition="0">
        <references count="3">
          <reference field="0" count="1" selected="0">
            <x v="8"/>
          </reference>
          <reference field="1" count="3">
            <x v="77"/>
            <x v="82"/>
            <x v="129"/>
          </reference>
          <reference field="2" count="1" selected="0">
            <x v="13"/>
          </reference>
        </references>
      </pivotArea>
    </format>
    <format dxfId="2789">
      <pivotArea dataOnly="0" labelOnly="1" fieldPosition="0">
        <references count="3">
          <reference field="0" count="1" selected="0">
            <x v="9"/>
          </reference>
          <reference field="1" count="1">
            <x v="274"/>
          </reference>
          <reference field="2" count="1" selected="0">
            <x v="41"/>
          </reference>
        </references>
      </pivotArea>
    </format>
    <format dxfId="2790">
      <pivotArea dataOnly="0" labelOnly="1" fieldPosition="0">
        <references count="3">
          <reference field="0" count="1" selected="0">
            <x v="10"/>
          </reference>
          <reference field="1" count="5">
            <x v="2"/>
            <x v="147"/>
            <x v="215"/>
            <x v="331"/>
            <x v="334"/>
          </reference>
          <reference field="2" count="1" selected="0">
            <x v="54"/>
          </reference>
        </references>
      </pivotArea>
    </format>
    <format dxfId="2791">
      <pivotArea dataOnly="0" labelOnly="1" fieldPosition="0">
        <references count="3">
          <reference field="0" count="1" selected="0">
            <x v="11"/>
          </reference>
          <reference field="1" count="6">
            <x v="119"/>
            <x v="132"/>
            <x v="154"/>
            <x v="217"/>
            <x v="218"/>
            <x v="288"/>
          </reference>
          <reference field="2" count="1" selected="0">
            <x v="22"/>
          </reference>
        </references>
      </pivotArea>
    </format>
    <format dxfId="2792">
      <pivotArea dataOnly="0" labelOnly="1" fieldPosition="0">
        <references count="3">
          <reference field="0" count="1" selected="0">
            <x v="12"/>
          </reference>
          <reference field="1" count="7">
            <x v="88"/>
            <x v="113"/>
            <x v="196"/>
            <x v="247"/>
            <x v="259"/>
            <x v="290"/>
            <x v="333"/>
          </reference>
          <reference field="2" count="1" selected="0">
            <x v="16"/>
          </reference>
        </references>
      </pivotArea>
    </format>
    <format dxfId="2793">
      <pivotArea dataOnly="0" labelOnly="1" fieldPosition="0">
        <references count="3">
          <reference field="0" count="1" selected="0">
            <x v="13"/>
          </reference>
          <reference field="1" count="2">
            <x v="117"/>
            <x v="238"/>
          </reference>
          <reference field="2" count="1" selected="0">
            <x v="4"/>
          </reference>
        </references>
      </pivotArea>
    </format>
    <format dxfId="2794">
      <pivotArea dataOnly="0" labelOnly="1" fieldPosition="0">
        <references count="3">
          <reference field="0" count="1" selected="0">
            <x v="14"/>
          </reference>
          <reference field="1" count="5">
            <x v="75"/>
            <x v="137"/>
            <x v="196"/>
            <x v="229"/>
            <x v="457"/>
          </reference>
          <reference field="2" count="1" selected="0">
            <x v="42"/>
          </reference>
        </references>
      </pivotArea>
    </format>
    <format dxfId="2795">
      <pivotArea dataOnly="0" labelOnly="1" fieldPosition="0">
        <references count="3">
          <reference field="0" count="1" selected="0">
            <x v="15"/>
          </reference>
          <reference field="1" count="8">
            <x v="54"/>
            <x v="127"/>
            <x v="128"/>
            <x v="171"/>
            <x v="205"/>
            <x v="267"/>
            <x v="458"/>
            <x v="459"/>
          </reference>
          <reference field="2" count="1" selected="0">
            <x v="36"/>
          </reference>
        </references>
      </pivotArea>
    </format>
    <format dxfId="2796">
      <pivotArea dataOnly="0" labelOnly="1" fieldPosition="0">
        <references count="3">
          <reference field="0" count="1" selected="0">
            <x v="16"/>
          </reference>
          <reference field="1" count="21">
            <x v="22"/>
            <x v="24"/>
            <x v="27"/>
            <x v="78"/>
            <x v="115"/>
            <x v="133"/>
            <x v="141"/>
            <x v="174"/>
            <x v="287"/>
            <x v="300"/>
            <x v="370"/>
            <x v="386"/>
            <x v="387"/>
            <x v="396"/>
            <x v="423"/>
            <x v="460"/>
            <x v="461"/>
            <x v="462"/>
            <x v="463"/>
            <x v="464"/>
            <x v="465"/>
          </reference>
          <reference field="2" count="1" selected="0">
            <x v="5"/>
          </reference>
        </references>
      </pivotArea>
    </format>
    <format dxfId="2797">
      <pivotArea dataOnly="0" labelOnly="1" fieldPosition="0">
        <references count="3">
          <reference field="0" count="1" selected="0">
            <x v="17"/>
          </reference>
          <reference field="1" count="6">
            <x v="112"/>
            <x v="125"/>
            <x v="192"/>
            <x v="282"/>
            <x v="376"/>
            <x v="430"/>
          </reference>
          <reference field="2" count="1" selected="0">
            <x v="33"/>
          </reference>
        </references>
      </pivotArea>
    </format>
    <format dxfId="2798">
      <pivotArea dataOnly="0" labelOnly="1" fieldPosition="0">
        <references count="3">
          <reference field="0" count="1" selected="0">
            <x v="18"/>
          </reference>
          <reference field="1" count="19">
            <x v="124"/>
            <x v="158"/>
            <x v="159"/>
            <x v="177"/>
            <x v="178"/>
            <x v="258"/>
            <x v="273"/>
            <x v="286"/>
            <x v="289"/>
            <x v="297"/>
            <x v="305"/>
            <x v="306"/>
            <x v="392"/>
            <x v="420"/>
            <x v="421"/>
            <x v="435"/>
            <x v="466"/>
            <x v="467"/>
            <x v="468"/>
          </reference>
          <reference field="2" count="1" selected="0">
            <x v="0"/>
          </reference>
        </references>
      </pivotArea>
    </format>
    <format dxfId="2799">
      <pivotArea dataOnly="0" labelOnly="1" fieldPosition="0">
        <references count="3">
          <reference field="0" count="1" selected="0">
            <x v="19"/>
          </reference>
          <reference field="1" count="20">
            <x v="49"/>
            <x v="64"/>
            <x v="72"/>
            <x v="98"/>
            <x v="126"/>
            <x v="144"/>
            <x v="191"/>
            <x v="302"/>
            <x v="325"/>
            <x v="330"/>
            <x v="342"/>
            <x v="350"/>
            <x v="432"/>
            <x v="469"/>
            <x v="470"/>
            <x v="471"/>
            <x v="472"/>
            <x v="473"/>
            <x v="474"/>
            <x v="475"/>
          </reference>
          <reference field="2" count="1" selected="0">
            <x v="46"/>
          </reference>
        </references>
      </pivotArea>
    </format>
    <format dxfId="2800">
      <pivotArea dataOnly="0" labelOnly="1" fieldPosition="0">
        <references count="3">
          <reference field="0" count="1" selected="0">
            <x v="20"/>
          </reference>
          <reference field="1" count="2">
            <x v="299"/>
            <x v="440"/>
          </reference>
          <reference field="2" count="1" selected="0">
            <x v="31"/>
          </reference>
        </references>
      </pivotArea>
    </format>
    <format dxfId="2801">
      <pivotArea dataOnly="0" labelOnly="1" fieldPosition="0">
        <references count="3">
          <reference field="0" count="1" selected="0">
            <x v="21"/>
          </reference>
          <reference field="1" count="32">
            <x v="28"/>
            <x v="46"/>
            <x v="110"/>
            <x v="135"/>
            <x v="182"/>
            <x v="194"/>
            <x v="206"/>
            <x v="212"/>
            <x v="235"/>
            <x v="243"/>
            <x v="244"/>
            <x v="245"/>
            <x v="248"/>
            <x v="254"/>
            <x v="256"/>
            <x v="269"/>
            <x v="272"/>
            <x v="285"/>
            <x v="293"/>
            <x v="341"/>
            <x v="369"/>
            <x v="374"/>
            <x v="378"/>
            <x v="381"/>
            <x v="383"/>
            <x v="391"/>
            <x v="410"/>
            <x v="426"/>
            <x v="451"/>
            <x v="476"/>
            <x v="477"/>
            <x v="478"/>
          </reference>
          <reference field="2" count="1" selected="0">
            <x v="34"/>
          </reference>
        </references>
      </pivotArea>
    </format>
    <format dxfId="2802">
      <pivotArea dataOnly="0" labelOnly="1" fieldPosition="0">
        <references count="3">
          <reference field="0" count="1" selected="0">
            <x v="22"/>
          </reference>
          <reference field="1" count="16">
            <x v="90"/>
            <x v="134"/>
            <x v="164"/>
            <x v="193"/>
            <x v="222"/>
            <x v="237"/>
            <x v="246"/>
            <x v="292"/>
            <x v="344"/>
            <x v="352"/>
            <x v="355"/>
            <x v="406"/>
            <x v="419"/>
            <x v="479"/>
            <x v="480"/>
            <x v="481"/>
          </reference>
          <reference field="2" count="1" selected="0">
            <x v="52"/>
          </reference>
        </references>
      </pivotArea>
    </format>
    <format dxfId="2803">
      <pivotArea dataOnly="0" labelOnly="1" fieldPosition="0">
        <references count="3">
          <reference field="0" count="1" selected="0">
            <x v="23"/>
          </reference>
          <reference field="1" count="2">
            <x v="214"/>
            <x v="482"/>
          </reference>
          <reference field="2" count="1" selected="0">
            <x v="40"/>
          </reference>
        </references>
      </pivotArea>
    </format>
    <format dxfId="2804">
      <pivotArea dataOnly="0" labelOnly="1" fieldPosition="0">
        <references count="3">
          <reference field="0" count="1" selected="0">
            <x v="24"/>
          </reference>
          <reference field="1" count="1">
            <x v="102"/>
          </reference>
          <reference field="2" count="1" selected="0">
            <x v="50"/>
          </reference>
        </references>
      </pivotArea>
    </format>
    <format dxfId="2805">
      <pivotArea dataOnly="0" labelOnly="1" fieldPosition="0">
        <references count="3">
          <reference field="0" count="1" selected="0">
            <x v="25"/>
          </reference>
          <reference field="1" count="5">
            <x v="45"/>
            <x v="61"/>
            <x v="216"/>
            <x v="349"/>
            <x v="397"/>
          </reference>
          <reference field="2" count="1" selected="0">
            <x v="49"/>
          </reference>
        </references>
      </pivotArea>
    </format>
    <format dxfId="2806">
      <pivotArea dataOnly="0" labelOnly="1" fieldPosition="0">
        <references count="3">
          <reference field="0" count="1" selected="0">
            <x v="26"/>
          </reference>
          <reference field="1" count="10">
            <x v="83"/>
            <x v="104"/>
            <x v="105"/>
            <x v="106"/>
            <x v="311"/>
            <x v="336"/>
            <x v="416"/>
            <x v="422"/>
            <x v="448"/>
            <x v="483"/>
          </reference>
          <reference field="2" count="1" selected="0">
            <x v="39"/>
          </reference>
        </references>
      </pivotArea>
    </format>
    <format dxfId="2807">
      <pivotArea dataOnly="0" labelOnly="1" fieldPosition="0">
        <references count="3">
          <reference field="0" count="1" selected="0">
            <x v="27"/>
          </reference>
          <reference field="1" count="22">
            <x v="5"/>
            <x v="6"/>
            <x v="26"/>
            <x v="70"/>
            <x v="116"/>
            <x v="123"/>
            <x v="160"/>
            <x v="161"/>
            <x v="198"/>
            <x v="280"/>
            <x v="284"/>
            <x v="318"/>
            <x v="340"/>
            <x v="347"/>
            <x v="360"/>
            <x v="365"/>
            <x v="399"/>
            <x v="417"/>
            <x v="437"/>
            <x v="484"/>
            <x v="485"/>
            <x v="486"/>
          </reference>
          <reference field="2" count="1" selected="0">
            <x v="58"/>
          </reference>
        </references>
      </pivotArea>
    </format>
    <format dxfId="2808">
      <pivotArea dataOnly="0" labelOnly="1" fieldPosition="0">
        <references count="3">
          <reference field="0" count="1" selected="0">
            <x v="28"/>
          </reference>
          <reference field="1" count="2">
            <x v="382"/>
            <x v="487"/>
          </reference>
          <reference field="2" count="1" selected="0">
            <x v="65"/>
          </reference>
        </references>
      </pivotArea>
    </format>
    <format dxfId="2809">
      <pivotArea dataOnly="0" labelOnly="1" fieldPosition="0">
        <references count="3">
          <reference field="0" count="1" selected="0">
            <x v="29"/>
          </reference>
          <reference field="1" count="3">
            <x v="165"/>
            <x v="338"/>
            <x v="418"/>
          </reference>
          <reference field="2" count="1" selected="0">
            <x v="35"/>
          </reference>
        </references>
      </pivotArea>
    </format>
    <format dxfId="2810">
      <pivotArea dataOnly="0" labelOnly="1" fieldPosition="0">
        <references count="3">
          <reference field="0" count="1" selected="0">
            <x v="30"/>
          </reference>
          <reference field="1" count="2">
            <x v="57"/>
            <x v="260"/>
          </reference>
          <reference field="2" count="1" selected="0">
            <x v="10"/>
          </reference>
        </references>
      </pivotArea>
    </format>
    <format dxfId="2811">
      <pivotArea dataOnly="0" labelOnly="1" fieldPosition="0">
        <references count="3">
          <reference field="0" count="1" selected="0">
            <x v="31"/>
          </reference>
          <reference field="1" count="7">
            <x v="11"/>
            <x v="67"/>
            <x v="427"/>
            <x v="447"/>
            <x v="488"/>
            <x v="489"/>
            <x v="490"/>
          </reference>
          <reference field="2" count="1" selected="0">
            <x v="38"/>
          </reference>
        </references>
      </pivotArea>
    </format>
    <format dxfId="2812">
      <pivotArea dataOnly="0" labelOnly="1" fieldPosition="0">
        <references count="3">
          <reference field="0" count="1" selected="0">
            <x v="32"/>
          </reference>
          <reference field="1" count="1">
            <x v="431"/>
          </reference>
          <reference field="2" count="1" selected="0">
            <x v="18"/>
          </reference>
        </references>
      </pivotArea>
    </format>
    <format dxfId="2813">
      <pivotArea dataOnly="0" labelOnly="1" fieldPosition="0">
        <references count="3">
          <reference field="0" count="1" selected="0">
            <x v="33"/>
          </reference>
          <reference field="1" count="4">
            <x v="47"/>
            <x v="74"/>
            <x v="168"/>
            <x v="209"/>
          </reference>
          <reference field="2" count="1" selected="0">
            <x v="57"/>
          </reference>
        </references>
      </pivotArea>
    </format>
    <format dxfId="2814">
      <pivotArea dataOnly="0" labelOnly="1" fieldPosition="0">
        <references count="3">
          <reference field="0" count="1" selected="0">
            <x v="34"/>
          </reference>
          <reference field="1" count="3">
            <x v="109"/>
            <x v="296"/>
            <x v="301"/>
          </reference>
          <reference field="2" count="1" selected="0">
            <x v="55"/>
          </reference>
        </references>
      </pivotArea>
    </format>
    <format dxfId="2815">
      <pivotArea dataOnly="0" labelOnly="1" fieldPosition="0">
        <references count="3">
          <reference field="0" count="1" selected="0">
            <x v="35"/>
          </reference>
          <reference field="1" count="9">
            <x v="320"/>
            <x v="343"/>
            <x v="395"/>
            <x v="438"/>
            <x v="491"/>
            <x v="492"/>
            <x v="493"/>
            <x v="494"/>
            <x v="495"/>
          </reference>
          <reference field="2" count="1" selected="0">
            <x v="61"/>
          </reference>
        </references>
      </pivotArea>
    </format>
    <format dxfId="2816">
      <pivotArea dataOnly="0" labelOnly="1" fieldPosition="0">
        <references count="3">
          <reference field="0" count="1" selected="0">
            <x v="36"/>
          </reference>
          <reference field="1" count="3">
            <x v="226"/>
            <x v="337"/>
            <x v="496"/>
          </reference>
          <reference field="2" count="1" selected="0">
            <x v="19"/>
          </reference>
        </references>
      </pivotArea>
    </format>
    <format dxfId="2817">
      <pivotArea dataOnly="0" labelOnly="1" fieldPosition="0">
        <references count="3">
          <reference field="0" count="1" selected="0">
            <x v="37"/>
          </reference>
          <reference field="1" count="10">
            <x v="63"/>
            <x v="151"/>
            <x v="152"/>
            <x v="234"/>
            <x v="310"/>
            <x v="323"/>
            <x v="379"/>
            <x v="424"/>
            <x v="425"/>
            <x v="428"/>
          </reference>
          <reference field="2" count="1" selected="0">
            <x v="3"/>
          </reference>
        </references>
      </pivotArea>
    </format>
    <format dxfId="2818">
      <pivotArea dataOnly="0" labelOnly="1" fieldPosition="0">
        <references count="3">
          <reference field="0" count="1" selected="0">
            <x v="38"/>
          </reference>
          <reference field="1" count="40">
            <x v="0"/>
            <x v="18"/>
            <x v="30"/>
            <x v="31"/>
            <x v="33"/>
            <x v="34"/>
            <x v="53"/>
            <x v="55"/>
            <x v="87"/>
            <x v="92"/>
            <x v="95"/>
            <x v="103"/>
            <x v="107"/>
            <x v="108"/>
            <x v="204"/>
            <x v="207"/>
            <x v="223"/>
            <x v="266"/>
            <x v="304"/>
            <x v="322"/>
            <x v="353"/>
            <x v="354"/>
            <x v="371"/>
            <x v="390"/>
            <x v="407"/>
            <x v="408"/>
            <x v="409"/>
            <x v="413"/>
            <x v="414"/>
            <x v="415"/>
            <x v="442"/>
            <x v="444"/>
            <x v="497"/>
            <x v="498"/>
            <x v="499"/>
            <x v="500"/>
            <x v="501"/>
            <x v="502"/>
            <x v="503"/>
            <x v="504"/>
          </reference>
          <reference field="2" count="1" selected="0">
            <x v="62"/>
          </reference>
        </references>
      </pivotArea>
    </format>
    <format dxfId="2819">
      <pivotArea dataOnly="0" labelOnly="1" fieldPosition="0">
        <references count="3">
          <reference field="0" count="1" selected="0">
            <x v="39"/>
          </reference>
          <reference field="1" count="8">
            <x v="4"/>
            <x v="76"/>
            <x v="130"/>
            <x v="188"/>
            <x v="224"/>
            <x v="314"/>
            <x v="321"/>
            <x v="505"/>
          </reference>
          <reference field="2" count="1" selected="0">
            <x v="51"/>
          </reference>
        </references>
      </pivotArea>
    </format>
    <format dxfId="2820">
      <pivotArea dataOnly="0" labelOnly="1" fieldPosition="0">
        <references count="3">
          <reference field="0" count="1" selected="0">
            <x v="40"/>
          </reference>
          <reference field="1" count="35">
            <x v="15"/>
            <x v="16"/>
            <x v="17"/>
            <x v="19"/>
            <x v="29"/>
            <x v="38"/>
            <x v="81"/>
            <x v="120"/>
            <x v="122"/>
            <x v="138"/>
            <x v="149"/>
            <x v="185"/>
            <x v="232"/>
            <x v="239"/>
            <x v="240"/>
            <x v="261"/>
            <x v="270"/>
            <x v="277"/>
            <x v="279"/>
            <x v="316"/>
            <x v="328"/>
            <x v="366"/>
            <x v="375"/>
            <x v="384"/>
            <x v="389"/>
            <x v="394"/>
            <x v="446"/>
            <x v="449"/>
            <x v="506"/>
            <x v="507"/>
            <x v="508"/>
            <x v="509"/>
            <x v="510"/>
            <x v="511"/>
            <x v="512"/>
          </reference>
          <reference field="2" count="1" selected="0">
            <x v="28"/>
          </reference>
        </references>
      </pivotArea>
    </format>
    <format dxfId="2821">
      <pivotArea dataOnly="0" labelOnly="1" fieldPosition="0">
        <references count="3">
          <reference field="0" count="1" selected="0">
            <x v="41"/>
          </reference>
          <reference field="1" count="14">
            <x v="1"/>
            <x v="48"/>
            <x v="89"/>
            <x v="208"/>
            <x v="213"/>
            <x v="225"/>
            <x v="227"/>
            <x v="236"/>
            <x v="348"/>
            <x v="357"/>
            <x v="404"/>
            <x v="405"/>
            <x v="439"/>
            <x v="443"/>
          </reference>
          <reference field="2" count="1" selected="0">
            <x v="53"/>
          </reference>
        </references>
      </pivotArea>
    </format>
    <format dxfId="2822">
      <pivotArea dataOnly="0" labelOnly="1" fieldPosition="0">
        <references count="3">
          <reference field="0" count="1" selected="0">
            <x v="42"/>
          </reference>
          <reference field="1" count="15">
            <x v="32"/>
            <x v="36"/>
            <x v="86"/>
            <x v="96"/>
            <x v="121"/>
            <x v="145"/>
            <x v="166"/>
            <x v="167"/>
            <x v="172"/>
            <x v="231"/>
            <x v="317"/>
            <x v="332"/>
            <x v="429"/>
            <x v="513"/>
            <x v="514"/>
          </reference>
          <reference field="2" count="1" selected="0">
            <x v="7"/>
          </reference>
        </references>
      </pivotArea>
    </format>
    <format dxfId="2823">
      <pivotArea dataOnly="0" labelOnly="1" fieldPosition="0">
        <references count="3">
          <reference field="0" count="1" selected="0">
            <x v="43"/>
          </reference>
          <reference field="1" count="8">
            <x v="13"/>
            <x v="14"/>
            <x v="84"/>
            <x v="133"/>
            <x v="181"/>
            <x v="210"/>
            <x v="291"/>
            <x v="312"/>
          </reference>
          <reference field="2" count="1" selected="0">
            <x v="29"/>
          </reference>
        </references>
      </pivotArea>
    </format>
    <format dxfId="2824">
      <pivotArea dataOnly="0" labelOnly="1" fieldPosition="0">
        <references count="3">
          <reference field="0" count="1" selected="0">
            <x v="44"/>
          </reference>
          <reference field="1" count="24">
            <x v="21"/>
            <x v="23"/>
            <x v="35"/>
            <x v="150"/>
            <x v="173"/>
            <x v="186"/>
            <x v="203"/>
            <x v="219"/>
            <x v="241"/>
            <x v="249"/>
            <x v="250"/>
            <x v="251"/>
            <x v="252"/>
            <x v="329"/>
            <x v="362"/>
            <x v="393"/>
            <x v="398"/>
            <x v="433"/>
            <x v="434"/>
            <x v="515"/>
            <x v="516"/>
            <x v="517"/>
            <x v="518"/>
            <x v="519"/>
          </reference>
          <reference field="2" count="1" selected="0">
            <x v="25"/>
          </reference>
        </references>
      </pivotArea>
    </format>
    <format dxfId="2825">
      <pivotArea dataOnly="0" labelOnly="1" fieldPosition="0">
        <references count="3">
          <reference field="0" count="1" selected="0">
            <x v="45"/>
          </reference>
          <reference field="1" count="11">
            <x v="52"/>
            <x v="97"/>
            <x v="101"/>
            <x v="190"/>
            <x v="253"/>
            <x v="263"/>
            <x v="307"/>
            <x v="368"/>
            <x v="411"/>
            <x v="445"/>
            <x v="520"/>
          </reference>
          <reference field="2" count="1" selected="0">
            <x v="24"/>
          </reference>
        </references>
      </pivotArea>
    </format>
    <format dxfId="2826">
      <pivotArea dataOnly="0" labelOnly="1" fieldPosition="0">
        <references count="3">
          <reference field="0" count="1" selected="0">
            <x v="46"/>
          </reference>
          <reference field="1" count="3">
            <x v="59"/>
            <x v="60"/>
            <x v="441"/>
          </reference>
          <reference field="2" count="1" selected="0">
            <x v="12"/>
          </reference>
        </references>
      </pivotArea>
    </format>
    <format dxfId="2827">
      <pivotArea dataOnly="0" labelOnly="1" fieldPosition="0">
        <references count="3">
          <reference field="0" count="1" selected="0">
            <x v="47"/>
          </reference>
          <reference field="1" count="8">
            <x v="37"/>
            <x v="85"/>
            <x v="234"/>
            <x v="319"/>
            <x v="356"/>
            <x v="358"/>
            <x v="359"/>
            <x v="521"/>
          </reference>
          <reference field="2" count="1" selected="0">
            <x v="37"/>
          </reference>
        </references>
      </pivotArea>
    </format>
    <format dxfId="2828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2829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2830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2831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32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2833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2834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35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36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837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838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839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2840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2841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2842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843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844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2845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2846">
      <pivotArea collapsedLevelsAreSubtotals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847">
      <pivotArea collapsedLevelsAreSubtotals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848">
      <pivotArea collapsedLevelsAreSubtotals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2849">
      <pivotArea collapsedLevelsAreSubtotals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2850">
      <pivotArea collapsedLevelsAreSubtotals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851">
      <pivotArea collapsedLevelsAreSubtotals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2852">
      <pivotArea collapsedLevelsAreSubtotals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853">
      <pivotArea collapsedLevelsAreSubtotals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854">
      <pivotArea collapsedLevelsAreSubtotals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855">
      <pivotArea collapsedLevelsAreSubtotals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856">
      <pivotArea collapsedLevelsAreSubtotals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857">
      <pivotArea collapsedLevelsAreSubtotals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858">
      <pivotArea collapsedLevelsAreSubtotals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859">
      <pivotArea collapsedLevelsAreSubtotals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860">
      <pivotArea collapsedLevelsAreSubtotals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861">
      <pivotArea collapsedLevelsAreSubtotals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862">
      <pivotArea collapsedLevelsAreSubtotals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863">
      <pivotArea collapsedLevelsAreSubtotals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864">
      <pivotArea collapsedLevelsAreSubtotals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2865">
      <pivotArea collapsedLevelsAreSubtotals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2866">
      <pivotArea collapsedLevelsAreSubtotals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867">
      <pivotArea collapsedLevelsAreSubtotals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868">
      <pivotArea collapsedLevelsAreSubtotals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869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2870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2871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2872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2873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874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875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876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77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78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2879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2880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881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2882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2883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2884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2885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2886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2887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2888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2889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2890">
      <pivotArea dataOnly="0" labelOnly="1" fieldPosition="0">
        <references count="3">
          <reference field="0" count="1" selected="0">
            <x v="48"/>
          </reference>
          <reference field="1" count="1">
            <x v="184"/>
          </reference>
          <reference field="2" count="1" selected="0">
            <x v="32"/>
          </reference>
        </references>
      </pivotArea>
    </format>
    <format dxfId="2891">
      <pivotArea dataOnly="0" labelOnly="1" fieldPosition="0">
        <references count="3">
          <reference field="0" count="1" selected="0">
            <x v="49"/>
          </reference>
          <reference field="1" count="4">
            <x v="309"/>
            <x v="367"/>
            <x v="522"/>
            <x v="523"/>
          </reference>
          <reference field="2" count="1" selected="0">
            <x v="6"/>
          </reference>
        </references>
      </pivotArea>
    </format>
    <format dxfId="2892">
      <pivotArea dataOnly="0" labelOnly="1" fieldPosition="0">
        <references count="3">
          <reference field="0" count="1" selected="0">
            <x v="50"/>
          </reference>
          <reference field="1" count="9">
            <x v="20"/>
            <x v="139"/>
            <x v="169"/>
            <x v="170"/>
            <x v="202"/>
            <x v="211"/>
            <x v="265"/>
            <x v="346"/>
            <x v="388"/>
          </reference>
          <reference field="2" count="1" selected="0">
            <x v="44"/>
          </reference>
        </references>
      </pivotArea>
    </format>
    <format dxfId="2893">
      <pivotArea dataOnly="0" labelOnly="1" fieldPosition="0">
        <references count="3">
          <reference field="0" count="1" selected="0">
            <x v="51"/>
          </reference>
          <reference field="1" count="7">
            <x v="220"/>
            <x v="221"/>
            <x v="264"/>
            <x v="361"/>
            <x v="380"/>
            <x v="524"/>
            <x v="525"/>
          </reference>
          <reference field="2" count="1" selected="0">
            <x v="23"/>
          </reference>
        </references>
      </pivotArea>
    </format>
    <format dxfId="2894">
      <pivotArea dataOnly="0" labelOnly="1" fieldPosition="0">
        <references count="3">
          <reference field="0" count="1" selected="0">
            <x v="52"/>
          </reference>
          <reference field="1" count="3">
            <x v="345"/>
            <x v="436"/>
            <x v="526"/>
          </reference>
          <reference field="2" count="1" selected="0">
            <x v="14"/>
          </reference>
        </references>
      </pivotArea>
    </format>
    <format dxfId="2895">
      <pivotArea dataOnly="0" labelOnly="1" fieldPosition="0">
        <references count="3">
          <reference field="0" count="1" selected="0">
            <x v="53"/>
          </reference>
          <reference field="1" count="3">
            <x v="114"/>
            <x v="143"/>
            <x v="403"/>
          </reference>
          <reference field="2" count="1" selected="0">
            <x v="63"/>
          </reference>
        </references>
      </pivotArea>
    </format>
    <format dxfId="2896">
      <pivotArea dataOnly="0" labelOnly="1" fieldPosition="0">
        <references count="3">
          <reference field="0" count="1" selected="0">
            <x v="54"/>
          </reference>
          <reference field="1" count="2">
            <x v="313"/>
            <x v="351"/>
          </reference>
          <reference field="2" count="1" selected="0">
            <x v="64"/>
          </reference>
        </references>
      </pivotArea>
    </format>
    <format dxfId="2897">
      <pivotArea dataOnly="0" labelOnly="1" fieldPosition="0">
        <references count="3">
          <reference field="0" count="1" selected="0">
            <x v="55"/>
          </reference>
          <reference field="1" count="3">
            <x v="242"/>
            <x v="303"/>
            <x v="412"/>
          </reference>
          <reference field="2" count="1" selected="0">
            <x v="48"/>
          </reference>
        </references>
      </pivotArea>
    </format>
    <format dxfId="2898">
      <pivotArea dataOnly="0" labelOnly="1" fieldPosition="0">
        <references count="3">
          <reference field="0" count="1" selected="0">
            <x v="56"/>
          </reference>
          <reference field="1" count="2">
            <x v="3"/>
            <x v="7"/>
          </reference>
          <reference field="2" count="1" selected="0">
            <x v="15"/>
          </reference>
        </references>
      </pivotArea>
    </format>
    <format dxfId="2899">
      <pivotArea dataOnly="0" labelOnly="1" fieldPosition="0">
        <references count="3">
          <reference field="0" count="1" selected="0">
            <x v="57"/>
          </reference>
          <reference field="1" count="3">
            <x v="51"/>
            <x v="271"/>
            <x v="324"/>
          </reference>
          <reference field="2" count="1" selected="0">
            <x v="30"/>
          </reference>
        </references>
      </pivotArea>
    </format>
    <format dxfId="2900">
      <pivotArea dataOnly="0" labelOnly="1" fieldPosition="0">
        <references count="3">
          <reference field="0" count="1" selected="0">
            <x v="58"/>
          </reference>
          <reference field="1" count="2">
            <x v="62"/>
            <x v="255"/>
          </reference>
          <reference field="2" count="1" selected="0">
            <x v="27"/>
          </reference>
        </references>
      </pivotArea>
    </format>
    <format dxfId="2901">
      <pivotArea dataOnly="0" labelOnly="1" fieldPosition="0">
        <references count="3">
          <reference field="0" count="1" selected="0">
            <x v="59"/>
          </reference>
          <reference field="1" count="13">
            <x v="68"/>
            <x v="79"/>
            <x v="80"/>
            <x v="148"/>
            <x v="187"/>
            <x v="233"/>
            <x v="281"/>
            <x v="315"/>
            <x v="335"/>
            <x v="363"/>
            <x v="377"/>
            <x v="527"/>
            <x v="528"/>
          </reference>
          <reference field="2" count="1" selected="0">
            <x v="1"/>
          </reference>
        </references>
      </pivotArea>
    </format>
    <format dxfId="2902">
      <pivotArea dataOnly="0" labelOnly="1" fieldPosition="0">
        <references count="3">
          <reference field="0" count="1" selected="0">
            <x v="60"/>
          </reference>
          <reference field="1" count="1">
            <x v="71"/>
          </reference>
          <reference field="2" count="1" selected="0">
            <x v="59"/>
          </reference>
        </references>
      </pivotArea>
    </format>
    <format dxfId="2903">
      <pivotArea dataOnly="0" labelOnly="1" fieldPosition="0">
        <references count="3">
          <reference field="0" count="1" selected="0">
            <x v="61"/>
          </reference>
          <reference field="1" count="3">
            <x v="94"/>
            <x v="294"/>
            <x v="295"/>
          </reference>
          <reference field="2" count="1" selected="0">
            <x v="21"/>
          </reference>
        </references>
      </pivotArea>
    </format>
    <format dxfId="2904">
      <pivotArea dataOnly="0" labelOnly="1" fieldPosition="0">
        <references count="3">
          <reference field="0" count="1" selected="0">
            <x v="63"/>
          </reference>
          <reference field="1" count="1">
            <x v="183"/>
          </reference>
          <reference field="2" count="1" selected="0">
            <x v="11"/>
          </reference>
        </references>
      </pivotArea>
    </format>
    <format dxfId="2905">
      <pivotArea dataOnly="0" labelOnly="1" fieldPosition="0">
        <references count="3">
          <reference field="0" count="1" selected="0">
            <x v="65"/>
          </reference>
          <reference field="1" count="4">
            <x v="25"/>
            <x v="56"/>
            <x v="275"/>
            <x v="529"/>
          </reference>
          <reference field="2" count="1" selected="0">
            <x v="56"/>
          </reference>
        </references>
      </pivotArea>
    </format>
    <format dxfId="2906">
      <pivotArea dataOnly="0" labelOnly="1" fieldPosition="0">
        <references count="3">
          <reference field="0" count="1" selected="0">
            <x v="66"/>
          </reference>
          <reference field="1" count="1">
            <x v="195"/>
          </reference>
          <reference field="2" count="1" selected="0">
            <x v="66"/>
          </reference>
        </references>
      </pivotArea>
    </format>
    <format dxfId="2907">
      <pivotArea dataOnly="0" labelOnly="1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2908">
      <pivotArea dataOnly="0" labelOnly="1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2909">
      <pivotArea dataOnly="0" labelOnly="1" fieldPosition="0">
        <references count="4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2910">
      <pivotArea dataOnly="0" labelOnly="1" fieldPosition="0">
        <references count="4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2911">
      <pivotArea dataOnly="0" labelOnly="1" fieldPosition="0">
        <references count="4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2912">
      <pivotArea dataOnly="0" labelOnly="1" fieldPosition="0">
        <references count="4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2913">
      <pivotArea dataOnly="0" labelOnly="1" fieldPosition="0">
        <references count="4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>
            <x v="0"/>
          </reference>
        </references>
      </pivotArea>
    </format>
    <format dxfId="2914">
      <pivotArea dataOnly="0" labelOnly="1" fieldPosition="0">
        <references count="4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2915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916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2917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2918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2919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2920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2921">
      <pivotArea dataOnly="0" labelOnly="1" fieldPosition="0">
        <references count="4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2922">
      <pivotArea dataOnly="0" labelOnly="1" fieldPosition="0">
        <references count="4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>
            <x v="0"/>
          </reference>
        </references>
      </pivotArea>
    </format>
    <format dxfId="2923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2924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2925">
      <pivotArea dataOnly="0" labelOnly="1" fieldPosition="0">
        <references count="4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>
            <x v="3"/>
          </reference>
        </references>
      </pivotArea>
    </format>
    <format dxfId="2926">
      <pivotArea dataOnly="0" labelOnly="1" fieldPosition="0">
        <references count="4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2927">
      <pivotArea dataOnly="0" labelOnly="1" fieldPosition="0">
        <references count="4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>
            <x v="4"/>
          </reference>
        </references>
      </pivotArea>
    </format>
    <format dxfId="2928">
      <pivotArea dataOnly="0" labelOnly="1" fieldPosition="0">
        <references count="4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2929">
      <pivotArea dataOnly="0" labelOnly="1" fieldPosition="0">
        <references count="4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2930">
      <pivotArea dataOnly="0" labelOnly="1" fieldPosition="0">
        <references count="4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>
            <x v="4"/>
          </reference>
        </references>
      </pivotArea>
    </format>
    <format dxfId="2931">
      <pivotArea dataOnly="0" labelOnly="1" fieldPosition="0">
        <references count="4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>
            <x v="0"/>
          </reference>
        </references>
      </pivotArea>
    </format>
    <format dxfId="2932">
      <pivotArea dataOnly="0" labelOnly="1" fieldPosition="0">
        <references count="4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2933">
      <pivotArea dataOnly="0" labelOnly="1" fieldPosition="0">
        <references count="4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2934">
      <pivotArea dataOnly="0" labelOnly="1" fieldPosition="0">
        <references count="4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>
            <x v="0"/>
          </reference>
        </references>
      </pivotArea>
    </format>
    <format dxfId="2935">
      <pivotArea collapsedLevelsAreSubtotals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2936">
      <pivotArea dataOnly="0" labelOnly="1" fieldPosition="0">
        <references count="4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2937">
      <pivotArea dataOnly="0" labelOnly="1" fieldPosition="0">
        <references count="4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2938">
      <pivotArea dataOnly="0" labelOnly="1" fieldPosition="0">
        <references count="4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>
            <x v="3"/>
          </reference>
        </references>
      </pivotArea>
    </format>
    <format dxfId="2939">
      <pivotArea dataOnly="0" labelOnly="1" fieldPosition="0">
        <references count="4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2940">
      <pivotArea dataOnly="0" labelOnly="1" fieldPosition="0">
        <references count="4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2941">
      <pivotArea dataOnly="0" labelOnly="1" fieldPosition="0">
        <references count="4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2942">
      <pivotArea dataOnly="0" labelOnly="1" fieldPosition="0">
        <references count="4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2943">
      <pivotArea dataOnly="0" labelOnly="1" fieldPosition="0">
        <references count="4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2944">
      <pivotArea dataOnly="0" labelOnly="1" fieldPosition="0">
        <references count="4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2945">
      <pivotArea dataOnly="0" labelOnly="1" fieldPosition="0">
        <references count="4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2946">
      <pivotArea dataOnly="0" labelOnly="1" fieldPosition="0">
        <references count="4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2947">
      <pivotArea dataOnly="0" labelOnly="1" fieldPosition="0">
        <references count="4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2948">
      <pivotArea dataOnly="0" labelOnly="1" fieldPosition="0">
        <references count="4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2949">
      <pivotArea dataOnly="0" labelOnly="1" fieldPosition="0">
        <references count="4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2950">
      <pivotArea dataOnly="0" labelOnly="1" fieldPosition="0">
        <references count="4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2951">
      <pivotArea dataOnly="0" labelOnly="1" fieldPosition="0">
        <references count="4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2952">
      <pivotArea dataOnly="0" labelOnly="1" fieldPosition="0">
        <references count="4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>
            <x v="4"/>
          </reference>
        </references>
      </pivotArea>
    </format>
    <format dxfId="2953">
      <pivotArea dataOnly="0" labelOnly="1" fieldPosition="0">
        <references count="4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>
            <x v="1"/>
          </reference>
        </references>
      </pivotArea>
    </format>
    <format dxfId="2954">
      <pivotArea dataOnly="0" labelOnly="1" fieldPosition="0">
        <references count="4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2955">
      <pivotArea dataOnly="0" labelOnly="1" fieldPosition="0">
        <references count="4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56">
      <pivotArea dataOnly="0" labelOnly="1" fieldPosition="0">
        <references count="4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57">
      <pivotArea dataOnly="0" labelOnly="1" fieldPosition="0">
        <references count="4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58">
      <pivotArea dataOnly="0" labelOnly="1" fieldPosition="0">
        <references count="4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59">
      <pivotArea dataOnly="0" labelOnly="1" fieldPosition="0">
        <references count="4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60">
      <pivotArea dataOnly="0" labelOnly="1" fieldPosition="0">
        <references count="4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61">
      <pivotArea dataOnly="0" labelOnly="1" fieldPosition="0">
        <references count="4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2962">
      <pivotArea dataOnly="0" labelOnly="1" fieldPosition="0">
        <references count="4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63">
      <pivotArea dataOnly="0" labelOnly="1" fieldPosition="0">
        <references count="4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64">
      <pivotArea dataOnly="0" labelOnly="1" fieldPosition="0">
        <references count="4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2965">
      <pivotArea dataOnly="0" labelOnly="1" fieldPosition="0">
        <references count="4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2966">
      <pivotArea dataOnly="0" labelOnly="1" fieldPosition="0">
        <references count="4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2967">
      <pivotArea dataOnly="0" labelOnly="1" fieldPosition="0">
        <references count="4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2968">
      <pivotArea dataOnly="0" labelOnly="1" fieldPosition="0">
        <references count="4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2969">
      <pivotArea dataOnly="0" labelOnly="1" fieldPosition="0">
        <references count="4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2970">
      <pivotArea dataOnly="0" labelOnly="1" fieldPosition="0">
        <references count="4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2971">
      <pivotArea dataOnly="0" labelOnly="1" fieldPosition="0">
        <references count="4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2972">
      <pivotArea dataOnly="0" labelOnly="1" fieldPosition="0">
        <references count="4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2973">
      <pivotArea dataOnly="0" labelOnly="1" fieldPosition="0">
        <references count="4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>
            <x v="3"/>
          </reference>
        </references>
      </pivotArea>
    </format>
    <format dxfId="2974">
      <pivotArea dataOnly="0" labelOnly="1" fieldPosition="0">
        <references count="4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2975">
      <pivotArea dataOnly="0" labelOnly="1" fieldPosition="0">
        <references count="4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2976">
      <pivotArea dataOnly="0" labelOnly="1" fieldPosition="0">
        <references count="4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2977">
      <pivotArea dataOnly="0" labelOnly="1" fieldPosition="0">
        <references count="4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2978">
      <pivotArea dataOnly="0" labelOnly="1" fieldPosition="0">
        <references count="4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2979">
      <pivotArea dataOnly="0" labelOnly="1" fieldPosition="0">
        <references count="4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2980">
      <pivotArea dataOnly="0" labelOnly="1" fieldPosition="0">
        <references count="4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2981">
      <pivotArea dataOnly="0" labelOnly="1" fieldPosition="0">
        <references count="4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2982">
      <pivotArea dataOnly="0" labelOnly="1" fieldPosition="0">
        <references count="4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2983">
      <pivotArea dataOnly="0" labelOnly="1" fieldPosition="0">
        <references count="4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2984">
      <pivotArea dataOnly="0" labelOnly="1" fieldPosition="0">
        <references count="4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2985">
      <pivotArea dataOnly="0" labelOnly="1" fieldPosition="0">
        <references count="4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2986">
      <pivotArea dataOnly="0" labelOnly="1" fieldPosition="0">
        <references count="4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2987">
      <pivotArea dataOnly="0" labelOnly="1" fieldPosition="0">
        <references count="4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2988">
      <pivotArea dataOnly="0" labelOnly="1" fieldPosition="0">
        <references count="4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2989">
      <pivotArea dataOnly="0" labelOnly="1" fieldPosition="0">
        <references count="4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2990">
      <pivotArea dataOnly="0" labelOnly="1" fieldPosition="0">
        <references count="4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2991">
      <pivotArea dataOnly="0" labelOnly="1" fieldPosition="0">
        <references count="4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2992">
      <pivotArea dataOnly="0" labelOnly="1" fieldPosition="0">
        <references count="4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>
            <x v="3"/>
          </reference>
        </references>
      </pivotArea>
    </format>
    <format dxfId="2993">
      <pivotArea dataOnly="0" labelOnly="1" fieldPosition="0">
        <references count="4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>
            <x v="3"/>
          </reference>
        </references>
      </pivotArea>
    </format>
    <format dxfId="2994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2995">
      <pivotArea dataOnly="0" labelOnly="1" fieldPosition="0">
        <references count="4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>
            <x v="0"/>
          </reference>
        </references>
      </pivotArea>
    </format>
    <format dxfId="2996">
      <pivotArea dataOnly="0" labelOnly="1" fieldPosition="0">
        <references count="4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2997">
      <pivotArea dataOnly="0" labelOnly="1" fieldPosition="0">
        <references count="4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2998">
      <pivotArea dataOnly="0" labelOnly="1" fieldPosition="0">
        <references count="4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>
            <x v="4"/>
          </reference>
        </references>
      </pivotArea>
    </format>
    <format dxfId="2999">
      <pivotArea dataOnly="0" labelOnly="1" fieldPosition="0">
        <references count="4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3000">
      <pivotArea dataOnly="0" labelOnly="1" fieldPosition="0">
        <references count="4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3001">
      <pivotArea dataOnly="0" labelOnly="1" fieldPosition="0">
        <references count="4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3002">
      <pivotArea dataOnly="0" labelOnly="1" fieldPosition="0">
        <references count="4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3003">
      <pivotArea dataOnly="0" labelOnly="1" fieldPosition="0">
        <references count="4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3004">
      <pivotArea dataOnly="0" labelOnly="1" fieldPosition="0">
        <references count="4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3005">
      <pivotArea dataOnly="0" labelOnly="1" fieldPosition="0">
        <references count="4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3006">
      <pivotArea dataOnly="0" labelOnly="1" fieldPosition="0">
        <references count="4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3007">
      <pivotArea dataOnly="0" labelOnly="1" fieldPosition="0">
        <references count="4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3008">
      <pivotArea dataOnly="0" labelOnly="1" fieldPosition="0">
        <references count="4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3009">
      <pivotArea dataOnly="0" labelOnly="1" fieldPosition="0">
        <references count="4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3010">
      <pivotArea dataOnly="0" labelOnly="1" fieldPosition="0">
        <references count="4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3011">
      <pivotArea dataOnly="0" labelOnly="1" fieldPosition="0">
        <references count="4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>
            <x v="3"/>
          </reference>
        </references>
      </pivotArea>
    </format>
    <format dxfId="3012">
      <pivotArea dataOnly="0" labelOnly="1" fieldPosition="0">
        <references count="4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>
            <x v="4"/>
          </reference>
        </references>
      </pivotArea>
    </format>
    <format dxfId="3013">
      <pivotArea dataOnly="0" labelOnly="1" fieldPosition="0">
        <references count="4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>
            <x v="3"/>
          </reference>
        </references>
      </pivotArea>
    </format>
    <format dxfId="3014">
      <pivotArea dataOnly="0" labelOnly="1" fieldPosition="0">
        <references count="4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3015">
      <pivotArea dataOnly="0" labelOnly="1" fieldPosition="0">
        <references count="4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3016">
      <pivotArea dataOnly="0" labelOnly="1" fieldPosition="0">
        <references count="4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>
            <x v="4"/>
          </reference>
        </references>
      </pivotArea>
    </format>
    <format dxfId="3017">
      <pivotArea dataOnly="0" labelOnly="1" fieldPosition="0">
        <references count="4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3018">
      <pivotArea dataOnly="0" labelOnly="1" fieldPosition="0">
        <references count="4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>
            <x v="3"/>
          </reference>
        </references>
      </pivotArea>
    </format>
    <format dxfId="3019">
      <pivotArea dataOnly="0" labelOnly="1" fieldPosition="0">
        <references count="4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3020">
      <pivotArea dataOnly="0" labelOnly="1" fieldPosition="0">
        <references count="4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>
            <x v="0"/>
          </reference>
        </references>
      </pivotArea>
    </format>
    <format dxfId="3021">
      <pivotArea dataOnly="0" labelOnly="1" fieldPosition="0">
        <references count="4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3022">
      <pivotArea dataOnly="0" labelOnly="1" fieldPosition="0">
        <references count="4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>
            <x v="3"/>
          </reference>
        </references>
      </pivotArea>
    </format>
    <format dxfId="3023">
      <pivotArea dataOnly="0" labelOnly="1" fieldPosition="0">
        <references count="4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3024">
      <pivotArea dataOnly="0" labelOnly="1" fieldPosition="0">
        <references count="4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>
            <x v="0"/>
          </reference>
        </references>
      </pivotArea>
    </format>
    <format dxfId="3025">
      <pivotArea dataOnly="0" labelOnly="1" fieldPosition="0">
        <references count="4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3026">
      <pivotArea dataOnly="0" labelOnly="1" fieldPosition="0">
        <references count="4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>
            <x v="3"/>
          </reference>
        </references>
      </pivotArea>
    </format>
    <format dxfId="3027">
      <pivotArea dataOnly="0" labelOnly="1" fieldPosition="0">
        <references count="4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3028">
      <pivotArea dataOnly="0" labelOnly="1" fieldPosition="0">
        <references count="4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3029">
      <pivotArea dataOnly="0" labelOnly="1" fieldPosition="0">
        <references count="4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3030">
      <pivotArea dataOnly="0" labelOnly="1" fieldPosition="0">
        <references count="4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3031">
      <pivotArea dataOnly="0" labelOnly="1" fieldPosition="0">
        <references count="4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3032">
      <pivotArea dataOnly="0" labelOnly="1" fieldPosition="0">
        <references count="4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3033">
      <pivotArea dataOnly="0" labelOnly="1" fieldPosition="0">
        <references count="4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3034">
      <pivotArea dataOnly="0" labelOnly="1" fieldPosition="0">
        <references count="4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3035">
      <pivotArea dataOnly="0" labelOnly="1" fieldPosition="0">
        <references count="4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3036">
      <pivotArea dataOnly="0" labelOnly="1" fieldPosition="0">
        <references count="4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3037">
      <pivotArea dataOnly="0" labelOnly="1" fieldPosition="0">
        <references count="4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3038">
      <pivotArea dataOnly="0" labelOnly="1" fieldPosition="0">
        <references count="4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3039">
      <pivotArea dataOnly="0" labelOnly="1" fieldPosition="0">
        <references count="4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3040">
      <pivotArea dataOnly="0" labelOnly="1" fieldPosition="0">
        <references count="4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3041">
      <pivotArea dataOnly="0" labelOnly="1" fieldPosition="0">
        <references count="4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3042">
      <pivotArea dataOnly="0" labelOnly="1" fieldPosition="0">
        <references count="4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3043">
      <pivotArea dataOnly="0" labelOnly="1" fieldPosition="0">
        <references count="4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3044">
      <pivotArea dataOnly="0" labelOnly="1" fieldPosition="0">
        <references count="4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3045">
      <pivotArea dataOnly="0" labelOnly="1" fieldPosition="0">
        <references count="4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46">
      <pivotArea dataOnly="0" labelOnly="1" fieldPosition="0">
        <references count="4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3047">
      <pivotArea dataOnly="0" labelOnly="1" fieldPosition="0">
        <references count="4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48">
      <pivotArea dataOnly="0" labelOnly="1" fieldPosition="0">
        <references count="4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3049">
      <pivotArea dataOnly="0" labelOnly="1" fieldPosition="0">
        <references count="4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50">
      <pivotArea dataOnly="0" labelOnly="1" fieldPosition="0">
        <references count="4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3051">
      <pivotArea dataOnly="0" labelOnly="1" fieldPosition="0">
        <references count="4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52">
      <pivotArea dataOnly="0" labelOnly="1" fieldPosition="0">
        <references count="4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3053">
      <pivotArea collapsedLevelsAreSubtotals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3054">
      <pivotArea dataOnly="0" labelOnly="1" fieldPosition="0">
        <references count="4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55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3056">
      <pivotArea dataOnly="0" labelOnly="1" fieldPosition="0">
        <references count="4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3057">
      <pivotArea dataOnly="0" labelOnly="1" fieldPosition="0">
        <references count="4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3058">
      <pivotArea dataOnly="0" labelOnly="1" fieldPosition="0">
        <references count="2">
          <reference field="0" count="1" selected="0">
            <x v="3"/>
          </reference>
          <reference field="2" count="1">
            <x v="47"/>
          </reference>
        </references>
      </pivotArea>
    </format>
    <format dxfId="3059">
      <pivotArea dataOnly="0" labelOnly="1" fieldPosition="0">
        <references count="4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3060">
      <pivotArea dataOnly="0" labelOnly="1" fieldPosition="0">
        <references count="2">
          <reference field="0" count="1" selected="0">
            <x v="4"/>
          </reference>
          <reference field="2" count="1">
            <x v="2"/>
          </reference>
        </references>
      </pivotArea>
    </format>
    <format dxfId="3061">
      <pivotArea dataOnly="0" labelOnly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3062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3063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3064">
      <pivotArea dataOnly="0" labelOnly="1" fieldPosition="0">
        <references count="2">
          <reference field="0" count="1" selected="0">
            <x v="7"/>
          </reference>
          <reference field="2" count="1">
            <x v="26"/>
          </reference>
        </references>
      </pivotArea>
    </format>
    <format dxfId="3065">
      <pivotArea dataOnly="0" labelOnly="1" fieldPosition="0">
        <references count="2">
          <reference field="0" count="1" selected="0">
            <x v="8"/>
          </reference>
          <reference field="2" count="1">
            <x v="13"/>
          </reference>
        </references>
      </pivotArea>
    </format>
    <format dxfId="3066">
      <pivotArea dataOnly="0" labelOnly="1" fieldPosition="0">
        <references count="4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3067">
      <pivotArea dataOnly="0" labelOnly="1" fieldPosition="0">
        <references count="4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3068">
      <pivotArea dataOnly="0" labelOnly="1" fieldPosition="0">
        <references count="4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3069">
      <pivotArea dataOnly="0" labelOnly="1" fieldPosition="0">
        <references count="2">
          <reference field="0" count="1" selected="0">
            <x v="12"/>
          </reference>
          <reference field="2" count="1">
            <x v="16"/>
          </reference>
        </references>
      </pivotArea>
    </format>
    <format dxfId="3070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3071">
      <pivotArea dataOnly="0" labelOnly="1" fieldPosition="0">
        <references count="4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3072">
      <pivotArea dataOnly="0" labelOnly="1" fieldPosition="0">
        <references count="4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3073">
      <pivotArea dataOnly="0" labelOnly="1" fieldPosition="0">
        <references count="4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3074">
      <pivotArea dataOnly="0" labelOnly="1" fieldPosition="0">
        <references count="4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3075">
      <pivotArea dataOnly="0" labelOnly="1" fieldPosition="0">
        <references count="4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>
            <x v="0"/>
          </reference>
        </references>
      </pivotArea>
    </format>
    <format dxfId="3076">
      <pivotArea dataOnly="0" labelOnly="1" fieldPosition="0">
        <references count="4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3077">
      <pivotArea dataOnly="0" labelOnly="1" fieldPosition="0">
        <references count="4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3078">
      <pivotArea dataOnly="0" labelOnly="1" fieldPosition="0">
        <references count="4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3079">
      <pivotArea dataOnly="0" labelOnly="1" fieldPosition="0">
        <references count="4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080">
      <pivotArea dataOnly="0" labelOnly="1" fieldPosition="0">
        <references count="2">
          <reference field="0" count="1" selected="0">
            <x v="22"/>
          </reference>
          <reference field="2" count="1">
            <x v="52"/>
          </reference>
        </references>
      </pivotArea>
    </format>
    <format dxfId="3081">
      <pivotArea dataOnly="0" labelOnly="1" fieldPosition="0">
        <references count="4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082">
      <pivotArea dataOnly="0" labelOnly="1" fieldPosition="0">
        <references count="4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083">
      <pivotArea dataOnly="0" labelOnly="1" fieldPosition="0">
        <references count="4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084">
      <pivotArea dataOnly="0" labelOnly="1" fieldPosition="0">
        <references count="4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3085">
      <pivotArea dataOnly="0" labelOnly="1" fieldPosition="0">
        <references count="4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086">
      <pivotArea dataOnly="0" labelOnly="1" fieldPosition="0">
        <references count="4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3087">
      <pivotArea dataOnly="0" labelOnly="1" fieldPosition="0">
        <references count="4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088">
      <pivotArea dataOnly="0" labelOnly="1" fieldPosition="0">
        <references count="4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089">
      <pivotArea dataOnly="0" labelOnly="1" fieldPosition="0">
        <references count="4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090">
      <pivotArea dataOnly="0" labelOnly="1" fieldPosition="0">
        <references count="4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3091">
      <pivotArea dataOnly="0" labelOnly="1" fieldPosition="0">
        <references count="4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3092">
      <pivotArea dataOnly="0" labelOnly="1" fieldPosition="0">
        <references count="4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>
            <x v="4"/>
          </reference>
        </references>
      </pivotArea>
    </format>
    <format dxfId="3093">
      <pivotArea dataOnly="0" labelOnly="1" fieldPosition="0">
        <references count="4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3094">
      <pivotArea dataOnly="0" labelOnly="1" fieldPosition="0">
        <references count="4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3095">
      <pivotArea dataOnly="0" labelOnly="1" fieldPosition="0">
        <references count="4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3096">
      <pivotArea dataOnly="0" labelOnly="1" fieldPosition="0">
        <references count="4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3097">
      <pivotArea dataOnly="0" labelOnly="1" fieldPosition="0">
        <references count="4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3098">
      <pivotArea dataOnly="0" labelOnly="1" fieldPosition="0">
        <references count="4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3099">
      <pivotArea dataOnly="0" labelOnly="1" fieldPosition="0">
        <references count="4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>
            <x v="0"/>
          </reference>
        </references>
      </pivotArea>
    </format>
    <format dxfId="3100">
      <pivotArea dataOnly="0" labelOnly="1" fieldPosition="0">
        <references count="4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3101">
      <pivotArea dataOnly="0" labelOnly="1" fieldPosition="0">
        <references count="4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3102">
      <pivotArea dataOnly="0" labelOnly="1" fieldPosition="0">
        <references count="4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3103">
      <pivotArea dataOnly="0" labelOnly="1" fieldPosition="0">
        <references count="4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>
            <x v="7"/>
          </reference>
        </references>
      </pivotArea>
    </format>
    <format dxfId="3104">
      <pivotArea dataOnly="0" labelOnly="1" fieldPosition="0">
        <references count="4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3105">
      <pivotArea dataOnly="0" labelOnly="1" fieldPosition="0">
        <references count="4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3106">
      <pivotArea dataOnly="0" labelOnly="1" fieldPosition="0">
        <references count="4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>
            <x v="4"/>
          </reference>
        </references>
      </pivotArea>
    </format>
    <format dxfId="3107">
      <pivotArea dataOnly="0" labelOnly="1" fieldPosition="0">
        <references count="4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3108">
      <pivotArea dataOnly="0" labelOnly="1" fieldPosition="0">
        <references count="4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>
            <x v="3"/>
          </reference>
        </references>
      </pivotArea>
    </format>
    <format dxfId="3109">
      <pivotArea dataOnly="0" labelOnly="1" fieldPosition="0">
        <references count="4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>
            <x v="0"/>
          </reference>
        </references>
      </pivotArea>
    </format>
    <format dxfId="3110">
      <pivotArea dataOnly="0" labelOnly="1" fieldPosition="0">
        <references count="4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3111">
      <pivotArea dataOnly="0" labelOnly="1" fieldPosition="0">
        <references count="4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3112">
      <pivotArea dataOnly="0" labelOnly="1" fieldPosition="0">
        <references count="4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3113">
      <pivotArea dataOnly="0" labelOnly="1" fieldPosition="0">
        <references count="4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>
            <x v="3"/>
          </reference>
        </references>
      </pivotArea>
    </format>
    <format dxfId="3114">
      <pivotArea dataOnly="0" labelOnly="1" fieldPosition="0">
        <references count="4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>
            <x v="0"/>
          </reference>
        </references>
      </pivotArea>
    </format>
    <format dxfId="3115">
      <pivotArea dataOnly="0" labelOnly="1" fieldPosition="0">
        <references count="4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3116">
      <pivotArea dataOnly="0" labelOnly="1" fieldPosition="0">
        <references count="4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>
            <x v="4"/>
          </reference>
        </references>
      </pivotArea>
    </format>
    <format dxfId="3117">
      <pivotArea dataOnly="0" labelOnly="1" fieldPosition="0">
        <references count="4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>
            <x v="3"/>
          </reference>
        </references>
      </pivotArea>
    </format>
    <format dxfId="3118">
      <pivotArea dataOnly="0" labelOnly="1" fieldPosition="0">
        <references count="4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>
            <x v="3"/>
          </reference>
        </references>
      </pivotArea>
    </format>
    <format dxfId="3119">
      <pivotArea dataOnly="0" labelOnly="1" fieldPosition="0">
        <references count="4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>
            <x v="3"/>
          </reference>
        </references>
      </pivotArea>
    </format>
    <format dxfId="3120">
      <pivotArea dataOnly="0" labelOnly="1" fieldPosition="0">
        <references count="4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>
            <x v="3"/>
          </reference>
        </references>
      </pivotArea>
    </format>
    <format dxfId="3121">
      <pivotArea dataOnly="0" labelOnly="1" fieldPosition="0">
        <references count="4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122">
      <pivotArea dataOnly="0" labelOnly="1" fieldPosition="0">
        <references count="4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3123">
      <pivotArea dataOnly="0" labelOnly="1" fieldPosition="0">
        <references count="4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124">
      <pivotArea dataOnly="0" labelOnly="1" fieldPosition="0">
        <references count="4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>
            <x v="0"/>
          </reference>
        </references>
      </pivotArea>
    </format>
    <format dxfId="3125">
      <pivotArea dataOnly="0" labelOnly="1" fieldPosition="0">
        <references count="4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126">
      <pivotArea dataOnly="0" labelOnly="1" fieldPosition="0">
        <references count="4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>
            <x v="0"/>
          </reference>
        </references>
      </pivotArea>
    </format>
    <format dxfId="3127">
      <pivotArea dataOnly="0" labelOnly="1" fieldPosition="0">
        <references count="4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>
            <x v="4"/>
          </reference>
        </references>
      </pivotArea>
    </format>
    <format dxfId="3128">
      <pivotArea dataOnly="0" labelOnly="1" fieldPosition="0">
        <references count="3">
          <reference field="0" count="1" selected="0">
            <x v="4"/>
          </reference>
          <reference field="1" count="1">
            <x v="142"/>
          </reference>
          <reference field="2" count="1" selected="0">
            <x v="2"/>
          </reference>
        </references>
      </pivotArea>
    </format>
    <format dxfId="3129">
      <pivotArea dataOnly="0" labelOnly="1" fieldPosition="0">
        <references count="3">
          <reference field="0" count="1" selected="0">
            <x v="6"/>
          </reference>
          <reference field="1" count="12">
            <x v="10"/>
            <x v="73"/>
            <x v="140"/>
            <x v="156"/>
            <x v="200"/>
            <x v="201"/>
            <x v="228"/>
            <x v="230"/>
            <x v="326"/>
            <x v="372"/>
            <x v="373"/>
            <x v="400"/>
          </reference>
          <reference field="2" count="1" selected="0">
            <x v="17"/>
          </reference>
        </references>
      </pivotArea>
    </format>
    <format dxfId="3130">
      <pivotArea dataOnly="0" labelOnly="1" fieldPosition="0">
        <references count="4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>
            <x v="3"/>
          </reference>
        </references>
      </pivotArea>
    </format>
    <format dxfId="3131">
      <pivotArea dataOnly="0" labelOnly="1" fieldPosition="0">
        <references count="4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3132">
      <pivotArea dataOnly="0" labelOnly="1" fieldPosition="0">
        <references count="4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>
            <x v="0"/>
          </reference>
        </references>
      </pivotArea>
    </format>
    <format dxfId="3133">
      <pivotArea dataOnly="0" labelOnly="1" fieldPosition="0">
        <references count="4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3134">
      <pivotArea dataOnly="0" labelOnly="1" fieldPosition="0">
        <references count="4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>
            <x v="3"/>
          </reference>
        </references>
      </pivotArea>
    </format>
    <format dxfId="3135">
      <pivotArea dataOnly="0" labelOnly="1" fieldPosition="0">
        <references count="4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3136">
      <pivotArea dataOnly="0" labelOnly="1" fieldPosition="0">
        <references count="4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>
            <x v="3"/>
          </reference>
        </references>
      </pivotArea>
    </format>
    <format dxfId="3137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38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139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140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3141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3142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3143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3144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3145">
      <pivotArea dataOnly="0" labelOnly="1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3146">
      <pivotArea dataOnly="0" labelOnly="1" offset="IV2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3147">
      <pivotArea dataOnly="0" labelOnly="1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3148">
      <pivotArea dataOnly="0" labelOnly="1" fieldPosition="0">
        <references count="4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3149">
      <pivotArea dataOnly="0" labelOnly="1" fieldPosition="0">
        <references count="4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3150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3151">
      <pivotArea dataOnly="0" labelOnly="1" fieldPosition="0">
        <references count="4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3152">
      <pivotArea dataOnly="0" labelOnly="1" fieldPosition="0">
        <references count="4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>
            <x v="0"/>
          </reference>
        </references>
      </pivotArea>
    </format>
    <format dxfId="3153">
      <pivotArea dataOnly="0" labelOnly="1" fieldPosition="0">
        <references count="4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3154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3155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3156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3157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3158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3159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3160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3161">
      <pivotArea dataOnly="0" labelOnly="1" fieldPosition="0">
        <references count="4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>
            <x v="3"/>
          </reference>
        </references>
      </pivotArea>
    </format>
    <format dxfId="3162">
      <pivotArea dataOnly="0" labelOnly="1" fieldPosition="0">
        <references count="4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3163">
      <pivotArea dataOnly="0" labelOnly="1" fieldPosition="0">
        <references count="4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>
            <x v="0"/>
          </reference>
        </references>
      </pivotArea>
    </format>
    <format dxfId="3164">
      <pivotArea dataOnly="0" labelOnly="1" fieldPosition="0">
        <references count="4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3165">
      <pivotArea dataOnly="0" labelOnly="1" fieldPosition="0">
        <references count="4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3166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67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168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169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170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171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172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173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3174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3175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176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77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3178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179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180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181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182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3183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184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185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186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3187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188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189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3190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3191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192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193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194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195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196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197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198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199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3200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3201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202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203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204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205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206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207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208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3209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210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211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212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3213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214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215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3216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3217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218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219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3220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3221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3222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3223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3224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3225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226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227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3228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229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230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3231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3232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233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3234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3235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3236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3237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3238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3239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3240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3241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3242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243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244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245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3246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3247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3248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3249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3250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3251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3252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3253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3254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3255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256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3257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3258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3259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3260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261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3262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3263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3264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3265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3266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3267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3268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3269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3270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271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3272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3273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274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275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3276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3277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3278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3279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280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3281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3282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3283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284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285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3286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3287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3288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3289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3290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3291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3292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3293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3294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3295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3296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3297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3298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299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00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3301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3302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3303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3304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305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3306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3307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08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3309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3310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3311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312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3313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3314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3315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316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3317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3318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3319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20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3321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322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3323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3324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3325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326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27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3328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329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3330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3331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3332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3333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3334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3335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3336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3337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3338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3339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340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3341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342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3343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3344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345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346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3347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48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3349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50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3351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3352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3353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354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355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3356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3357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3358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59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3360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3361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362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363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364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365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3366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3367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3368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3369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3370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3371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3372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3373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374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3375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3376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3377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3378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379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3380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3381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382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83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3384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3385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3386">
      <pivotArea dataOnly="0" labelOnly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3387">
      <pivotArea dataOnly="0" labelOnly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3388">
      <pivotArea dataOnly="0" labelOnly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3389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390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3391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3392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3393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3394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3395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3396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3397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3398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399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3400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3401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402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3403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3404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3405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406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3407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408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409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410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411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3412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3413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3414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3415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16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417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18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3419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3420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3421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22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423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3424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3425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26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3427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3428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3429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3430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3431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3432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3433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34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435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3436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3437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3438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3439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3440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3441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3442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3443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44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3445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3446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3447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3448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3449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3450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451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3452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3453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3454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3455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456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3457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3458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3459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3460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3461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3462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3463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3464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3465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3466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3467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3468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3469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70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3471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3472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3473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3474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475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3476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3477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3478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3479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3480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3481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3482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3483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3484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3485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3486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3487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488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3489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3490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3491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3492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3493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494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495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3496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3497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3498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3499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3500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3501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3502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3503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04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505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3506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3507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3508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3509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3510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3511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3512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3513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3514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3515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516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3517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3518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3519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3520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3521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3522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3523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3524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3525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3526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3527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3528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3529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3530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3531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3532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3533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3534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535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536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3537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3538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3539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3540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3541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3542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3543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44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3545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3546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3547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3548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3549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3550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3551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3552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3553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3554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3555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3556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3557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3558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59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3560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3561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562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3563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64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3565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66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67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3568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3569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3570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71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3572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573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574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3575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3576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3577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3578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3579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580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581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3582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3583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3584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3585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3586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3587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3588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3589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3590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3591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3592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3593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594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3595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3596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3597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3598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3599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3600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3601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602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3603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3604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3605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3606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3607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3608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3609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3610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3611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3612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3613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3614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3615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3616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3617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3618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3619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620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621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3622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623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624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3625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3626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627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3628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3629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630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3631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3632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3633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3634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3635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3636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3637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3638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3639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3640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3641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3642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3643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3644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3645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646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3647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648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649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650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651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3652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653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3654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3655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656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3657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3658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3659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3660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3661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3662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3663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3664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3665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3666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3667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668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3669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3670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3671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3672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3673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674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3675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3676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3677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3678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3679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680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681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3682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3683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3684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3685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3686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687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3688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3689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3690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3691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692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3693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3694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695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3696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3697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3698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3699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3700">
      <pivotArea dataOnly="0" labelOnly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3701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02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03">
      <pivotArea collapsedLevelsAreSubtotals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04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3705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06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3707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08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09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10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11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12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13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14">
      <pivotArea dataOnly="0" labelOnly="1" offset="IV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15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3716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3717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3718">
      <pivotArea collapsedLevelsAreSubtotals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19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20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21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22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23">
      <pivotArea collapsedLevelsAreSubtotals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24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3725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26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3727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28">
      <pivotArea collapsedLevelsAreSubtotals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29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30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31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3732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3733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34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3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36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37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38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3739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3740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741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742">
      <pivotArea collapsedLevelsAreSubtotals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43">
      <pivotArea collapsedLevelsAreSubtotals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744">
      <pivotArea collapsedLevelsAreSubtotals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745">
      <pivotArea collapsedLevelsAreSubtotals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46">
      <pivotArea collapsedLevelsAreSubtotals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3747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3748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3749">
      <pivotArea dataOnly="0" labelOnly="1" fieldPosition="0">
        <references count="3">
          <reference field="0" count="1" selected="0">
            <x v="1"/>
          </reference>
          <reference field="1" count="4">
            <x v="9"/>
            <x v="58"/>
            <x v="179"/>
            <x v="364"/>
          </reference>
          <reference field="2" count="1" selected="0">
            <x v="8"/>
          </reference>
        </references>
      </pivotArea>
    </format>
    <format dxfId="3750">
      <pivotArea dataOnly="0" labelOnly="1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3751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52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753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754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755">
      <pivotArea collapsedLevelsAreSubtotals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3756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3757">
      <pivotArea field="4" type="button" dataOnly="0" labelOnly="1" outline="0" axis="axisRow" fieldPosition="4"/>
    </format>
    <format dxfId="3758">
      <pivotArea dataOnly="0" labelOnly="1" grandRow="1" outline="0" fieldPosition="0"/>
    </format>
    <format dxfId="3759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3760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3761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3762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3763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3764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3765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3766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3767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3768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3769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3770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3771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3772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3773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3774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3775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3776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3777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3778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3779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3780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3781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3782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3783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3784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3785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3786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3787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3788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3789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3790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3791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3792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3793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3794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3795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3796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3797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3798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3799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3800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3801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3802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3803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3804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3805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3806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3807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3808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3809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3810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3811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3812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3813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3814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3815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3816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3817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3818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3819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3820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3821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3822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3823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3824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382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3826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27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828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829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30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831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3832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833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3834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835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836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3837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3838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839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40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3841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842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843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844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845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3846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847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848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3849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3850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3851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852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3853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3854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855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3856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3857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3858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3859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3860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3861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62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863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3864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865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866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3867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3868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869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3870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3871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3872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3873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3874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3875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3876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3877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3878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879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3880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881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3882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3883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3884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3885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3886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3887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3888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3889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3890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3891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892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3893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3894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3895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3896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3897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3898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3899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3900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3901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3902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3903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3904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3905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3906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907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3908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3909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910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911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3912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3913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3914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3915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916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3917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3918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3919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920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921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3922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3923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3924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3925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3926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3927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3928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3929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3930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3931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3932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3933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3934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3935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36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3937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3938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3939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3940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941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3942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3943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44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3945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3946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3947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948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3949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3950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3951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3952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3953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3954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3955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56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3957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958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3959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3960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3961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962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63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3964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965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3966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3967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3968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3969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3970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3971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3972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3973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3974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3975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3976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3977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978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3979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3980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981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982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3983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84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3985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86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3987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3988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3989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3990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991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3992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3993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3994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995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3996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3997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998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3999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000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001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4002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4003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4004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4005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4006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4007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4008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4009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010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4011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4012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4013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4014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015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4016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4017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018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19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4020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4021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4022">
      <pivotArea dataOnly="0" labelOnly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4023">
      <pivotArea dataOnly="0" labelOnly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4024">
      <pivotArea dataOnly="0" labelOnly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4025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026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4027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4028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402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4030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4031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4032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4033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403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035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4036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4037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038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4039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4040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4041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4042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404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4044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4045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046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047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404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4049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4050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4051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52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05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54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4055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4056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4057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58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059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4060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4061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62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4063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4064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4065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4066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406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4068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4069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70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071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072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073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4074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4075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4076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4077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4078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4079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080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4081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4082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4083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4084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4085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4086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4087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4088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4089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4090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4091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092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4093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4094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4095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4096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4097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098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4099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4100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4101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4102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4103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4104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4105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106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4107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4108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4109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4110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111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112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4113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4114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4115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4116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4117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4118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4119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4120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4121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4122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4123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124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4125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4126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127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4128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4129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130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131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4132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4133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4134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135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4136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4137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4138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4139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140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141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4142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4143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4144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4145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4146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4147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4148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4149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4150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4151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152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4153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4154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155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4156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4157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4158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159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4160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4161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4162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4163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4164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4165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4166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4167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4168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169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170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171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172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4173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4174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4175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4176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4177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4178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4179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180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4181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4182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4183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184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4185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4186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4187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4188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4189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4190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4191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4192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4193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4194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195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4196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4197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198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4199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00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4201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02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03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204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4205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206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07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4208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209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10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4211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4212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4213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4214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4215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16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17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4218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4219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4220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4221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222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4223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4224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4225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4226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4227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4228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4229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230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4231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4232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4233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4234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235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4236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4237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38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4239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4240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4241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4242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4243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4244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4245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4246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4247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4248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4249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4250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4251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4252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4253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4254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4255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256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257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4258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59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260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4261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4262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4263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4264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265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66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4267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4268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4269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4270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4271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4272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4273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4274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4275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4276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4277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4278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4279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4280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4281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282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4283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84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285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286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287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4288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289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4290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4291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292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293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4294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4295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296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4297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298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4299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300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4301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4302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4303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304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4305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4306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4307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4308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309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310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4311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4312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4313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4314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4315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316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317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4318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319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320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4321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4322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323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4324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4325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4326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4327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4328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4329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4330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331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4332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4333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4334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4335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4336">
      <pivotArea dataOnly="0" labelOnly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4337">
      <pivotArea field="4" type="button" dataOnly="0" labelOnly="1" outline="0" axis="axisRow" fieldPosition="4"/>
    </format>
    <format dxfId="4338">
      <pivotArea dataOnly="0" labelOnly="1" grandRow="1" outline="0" fieldPosition="0"/>
    </format>
    <format dxfId="4339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4340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4341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342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4343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4344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4345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4346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4347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4348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4349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4350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4351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4352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4353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4354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4355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4356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4357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4358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4359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4360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4361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4362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4363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4364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4365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4366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4367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4368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4369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4370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4371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4372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4373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4374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4375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4376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4377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4378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4379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4380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4381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4382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4383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4384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4385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4386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4387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4388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4389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4390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4391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4392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4393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4394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4395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4396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4397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4398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4399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4400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4401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4402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4403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4404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440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4406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07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408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409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10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411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412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413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414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415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416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4417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4418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419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20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4421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4422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423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424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425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4426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427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428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429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4430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4431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432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4433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4434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435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4436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4437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4438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4439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4440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4441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42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443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444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4445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4446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4447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4448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4449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4450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4451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4452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4453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4454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4455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4456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4457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4458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4459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4460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4461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4462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4463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4464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4465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4466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4467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4468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4469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4470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4471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4472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4473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4474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4475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4476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4477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4478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4479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4480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4481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4482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4483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4484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4485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4486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487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4488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4489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490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491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4492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4493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4494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4495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496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4497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4498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4499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500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01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4502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4503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4504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4505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4506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4507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4508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4509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4510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4511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4512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4513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4514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515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16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4517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518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4519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4520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521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4522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4523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24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4525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4526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4527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528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4529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4530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4531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532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4533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4534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4535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36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4537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538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4539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4540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4541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542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43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4544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545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4546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4547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4548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4549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4550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4551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4552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4553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4554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4555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4556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4557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558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4559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4560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61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62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4563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64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4565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66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4567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4568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4569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570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4571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4572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4573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4574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75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4576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4577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4578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579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580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81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4582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4583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4584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4585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4586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4587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4588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4589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590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4591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4592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4593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4594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595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4596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4597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598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99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4600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4601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4602">
      <pivotArea dataOnly="0" labelOnly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4603">
      <pivotArea dataOnly="0" labelOnly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4604">
      <pivotArea dataOnly="0" labelOnly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4605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606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4607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4608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460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4610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4611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4612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4613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461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615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4616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4617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618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4619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4620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4621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4622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462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4624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4625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626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627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462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4629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4630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4631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32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63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34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4635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4636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4637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38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639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4640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4641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42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4643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4644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4645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4646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464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4648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4649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50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651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652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653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4654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4655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4656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4657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4658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4659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60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4661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4662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4663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4664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4665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4666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4667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4668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4669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4670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4671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672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4673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4674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4675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4676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4677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4678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4679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4680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4681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4682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4683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4684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4685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686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4687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4688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4689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4690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691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692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4693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4694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4695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4696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4697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4698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4699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4700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4701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4702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4703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04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4705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4706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707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4708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4709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10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11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4712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4713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4714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4715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4716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4717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4718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4719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20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721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4722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4723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4724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4725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4726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4727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4728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4729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4730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4731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32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4733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4734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4735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4736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4737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4738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739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4740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4741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4742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4743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4744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4745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4746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4747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4748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749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4750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751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52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4753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4754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4755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4756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4757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4758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4759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60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4761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4762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4763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764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4765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4766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4767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4768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4769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4770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4771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4772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4773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4774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75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4776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4777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778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4779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80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4781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82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83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784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4785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786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87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4788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789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90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4791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4792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4793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4794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4795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796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797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4798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4799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4800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4801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802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4803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4804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4805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4806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4807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4808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4809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810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4811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4812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4813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4814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815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4816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4817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818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4819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4820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4821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4822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4823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4824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4825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4826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4827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4828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4829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4830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4831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4832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4833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4834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4835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836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837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4838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839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840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4841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4842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4843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4844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845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46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4847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4848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4849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4850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4851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4852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4853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4854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4855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4856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4857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4858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4859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4860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4861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862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4863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864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865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866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867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4868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869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4870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4871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4872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873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4874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4875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876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4877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878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4879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880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4881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4882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4883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84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4885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4886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4887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4888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4889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890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4891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4892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4893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4894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4895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96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4897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4898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899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900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4901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4902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03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4904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4905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4906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4907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4908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4909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4910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11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4912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4913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4914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4915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4916">
      <pivotArea dataOnly="0" labelOnly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4917">
      <pivotArea collapsedLevelsAreSubtotals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18">
      <pivotArea collapsedLevelsAreSubtotals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19">
      <pivotArea collapsedLevelsAreSubtotals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20">
      <pivotArea collapsedLevelsAreSubtotals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21">
      <pivotArea collapsedLevelsAreSubtotals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922">
      <pivotArea collapsedLevelsAreSubtotals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923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4924">
      <pivotArea collapsedLevelsAreSubtotals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4925">
      <pivotArea collapsedLevelsAreSubtotals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26">
      <pivotArea collapsedLevelsAreSubtotals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27">
      <pivotArea collapsedLevelsAreSubtotals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4928">
      <pivotArea collapsedLevelsAreSubtotals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929">
      <pivotArea dataOnly="0" labelOnly="1" fieldPosition="0">
        <references count="1">
          <reference field="0" count="1">
            <x v="2"/>
          </reference>
        </references>
      </pivotArea>
    </format>
    <format dxfId="4930">
      <pivotArea dataOnly="0" labelOnly="1" fieldPosition="0">
        <references count="2">
          <reference field="0" count="1" selected="0">
            <x v="2"/>
          </reference>
          <reference field="2" count="1">
            <x v="20"/>
          </reference>
        </references>
      </pivotArea>
    </format>
    <format dxfId="4931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932">
      <pivotArea dataOnly="0" labelOnly="1" fieldPosition="0">
        <references count="3">
          <reference field="0" count="1" selected="0">
            <x v="2"/>
          </reference>
          <reference field="1" count="11">
            <x v="8"/>
            <x v="12"/>
            <x v="65"/>
            <x v="66"/>
            <x v="91"/>
            <x v="99"/>
            <x v="131"/>
            <x v="136"/>
            <x v="146"/>
            <x v="155"/>
            <x v="452"/>
          </reference>
          <reference field="2" count="1" selected="0">
            <x v="20"/>
          </reference>
        </references>
      </pivotArea>
    </format>
    <format dxfId="4933">
      <pivotArea dataOnly="0" labelOnly="1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4934">
      <pivotArea dataOnly="0" labelOnly="1" fieldPosition="0">
        <references count="4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4935">
      <pivotArea dataOnly="0" labelOnly="1" fieldPosition="0">
        <references count="4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4936">
      <pivotArea dataOnly="0" labelOnly="1" fieldPosition="0">
        <references count="4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4937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38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39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40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41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942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943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4944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4945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46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47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494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949">
      <pivotArea dataOnly="0" labelOnly="1" fieldPosition="0">
        <references count="1">
          <reference field="0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3"/>
            <x v="65"/>
            <x v="66"/>
          </reference>
        </references>
      </pivotArea>
    </format>
    <format dxfId="4950">
      <pivotArea dataOnly="0" labelOnly="1" grandRow="1" outline="0" offset="B256:IV256" fieldPosition="0"/>
    </format>
    <format dxfId="4951">
      <pivotArea grandRow="1" outline="0" collapsedLevelsAreSubtotals="1" fieldPosition="0"/>
    </format>
    <format dxfId="4952">
      <pivotArea collapsedLevelsAreSubtotals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953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954">
      <pivotArea collapsedLevelsAreSubtotals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55">
      <pivotArea collapsedLevelsAreSubtotals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56">
      <pivotArea collapsedLevelsAreSubtotals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57">
      <pivotArea collapsedLevelsAreSubtotals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58">
      <pivotArea collapsedLevelsAreSubtotals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959">
      <pivotArea collapsedLevelsAreSubtotals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960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4961">
      <pivotArea collapsedLevelsAreSubtotals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4962">
      <pivotArea collapsedLevelsAreSubtotals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63">
      <pivotArea collapsedLevelsAreSubtotals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64">
      <pivotArea collapsedLevelsAreSubtotals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4965">
      <pivotArea dataOnly="0" labelOnly="1" fieldPosition="0">
        <references count="3">
          <reference field="0" count="1" selected="0">
            <x v="2"/>
          </reference>
          <reference field="1" count="11">
            <x v="8"/>
            <x v="12"/>
            <x v="65"/>
            <x v="66"/>
            <x v="91"/>
            <x v="99"/>
            <x v="131"/>
            <x v="136"/>
            <x v="146"/>
            <x v="155"/>
            <x v="452"/>
          </reference>
          <reference field="2" count="1" selected="0">
            <x v="20"/>
          </reference>
        </references>
      </pivotArea>
    </format>
    <format dxfId="4966">
      <pivotArea dataOnly="0" labelOnly="1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4967">
      <pivotArea dataOnly="0" labelOnly="1" fieldPosition="0">
        <references count="4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4968">
      <pivotArea dataOnly="0" labelOnly="1" fieldPosition="0">
        <references count="4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4969">
      <pivotArea dataOnly="0" labelOnly="1" fieldPosition="0">
        <references count="4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4970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71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4972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73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4974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4975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976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6"/>
          </reference>
        </references>
      </pivotArea>
    </format>
    <format dxfId="4977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4978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79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980">
      <pivotArea dataOnly="0" labelOnly="1" fieldPosition="0">
        <references count="5">
          <reference field="0" count="1" selected="0">
            <x v="2"/>
          </reference>
          <reference field="1" count="1" selected="0">
            <x v="452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227"/>
          </reference>
        </references>
      </pivotArea>
    </format>
    <format dxfId="4981">
      <pivotArea collapsedLevelsAreSubtotals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49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83">
      <pivotArea collapsedLevelsAreSubtotals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4984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4985">
      <pivotArea collapsedLevelsAreSubtotals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4986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4987">
      <pivotArea collapsedLevelsAreSubtotals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4988">
      <pivotArea collapsedLevelsAreSubtotals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4989">
      <pivotArea collapsedLevelsAreSubtotals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990">
      <pivotArea collapsedLevelsAreSubtotals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991">
      <pivotArea collapsedLevelsAreSubtotals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4992">
      <pivotArea collapsedLevelsAreSubtotals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4993">
      <pivotArea collapsedLevelsAreSubtotals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994">
      <pivotArea collapsedLevelsAreSubtotals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4995">
      <pivotArea collapsedLevelsAreSubtotals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4996">
      <pivotArea collapsedLevelsAreSubtotals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4997">
      <pivotArea collapsedLevelsAreSubtotals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4998">
      <pivotArea collapsedLevelsAreSubtotals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4999">
      <pivotArea collapsedLevelsAreSubtotals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5000">
      <pivotArea dataOnly="0" labelOnly="1" fieldPosition="0">
        <references count="3">
          <reference field="0" count="1" selected="0">
            <x v="3"/>
          </reference>
          <reference field="1" count="13">
            <x v="39"/>
            <x v="40"/>
            <x v="41"/>
            <x v="42"/>
            <x v="43"/>
            <x v="50"/>
            <x v="100"/>
            <x v="175"/>
            <x v="176"/>
            <x v="180"/>
            <x v="197"/>
            <x v="257"/>
            <x v="453"/>
          </reference>
          <reference field="2" count="1" selected="0">
            <x v="47"/>
          </reference>
        </references>
      </pivotArea>
    </format>
    <format dxfId="5001">
      <pivotArea dataOnly="0" labelOnly="1" fieldPosition="0">
        <references count="4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5002">
      <pivotArea dataOnly="0" labelOnly="1" fieldPosition="0">
        <references count="4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>
            <x v="0"/>
          </reference>
        </references>
      </pivotArea>
    </format>
    <format dxfId="5003">
      <pivotArea dataOnly="0" labelOnly="1" fieldPosition="0">
        <references count="4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5004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5005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006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5007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5008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5009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010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011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5012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5013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5014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015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5016">
      <pivotArea dataOnly="0" labelOnly="1" fieldPosition="0">
        <references count="5">
          <reference field="0" count="1" selected="0">
            <x v="3"/>
          </reference>
          <reference field="1" count="1" selected="0">
            <x v="45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228"/>
          </reference>
        </references>
      </pivotArea>
    </format>
    <format dxfId="5017">
      <pivotArea collapsedLevelsAreSubtotals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5018">
      <pivotArea collapsedLevelsAreSubtotals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5019">
      <pivotArea collapsedLevelsAreSubtotals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020">
      <pivotArea dataOnly="0" labelOnly="1" fieldPosition="0">
        <references count="3">
          <reference field="0" count="1" selected="0">
            <x v="4"/>
          </reference>
          <reference field="1" count="1">
            <x v="142"/>
          </reference>
          <reference field="2" count="1" selected="0">
            <x v="2"/>
          </reference>
        </references>
      </pivotArea>
    </format>
    <format dxfId="5021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5022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023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5024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5025">
      <pivotArea collapsedLevelsAreSubtotals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5026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5027">
      <pivotArea dataOnly="0" labelOnly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5028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5029">
      <pivotArea dataOnly="0" labelOnly="1" fieldPosition="0">
        <references count="3">
          <reference field="0" count="1" selected="0">
            <x v="5"/>
          </reference>
          <reference field="1" count="3">
            <x v="157"/>
            <x v="262"/>
            <x v="454"/>
          </reference>
          <reference field="2" count="1" selected="0">
            <x v="43"/>
          </reference>
        </references>
      </pivotArea>
    </format>
    <format dxfId="5030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5031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5032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5033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5034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5035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5036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5037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038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039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5040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41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42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5043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5044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45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5046">
      <pivotArea collapsedLevelsAreSubtotals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5047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5048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5049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5050">
      <pivotArea dataOnly="0" labelOnly="1" fieldPosition="0">
        <references count="3">
          <reference field="0" count="1" selected="0">
            <x v="6"/>
          </reference>
          <reference field="1" count="13">
            <x v="10"/>
            <x v="73"/>
            <x v="140"/>
            <x v="156"/>
            <x v="200"/>
            <x v="201"/>
            <x v="228"/>
            <x v="230"/>
            <x v="326"/>
            <x v="372"/>
            <x v="373"/>
            <x v="400"/>
            <x v="455"/>
          </reference>
          <reference field="2" count="1" selected="0">
            <x v="17"/>
          </reference>
        </references>
      </pivotArea>
    </format>
    <format dxfId="5051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5052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5053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5054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5055">
      <pivotArea dataOnly="0" labelOnly="1" fieldPosition="0">
        <references count="4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5056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5057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5058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5059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060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061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5062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63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64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5065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5066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067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5068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5069">
      <pivotArea collapsedLevelsAreSubtotals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5070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5071">
      <pivotArea dataOnly="0" labelOnly="1" fieldPosition="0">
        <references count="2">
          <reference field="0" count="1" selected="0">
            <x v="7"/>
          </reference>
          <reference field="2" count="1">
            <x v="26"/>
          </reference>
        </references>
      </pivotArea>
    </format>
    <format dxfId="5072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5073">
      <pivotArea dataOnly="0" labelOnly="1" fieldPosition="0">
        <references count="3">
          <reference field="0" count="1" selected="0">
            <x v="7"/>
          </reference>
          <reference field="1" count="1">
            <x v="456"/>
          </reference>
          <reference field="2" count="1" selected="0">
            <x v="26"/>
          </reference>
        </references>
      </pivotArea>
    </format>
    <format dxfId="5074">
      <pivotArea dataOnly="0" labelOnly="1" fieldPosition="0">
        <references count="4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>
            <x v="0"/>
          </reference>
        </references>
      </pivotArea>
    </format>
    <format dxfId="5075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5076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077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5078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5079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5080">
      <pivotArea dataOnly="0" labelOnly="1" fieldPosition="0">
        <references count="2">
          <reference field="0" count="1" selected="0">
            <x v="8"/>
          </reference>
          <reference field="2" count="1">
            <x v="13"/>
          </reference>
        </references>
      </pivotArea>
    </format>
    <format dxfId="5081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5082">
      <pivotArea dataOnly="0" labelOnly="1" fieldPosition="0">
        <references count="3">
          <reference field="0" count="1" selected="0">
            <x v="8"/>
          </reference>
          <reference field="1" count="3">
            <x v="77"/>
            <x v="82"/>
            <x v="129"/>
          </reference>
          <reference field="2" count="1" selected="0">
            <x v="13"/>
          </reference>
        </references>
      </pivotArea>
    </format>
    <format dxfId="5083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5084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5085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086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5087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5088">
      <pivotArea collapsedLevelsAreSubtotals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089">
      <pivotArea collapsedLevelsAreSubtotals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5090">
      <pivotArea dataOnly="0" labelOnly="1" fieldPosition="0">
        <references count="2">
          <reference field="0" count="1" selected="0">
            <x v="9"/>
          </reference>
          <reference field="2" count="1">
            <x v="41"/>
          </reference>
        </references>
      </pivotArea>
    </format>
    <format dxfId="5091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5092">
      <pivotArea dataOnly="0" labelOnly="1" fieldPosition="0">
        <references count="3">
          <reference field="0" count="1" selected="0">
            <x v="9"/>
          </reference>
          <reference field="1" count="1">
            <x v="274"/>
          </reference>
          <reference field="2" count="1" selected="0">
            <x v="41"/>
          </reference>
        </references>
      </pivotArea>
    </format>
    <format dxfId="5093">
      <pivotArea dataOnly="0" labelOnly="1" fieldPosition="0">
        <references count="4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>
            <x v="3"/>
          </reference>
        </references>
      </pivotArea>
    </format>
    <format dxfId="5094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095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5096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5097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5098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5099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5100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5101">
      <pivotArea collapsedLevelsAreSubtotals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5102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5103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5104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5105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5106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5107">
      <pivotArea collapsedLevelsAreSubtotals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5108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5109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5110">
      <pivotArea collapsedLevelsAreSubtotals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5111">
      <pivotArea dataOnly="0" labelOnly="1" fieldPosition="0">
        <references count="3">
          <reference field="0" count="1" selected="0">
            <x v="5"/>
          </reference>
          <reference field="1" count="3">
            <x v="157"/>
            <x v="262"/>
            <x v="454"/>
          </reference>
          <reference field="2" count="1" selected="0">
            <x v="43"/>
          </reference>
        </references>
      </pivotArea>
    </format>
    <format dxfId="5112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5113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5114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5115">
      <pivotArea dataOnly="0" labelOnly="1" fieldPosition="0">
        <references count="5">
          <reference field="0" count="1" selected="0">
            <x v="5"/>
          </reference>
          <reference field="1" count="1" selected="0">
            <x v="454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5116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5117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5118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5119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120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121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5122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23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24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5125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5126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27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5128">
      <pivotArea collapsedLevelsAreSubtotals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5129">
      <pivotArea dataOnly="0" labelOnly="1" fieldPosition="0">
        <references count="3">
          <reference field="0" count="1" selected="0">
            <x v="6"/>
          </reference>
          <reference field="1" count="13">
            <x v="10"/>
            <x v="73"/>
            <x v="140"/>
            <x v="156"/>
            <x v="200"/>
            <x v="201"/>
            <x v="228"/>
            <x v="230"/>
            <x v="326"/>
            <x v="372"/>
            <x v="373"/>
            <x v="400"/>
            <x v="455"/>
          </reference>
          <reference field="2" count="1" selected="0">
            <x v="17"/>
          </reference>
        </references>
      </pivotArea>
    </format>
    <format dxfId="5130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5131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5132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5133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5134">
      <pivotArea dataOnly="0" labelOnly="1" fieldPosition="0">
        <references count="4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5135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5136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5137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5138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139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140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5141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42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43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5144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5145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146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230"/>
          </reference>
        </references>
      </pivotArea>
    </format>
    <format dxfId="5147">
      <pivotArea dataOnly="0" labelOnly="1" fieldPosition="0">
        <references count="5">
          <reference field="0" count="1" selected="0">
            <x v="6"/>
          </reference>
          <reference field="1" count="1" selected="0">
            <x v="455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231"/>
          </reference>
        </references>
      </pivotArea>
    </format>
    <format dxfId="5148">
      <pivotArea collapsedLevelsAreSubtotals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5149">
      <pivotArea dataOnly="0" labelOnly="1" fieldPosition="0">
        <references count="3">
          <reference field="0" count="1" selected="0">
            <x v="7"/>
          </reference>
          <reference field="1" count="1">
            <x v="456"/>
          </reference>
          <reference field="2" count="1" selected="0">
            <x v="26"/>
          </reference>
        </references>
      </pivotArea>
    </format>
    <format dxfId="5150">
      <pivotArea dataOnly="0" labelOnly="1" fieldPosition="0">
        <references count="4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>
            <x v="0"/>
          </reference>
        </references>
      </pivotArea>
    </format>
    <format dxfId="5151">
      <pivotArea dataOnly="0" labelOnly="1" fieldPosition="0">
        <references count="5">
          <reference field="0" count="1" selected="0">
            <x v="7"/>
          </reference>
          <reference field="1" count="1" selected="0">
            <x v="456"/>
          </reference>
          <reference field="2" count="1" selected="0">
            <x v="26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5152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5153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5154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155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5156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5157">
      <pivotArea dataOnly="0" labelOnly="1" fieldPosition="0">
        <references count="3">
          <reference field="0" count="1" selected="0">
            <x v="8"/>
          </reference>
          <reference field="1" count="3">
            <x v="77"/>
            <x v="82"/>
            <x v="129"/>
          </reference>
          <reference field="2" count="1" selected="0">
            <x v="13"/>
          </reference>
        </references>
      </pivotArea>
    </format>
    <format dxfId="5158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5159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5160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161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5162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5163">
      <pivotArea collapsedLevelsAreSubtotals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164">
      <pivotArea dataOnly="0" labelOnly="1" fieldPosition="0">
        <references count="3">
          <reference field="0" count="1" selected="0">
            <x v="9"/>
          </reference>
          <reference field="1" count="1">
            <x v="274"/>
          </reference>
          <reference field="2" count="1" selected="0">
            <x v="41"/>
          </reference>
        </references>
      </pivotArea>
    </format>
    <format dxfId="5165">
      <pivotArea dataOnly="0" labelOnly="1" fieldPosition="0">
        <references count="4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>
            <x v="3"/>
          </reference>
        </references>
      </pivotArea>
    </format>
    <format dxfId="5166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5167">
      <pivotArea dataOnly="0" labelOnly="1" fieldPosition="0">
        <references count="1">
          <reference field="0" count="1">
            <x v="4"/>
          </reference>
        </references>
      </pivotArea>
    </format>
    <format dxfId="5168">
      <pivotArea dataOnly="0" labelOnly="1" fieldPosition="0">
        <references count="1">
          <reference field="0" count="1">
            <x v="9"/>
          </reference>
        </references>
      </pivotArea>
    </format>
    <format dxfId="5169">
      <pivotArea dataOnly="0" labelOnly="1" fieldPosition="0">
        <references count="1">
          <reference field="0" count="1">
            <x v="10"/>
          </reference>
        </references>
      </pivotArea>
    </format>
    <format dxfId="5170">
      <pivotArea dataOnly="0" labelOnly="1" fieldPosition="0">
        <references count="1">
          <reference field="0" count="1">
            <x v="13"/>
          </reference>
        </references>
      </pivotArea>
    </format>
    <format dxfId="5171">
      <pivotArea collapsedLevelsAreSubtotals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5172">
      <pivotArea collapsedLevelsAreSubtotals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5173">
      <pivotArea collapsedLevelsAreSubtotals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174">
      <pivotArea collapsedLevelsAreSubtotals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5175">
      <pivotArea collapsedLevelsAreSubtotals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176">
      <pivotArea collapsedLevelsAreSubtotals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5177">
      <pivotArea dataOnly="0" labelOnly="1" fieldPosition="0">
        <references count="2">
          <reference field="0" count="1" selected="0">
            <x v="10"/>
          </reference>
          <reference field="2" count="1">
            <x v="54"/>
          </reference>
        </references>
      </pivotArea>
    </format>
    <format dxfId="5178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5179">
      <pivotArea dataOnly="0" labelOnly="1" fieldPosition="0">
        <references count="3">
          <reference field="0" count="1" selected="0">
            <x v="10"/>
          </reference>
          <reference field="1" count="5">
            <x v="2"/>
            <x v="147"/>
            <x v="215"/>
            <x v="331"/>
            <x v="334"/>
          </reference>
          <reference field="2" count="1" selected="0">
            <x v="54"/>
          </reference>
        </references>
      </pivotArea>
    </format>
    <format dxfId="5180">
      <pivotArea dataOnly="0" labelOnly="1" fieldPosition="0">
        <references count="4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5181">
      <pivotArea dataOnly="0" labelOnly="1" fieldPosition="0">
        <references count="4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>
            <x v="4"/>
          </reference>
        </references>
      </pivotArea>
    </format>
    <format dxfId="5182">
      <pivotArea dataOnly="0" labelOnly="1" fieldPosition="0">
        <references count="4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5183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5184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5185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186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5187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188">
      <pivotArea collapsedLevelsAreSubtotals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5189">
      <pivotArea collapsedLevelsAreSubtotals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190">
      <pivotArea collapsedLevelsAreSubtotals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5191">
      <pivotArea collapsedLevelsAreSubtotals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5192">
      <pivotArea collapsedLevelsAreSubtotals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5193">
      <pivotArea collapsedLevelsAreSubtotals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194">
      <pivotArea collapsedLevelsAreSubtotals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5195">
      <pivotArea dataOnly="0" labelOnly="1" fieldPosition="0">
        <references count="2">
          <reference field="0" count="1" selected="0">
            <x v="11"/>
          </reference>
          <reference field="2" count="1">
            <x v="22"/>
          </reference>
        </references>
      </pivotArea>
    </format>
    <format dxfId="5196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5197">
      <pivotArea dataOnly="0" labelOnly="1" fieldPosition="0">
        <references count="3">
          <reference field="0" count="1" selected="0">
            <x v="11"/>
          </reference>
          <reference field="1" count="6">
            <x v="119"/>
            <x v="132"/>
            <x v="154"/>
            <x v="217"/>
            <x v="218"/>
            <x v="288"/>
          </reference>
          <reference field="2" count="1" selected="0">
            <x v="22"/>
          </reference>
        </references>
      </pivotArea>
    </format>
    <format dxfId="5198">
      <pivotArea dataOnly="0" labelOnly="1" fieldPosition="0">
        <references count="4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5199">
      <pivotArea dataOnly="0" labelOnly="1" fieldPosition="0">
        <references count="4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>
            <x v="4"/>
          </reference>
        </references>
      </pivotArea>
    </format>
    <format dxfId="5200">
      <pivotArea dataOnly="0" labelOnly="1" fieldPosition="0">
        <references count="4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>
            <x v="0"/>
          </reference>
        </references>
      </pivotArea>
    </format>
    <format dxfId="5201">
      <pivotArea dataOnly="0" labelOnly="1" fieldPosition="0">
        <references count="4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5202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5203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204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5205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5206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5207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208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5209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5210">
      <pivotArea collapsedLevelsAreSubtotals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5211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5212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213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5214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5215">
      <pivotArea collapsedLevelsAreSubtotals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5216">
      <pivotArea dataOnly="0" labelOnly="1" fieldPosition="0">
        <references count="2">
          <reference field="0" count="1" selected="0">
            <x v="12"/>
          </reference>
          <reference field="2" count="1">
            <x v="16"/>
          </reference>
        </references>
      </pivotArea>
    </format>
    <format dxfId="5217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5218">
      <pivotArea dataOnly="0" labelOnly="1" fieldPosition="0">
        <references count="3">
          <reference field="0" count="1" selected="0">
            <x v="12"/>
          </reference>
          <reference field="1" count="7">
            <x v="88"/>
            <x v="113"/>
            <x v="196"/>
            <x v="247"/>
            <x v="259"/>
            <x v="290"/>
            <x v="333"/>
          </reference>
          <reference field="2" count="1" selected="0">
            <x v="16"/>
          </reference>
        </references>
      </pivotArea>
    </format>
    <format dxfId="5219">
      <pivotArea dataOnly="0" labelOnly="1" fieldPosition="0">
        <references count="4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5220">
      <pivotArea dataOnly="0" labelOnly="1" fieldPosition="0">
        <references count="4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>
            <x v="0"/>
          </reference>
        </references>
      </pivotArea>
    </format>
    <format dxfId="5221">
      <pivotArea dataOnly="0" labelOnly="1" fieldPosition="0">
        <references count="4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5222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5223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5224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5225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5226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227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5228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5229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5230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5231">
      <pivotArea collapsedLevelsAreSubtotals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5232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5233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5234">
      <pivotArea dataOnly="0" labelOnly="1" fieldPosition="0">
        <references count="3">
          <reference field="0" count="1" selected="0">
            <x v="13"/>
          </reference>
          <reference field="1" count="2">
            <x v="117"/>
            <x v="238"/>
          </reference>
          <reference field="2" count="1" selected="0">
            <x v="4"/>
          </reference>
        </references>
      </pivotArea>
    </format>
    <format dxfId="5235">
      <pivotArea dataOnly="0" labelOnly="1" fieldPosition="0">
        <references count="4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5236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5237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5238">
      <pivotArea collapsedLevelsAreSubtotals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239">
      <pivotArea collapsedLevelsAreSubtotals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5240">
      <pivotArea collapsedLevelsAreSubtotals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5241">
      <pivotArea collapsedLevelsAreSubtotals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242">
      <pivotArea collapsedLevelsAreSubtotals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243">
      <pivotArea collapsedLevelsAreSubtotals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5244">
      <pivotArea dataOnly="0" labelOnly="1" fieldPosition="0">
        <references count="2">
          <reference field="0" count="1" selected="0">
            <x v="14"/>
          </reference>
          <reference field="2" count="1">
            <x v="42"/>
          </reference>
        </references>
      </pivotArea>
    </format>
    <format dxfId="5245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5246">
      <pivotArea dataOnly="0" labelOnly="1" fieldPosition="0">
        <references count="3">
          <reference field="0" count="1" selected="0">
            <x v="14"/>
          </reference>
          <reference field="1" count="5">
            <x v="75"/>
            <x v="137"/>
            <x v="196"/>
            <x v="229"/>
            <x v="457"/>
          </reference>
          <reference field="2" count="1" selected="0">
            <x v="42"/>
          </reference>
        </references>
      </pivotArea>
    </format>
    <format dxfId="5247">
      <pivotArea dataOnly="0" labelOnly="1" fieldPosition="0">
        <references count="4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>
            <x v="3"/>
          </reference>
        </references>
      </pivotArea>
    </format>
    <format dxfId="5248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249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5250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5251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252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253">
      <pivotArea collapsedLevelsAreSubtotals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5254">
      <pivotArea collapsedLevelsAreSubtotals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5255">
      <pivotArea collapsedLevelsAreSubtotals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5256">
      <pivotArea collapsedLevelsAreSubtotals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5257">
      <pivotArea collapsedLevelsAreSubtotals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5258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5259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5260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5261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5262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5263">
      <pivotArea collapsedLevelsAreSubtotals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5264">
      <pivotArea collapsedLevelsAreSubtotals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5265">
      <pivotArea collapsedLevelsAreSubtotals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266">
      <pivotArea collapsedLevelsAreSubtotals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5267">
      <pivotArea collapsedLevelsAreSubtotals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268">
      <pivotArea dataOnly="0" labelOnly="1" fieldPosition="0">
        <references count="3">
          <reference field="0" count="1" selected="0">
            <x v="10"/>
          </reference>
          <reference field="1" count="5">
            <x v="2"/>
            <x v="147"/>
            <x v="215"/>
            <x v="331"/>
            <x v="334"/>
          </reference>
          <reference field="2" count="1" selected="0">
            <x v="54"/>
          </reference>
        </references>
      </pivotArea>
    </format>
    <format dxfId="5269">
      <pivotArea dataOnly="0" labelOnly="1" fieldPosition="0">
        <references count="4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5270">
      <pivotArea dataOnly="0" labelOnly="1" fieldPosition="0">
        <references count="4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>
            <x v="4"/>
          </reference>
        </references>
      </pivotArea>
    </format>
    <format dxfId="5271">
      <pivotArea dataOnly="0" labelOnly="1" fieldPosition="0">
        <references count="4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5272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232"/>
          </reference>
        </references>
      </pivotArea>
    </format>
    <format dxfId="5273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5274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275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5276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5277">
      <pivotArea collapsedLevelsAreSubtotals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5278">
      <pivotArea collapsedLevelsAreSubtotals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279">
      <pivotArea collapsedLevelsAreSubtotals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5280">
      <pivotArea collapsedLevelsAreSubtotals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5281">
      <pivotArea collapsedLevelsAreSubtotals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5282">
      <pivotArea collapsedLevelsAreSubtotals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283">
      <pivotArea dataOnly="0" labelOnly="1" fieldPosition="0">
        <references count="3">
          <reference field="0" count="1" selected="0">
            <x v="11"/>
          </reference>
          <reference field="1" count="6">
            <x v="119"/>
            <x v="132"/>
            <x v="154"/>
            <x v="217"/>
            <x v="218"/>
            <x v="288"/>
          </reference>
          <reference field="2" count="1" selected="0">
            <x v="22"/>
          </reference>
        </references>
      </pivotArea>
    </format>
    <format dxfId="5284">
      <pivotArea dataOnly="0" labelOnly="1" fieldPosition="0">
        <references count="4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5285">
      <pivotArea dataOnly="0" labelOnly="1" fieldPosition="0">
        <references count="4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>
            <x v="4"/>
          </reference>
        </references>
      </pivotArea>
    </format>
    <format dxfId="5286">
      <pivotArea dataOnly="0" labelOnly="1" fieldPosition="0">
        <references count="4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>
            <x v="0"/>
          </reference>
        </references>
      </pivotArea>
    </format>
    <format dxfId="5287">
      <pivotArea dataOnly="0" labelOnly="1" fieldPosition="0">
        <references count="4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5288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5289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290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5291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5292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5293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294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5295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5296">
      <pivotArea collapsedLevelsAreSubtotals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5297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5298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299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5300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5301">
      <pivotArea dataOnly="0" labelOnly="1" fieldPosition="0">
        <references count="3">
          <reference field="0" count="1" selected="0">
            <x v="12"/>
          </reference>
          <reference field="1" count="7">
            <x v="88"/>
            <x v="113"/>
            <x v="196"/>
            <x v="247"/>
            <x v="259"/>
            <x v="290"/>
            <x v="333"/>
          </reference>
          <reference field="2" count="1" selected="0">
            <x v="16"/>
          </reference>
        </references>
      </pivotArea>
    </format>
    <format dxfId="5302">
      <pivotArea dataOnly="0" labelOnly="1" fieldPosition="0">
        <references count="4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5303">
      <pivotArea dataOnly="0" labelOnly="1" fieldPosition="0">
        <references count="4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>
            <x v="0"/>
          </reference>
        </references>
      </pivotArea>
    </format>
    <format dxfId="5304">
      <pivotArea dataOnly="0" labelOnly="1" fieldPosition="0">
        <references count="4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5305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5306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5307">
      <pivotArea dataOnly="0" labelOnly="1" fieldPosition="0">
        <references count="5">
          <reference field="0" count="1" selected="0">
            <x v="12"/>
          </reference>
          <reference field="1" count="1" selected="0">
            <x v="196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5"/>
          </reference>
        </references>
      </pivotArea>
    </format>
    <format dxfId="5308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5309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310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233"/>
          </reference>
        </references>
      </pivotArea>
    </format>
    <format dxfId="5311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234"/>
          </reference>
        </references>
      </pivotArea>
    </format>
    <format dxfId="5312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5313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5314">
      <pivotArea dataOnly="0" labelOnly="1" fieldPosition="0">
        <references count="3">
          <reference field="0" count="1" selected="0">
            <x v="13"/>
          </reference>
          <reference field="1" count="2">
            <x v="117"/>
            <x v="238"/>
          </reference>
          <reference field="2" count="1" selected="0">
            <x v="4"/>
          </reference>
        </references>
      </pivotArea>
    </format>
    <format dxfId="5315">
      <pivotArea dataOnly="0" labelOnly="1" fieldPosition="0">
        <references count="4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5316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5317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236"/>
          </reference>
        </references>
      </pivotArea>
    </format>
    <format dxfId="5318">
      <pivotArea collapsedLevelsAreSubtotals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319">
      <pivotArea collapsedLevelsAreSubtotals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5320">
      <pivotArea collapsedLevelsAreSubtotals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5321">
      <pivotArea collapsedLevelsAreSubtotals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322">
      <pivotArea collapsedLevelsAreSubtotals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323">
      <pivotArea dataOnly="0" labelOnly="1" fieldPosition="0">
        <references count="3">
          <reference field="0" count="1" selected="0">
            <x v="14"/>
          </reference>
          <reference field="1" count="5">
            <x v="75"/>
            <x v="137"/>
            <x v="196"/>
            <x v="229"/>
            <x v="457"/>
          </reference>
          <reference field="2" count="1" selected="0">
            <x v="42"/>
          </reference>
        </references>
      </pivotArea>
    </format>
    <format dxfId="5324">
      <pivotArea dataOnly="0" labelOnly="1" fieldPosition="0">
        <references count="4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>
            <x v="3"/>
          </reference>
        </references>
      </pivotArea>
    </format>
    <format dxfId="5325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5326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5327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5328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329">
      <pivotArea dataOnly="0" labelOnly="1" fieldPosition="0">
        <references count="5">
          <reference field="0" count="1" selected="0">
            <x v="14"/>
          </reference>
          <reference field="1" count="1" selected="0">
            <x v="45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330">
      <pivotArea collapsedLevelsAreSubtotals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5331">
      <pivotArea collapsedLevelsAreSubtotals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5332">
      <pivotArea collapsedLevelsAreSubtotals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5333">
      <pivotArea collapsedLevelsAreSubtotals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5334">
      <pivotArea collapsedLevelsAreSubtotals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5335">
      <pivotArea collapsedLevelsAreSubtotals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336">
      <pivotArea collapsedLevelsAreSubtotals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5337">
      <pivotArea collapsedLevelsAreSubtotals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5338">
      <pivotArea collapsedLevelsAreSubtotals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5339">
      <pivotArea dataOnly="0" labelOnly="1" fieldPosition="0">
        <references count="1">
          <reference field="0" count="1">
            <x v="15"/>
          </reference>
        </references>
      </pivotArea>
    </format>
    <format dxfId="5340">
      <pivotArea dataOnly="0" labelOnly="1" fieldPosition="0">
        <references count="2">
          <reference field="0" count="1" selected="0">
            <x v="15"/>
          </reference>
          <reference field="2" count="1">
            <x v="36"/>
          </reference>
        </references>
      </pivotArea>
    </format>
    <format dxfId="5341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5342">
      <pivotArea dataOnly="0" labelOnly="1" fieldPosition="0">
        <references count="3">
          <reference field="0" count="1" selected="0">
            <x v="15"/>
          </reference>
          <reference field="1" count="8">
            <x v="54"/>
            <x v="127"/>
            <x v="128"/>
            <x v="171"/>
            <x v="205"/>
            <x v="267"/>
            <x v="458"/>
            <x v="459"/>
          </reference>
          <reference field="2" count="1" selected="0">
            <x v="36"/>
          </reference>
        </references>
      </pivotArea>
    </format>
    <format dxfId="5343">
      <pivotArea dataOnly="0" labelOnly="1" fieldPosition="0">
        <references count="4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5344">
      <pivotArea dataOnly="0" labelOnly="1" fieldPosition="0">
        <references count="4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5345">
      <pivotArea dataOnly="0" labelOnly="1" fieldPosition="0">
        <references count="4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5346">
      <pivotArea dataOnly="0" labelOnly="1" fieldPosition="0">
        <references count="4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5347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5348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5349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5350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5351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5352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353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5354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5355">
      <pivotArea collapsedLevelsAreSubtotals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356">
      <pivotArea collapsedLevelsAreSubtotals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357">
      <pivotArea collapsedLevelsAreSubtotals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358">
      <pivotArea collapsedLevelsAreSubtotals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5359">
      <pivotArea collapsedLevelsAreSubtotals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5360">
      <pivotArea collapsedLevelsAreSubtotals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5361">
      <pivotArea collapsedLevelsAreSubtotals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362">
      <pivotArea collapsedLevelsAreSubtotals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5363">
      <pivotArea collapsedLevelsAreSubtotals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5364">
      <pivotArea collapsedLevelsAreSubtotals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5365">
      <pivotArea collapsedLevelsAreSubtotals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366">
      <pivotArea collapsedLevelsAreSubtotals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367">
      <pivotArea collapsedLevelsAreSubtotals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5368">
      <pivotArea collapsedLevelsAreSubtotals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5369">
      <pivotArea collapsedLevelsAreSubtotals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5370">
      <pivotArea collapsedLevelsAreSubtotals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5371">
      <pivotArea collapsedLevelsAreSubtotals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5372">
      <pivotArea collapsedLevelsAreSubtotals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5373">
      <pivotArea collapsedLevelsAreSubtotals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5374">
      <pivotArea collapsedLevelsAreSubtotals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375">
      <pivotArea collapsedLevelsAreSubtotals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376">
      <pivotArea dataOnly="0" labelOnly="1" fieldPosition="0">
        <references count="1">
          <reference field="0" count="1">
            <x v="16"/>
          </reference>
        </references>
      </pivotArea>
    </format>
    <format dxfId="5377">
      <pivotArea dataOnly="0" labelOnly="1" fieldPosition="0">
        <references count="2">
          <reference field="0" count="1" selected="0">
            <x v="16"/>
          </reference>
          <reference field="2" count="1">
            <x v="5"/>
          </reference>
        </references>
      </pivotArea>
    </format>
    <format dxfId="5378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5379">
      <pivotArea dataOnly="0" labelOnly="1" fieldPosition="0">
        <references count="3">
          <reference field="0" count="1" selected="0">
            <x v="16"/>
          </reference>
          <reference field="1" count="21">
            <x v="22"/>
            <x v="24"/>
            <x v="27"/>
            <x v="78"/>
            <x v="115"/>
            <x v="133"/>
            <x v="141"/>
            <x v="174"/>
            <x v="287"/>
            <x v="300"/>
            <x v="370"/>
            <x v="386"/>
            <x v="387"/>
            <x v="396"/>
            <x v="423"/>
            <x v="460"/>
            <x v="461"/>
            <x v="462"/>
            <x v="463"/>
            <x v="464"/>
            <x v="465"/>
          </reference>
          <reference field="2" count="1" selected="0">
            <x v="5"/>
          </reference>
        </references>
      </pivotArea>
    </format>
    <format dxfId="5380">
      <pivotArea dataOnly="0" labelOnly="1" fieldPosition="0">
        <references count="4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381">
      <pivotArea dataOnly="0" labelOnly="1" fieldPosition="0">
        <references count="4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5382">
      <pivotArea dataOnly="0" labelOnly="1" fieldPosition="0">
        <references count="4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383">
      <pivotArea dataOnly="0" labelOnly="1" fieldPosition="0">
        <references count="4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384">
      <pivotArea dataOnly="0" labelOnly="1" fieldPosition="0">
        <references count="4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385">
      <pivotArea dataOnly="0" labelOnly="1" fieldPosition="0">
        <references count="4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386">
      <pivotArea dataOnly="0" labelOnly="1" fieldPosition="0">
        <references count="4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387">
      <pivotArea dataOnly="0" labelOnly="1" fieldPosition="0">
        <references count="4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388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389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390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391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5392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5393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5394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395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5396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5397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5398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399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00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5401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5402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5403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5404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5405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5406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5407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408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409">
      <pivotArea collapsedLevelsAreSubtotals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5410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5411">
      <pivotArea collapsedLevelsAreSubtotals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5412">
      <pivotArea collapsedLevelsAreSubtotals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5413">
      <pivotArea collapsedLevelsAreSubtotals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5414">
      <pivotArea collapsedLevelsAreSubtotals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5415">
      <pivotArea collapsedLevelsAreSubtotals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5416">
      <pivotArea collapsedLevelsAreSubtotals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5417">
      <pivotArea collapsedLevelsAreSubtotals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18">
      <pivotArea collapsedLevelsAreSubtotals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5419">
      <pivotArea collapsedLevelsAreSubtotals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5420">
      <pivotArea dataOnly="0" labelOnly="1" fieldPosition="0">
        <references count="3">
          <reference field="0" count="1" selected="0">
            <x v="15"/>
          </reference>
          <reference field="1" count="8">
            <x v="54"/>
            <x v="127"/>
            <x v="128"/>
            <x v="171"/>
            <x v="205"/>
            <x v="267"/>
            <x v="458"/>
            <x v="459"/>
          </reference>
          <reference field="2" count="1" selected="0">
            <x v="36"/>
          </reference>
        </references>
      </pivotArea>
    </format>
    <format dxfId="5421">
      <pivotArea dataOnly="0" labelOnly="1" fieldPosition="0">
        <references count="4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5422">
      <pivotArea dataOnly="0" labelOnly="1" fieldPosition="0">
        <references count="4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5423">
      <pivotArea dataOnly="0" labelOnly="1" fieldPosition="0">
        <references count="4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5424">
      <pivotArea dataOnly="0" labelOnly="1" fieldPosition="0">
        <references count="4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5425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5426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238"/>
          </reference>
        </references>
      </pivotArea>
    </format>
    <format dxfId="5427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5428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5429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5430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31">
      <pivotArea dataOnly="0" labelOnly="1" fieldPosition="0">
        <references count="5">
          <reference field="0" count="1" selected="0">
            <x v="15"/>
          </reference>
          <reference field="1" count="1" selected="0">
            <x v="45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5432">
      <pivotArea dataOnly="0" labelOnly="1" fieldPosition="0">
        <references count="5">
          <reference field="0" count="1" selected="0">
            <x v="15"/>
          </reference>
          <reference field="1" count="1" selected="0">
            <x v="459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5433">
      <pivotArea collapsedLevelsAreSubtotals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434">
      <pivotArea collapsedLevelsAreSubtotals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435">
      <pivotArea collapsedLevelsAreSubtotals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436">
      <pivotArea collapsedLevelsAreSubtotals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5437">
      <pivotArea collapsedLevelsAreSubtotals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5438">
      <pivotArea collapsedLevelsAreSubtotals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5439">
      <pivotArea collapsedLevelsAreSubtotals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440">
      <pivotArea collapsedLevelsAreSubtotals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5441">
      <pivotArea collapsedLevelsAreSubtotals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5442">
      <pivotArea collapsedLevelsAreSubtotals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5443">
      <pivotArea collapsedLevelsAreSubtotals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444">
      <pivotArea collapsedLevelsAreSubtotals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45">
      <pivotArea collapsedLevelsAreSubtotals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5446">
      <pivotArea collapsedLevelsAreSubtotals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5447">
      <pivotArea collapsedLevelsAreSubtotals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5448">
      <pivotArea collapsedLevelsAreSubtotals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5449">
      <pivotArea collapsedLevelsAreSubtotals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5450">
      <pivotArea collapsedLevelsAreSubtotals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5451">
      <pivotArea collapsedLevelsAreSubtotals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5452">
      <pivotArea collapsedLevelsAreSubtotals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453">
      <pivotArea collapsedLevelsAreSubtotals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454">
      <pivotArea dataOnly="0" labelOnly="1" fieldPosition="0">
        <references count="3">
          <reference field="0" count="1" selected="0">
            <x v="16"/>
          </reference>
          <reference field="1" count="21">
            <x v="22"/>
            <x v="24"/>
            <x v="27"/>
            <x v="78"/>
            <x v="115"/>
            <x v="133"/>
            <x v="141"/>
            <x v="174"/>
            <x v="287"/>
            <x v="300"/>
            <x v="370"/>
            <x v="386"/>
            <x v="387"/>
            <x v="396"/>
            <x v="423"/>
            <x v="460"/>
            <x v="461"/>
            <x v="462"/>
            <x v="463"/>
            <x v="464"/>
            <x v="465"/>
          </reference>
          <reference field="2" count="1" selected="0">
            <x v="5"/>
          </reference>
        </references>
      </pivotArea>
    </format>
    <format dxfId="5455">
      <pivotArea dataOnly="0" labelOnly="1" fieldPosition="0">
        <references count="4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456">
      <pivotArea dataOnly="0" labelOnly="1" fieldPosition="0">
        <references count="4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5457">
      <pivotArea dataOnly="0" labelOnly="1" fieldPosition="0">
        <references count="4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458">
      <pivotArea dataOnly="0" labelOnly="1" fieldPosition="0">
        <references count="4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459">
      <pivotArea dataOnly="0" labelOnly="1" fieldPosition="0">
        <references count="4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460">
      <pivotArea dataOnly="0" labelOnly="1" fieldPosition="0">
        <references count="4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461">
      <pivotArea dataOnly="0" labelOnly="1" fieldPosition="0">
        <references count="4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5462">
      <pivotArea dataOnly="0" labelOnly="1" fieldPosition="0">
        <references count="4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5463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464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465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466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5467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39"/>
          </reference>
        </references>
      </pivotArea>
    </format>
    <format dxfId="5468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5469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470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5471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0"/>
          </reference>
        </references>
      </pivotArea>
    </format>
    <format dxfId="5472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41"/>
          </reference>
        </references>
      </pivotArea>
    </format>
    <format dxfId="5473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474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475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5476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5477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5478">
      <pivotArea dataOnly="0" labelOnly="1" fieldPosition="0">
        <references count="5">
          <reference field="0" count="1" selected="0">
            <x v="16"/>
          </reference>
          <reference field="1" count="1" selected="0">
            <x v="460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42"/>
          </reference>
        </references>
      </pivotArea>
    </format>
    <format dxfId="5479">
      <pivotArea dataOnly="0" labelOnly="1" fieldPosition="0">
        <references count="5">
          <reference field="0" count="1" selected="0">
            <x v="16"/>
          </reference>
          <reference field="1" count="1" selected="0">
            <x v="46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5480">
      <pivotArea dataOnly="0" labelOnly="1" fieldPosition="0">
        <references count="5">
          <reference field="0" count="1" selected="0">
            <x v="16"/>
          </reference>
          <reference field="1" count="1" selected="0">
            <x v="46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14"/>
          </reference>
        </references>
      </pivotArea>
    </format>
    <format dxfId="5481">
      <pivotArea dataOnly="0" labelOnly="1" fieldPosition="0">
        <references count="5">
          <reference field="0" count="1" selected="0">
            <x v="16"/>
          </reference>
          <reference field="1" count="1" selected="0">
            <x v="46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5482">
      <pivotArea dataOnly="0" labelOnly="1" fieldPosition="0">
        <references count="5">
          <reference field="0" count="1" selected="0">
            <x v="16"/>
          </reference>
          <reference field="1" count="1" selected="0">
            <x v="46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5483">
      <pivotArea dataOnly="0" labelOnly="1" fieldPosition="0">
        <references count="5">
          <reference field="0" count="1" selected="0">
            <x v="16"/>
          </reference>
          <reference field="1" count="1" selected="0">
            <x v="46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484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5485">
      <pivotArea collapsedLevelsAreSubtotals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5486">
      <pivotArea collapsedLevelsAreSubtotals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5487">
      <pivotArea collapsedLevelsAreSubtotals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5488">
      <pivotArea collapsedLevelsAreSubtotals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5489">
      <pivotArea collapsedLevelsAreSubtotals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490">
      <pivotArea collapsedLevelsAreSubtotals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491">
      <pivotArea collapsedLevelsAreSubtotals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5492">
      <pivotArea dataOnly="0" labelOnly="1" fieldPosition="0">
        <references count="2">
          <reference field="0" count="1" selected="0">
            <x v="17"/>
          </reference>
          <reference field="2" count="1">
            <x v="33"/>
          </reference>
        </references>
      </pivotArea>
    </format>
    <format dxfId="5493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5494">
      <pivotArea dataOnly="0" labelOnly="1" fieldPosition="0">
        <references count="3">
          <reference field="0" count="1" selected="0">
            <x v="17"/>
          </reference>
          <reference field="1" count="6">
            <x v="112"/>
            <x v="125"/>
            <x v="192"/>
            <x v="282"/>
            <x v="376"/>
            <x v="430"/>
          </reference>
          <reference field="2" count="1" selected="0">
            <x v="33"/>
          </reference>
        </references>
      </pivotArea>
    </format>
    <format dxfId="5495">
      <pivotArea dataOnly="0" labelOnly="1" fieldPosition="0">
        <references count="4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5496">
      <pivotArea dataOnly="0" labelOnly="1" fieldPosition="0">
        <references count="4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>
            <x v="4"/>
          </reference>
        </references>
      </pivotArea>
    </format>
    <format dxfId="5497">
      <pivotArea dataOnly="0" labelOnly="1" fieldPosition="0">
        <references count="4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>
            <x v="1"/>
          </reference>
        </references>
      </pivotArea>
    </format>
    <format dxfId="5498">
      <pivotArea dataOnly="0" labelOnly="1" fieldPosition="0">
        <references count="4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5499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5500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5501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5502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5503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504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05">
      <pivotArea collapsedLevelsAreSubtotals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5506">
      <pivotArea collapsedLevelsAreSubtotals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507">
      <pivotArea collapsedLevelsAreSubtotals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5508">
      <pivotArea collapsedLevelsAreSubtotals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5509">
      <pivotArea collapsedLevelsAreSubtotals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10">
      <pivotArea collapsedLevelsAreSubtotals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5511">
      <pivotArea collapsedLevelsAreSubtotals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5512">
      <pivotArea collapsedLevelsAreSubtotals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13">
      <pivotArea collapsedLevelsAreSubtotals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5514">
      <pivotArea collapsedLevelsAreSubtotals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5515">
      <pivotArea collapsedLevelsAreSubtotals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5516">
      <pivotArea collapsedLevelsAreSubtotals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517">
      <pivotArea collapsedLevelsAreSubtotals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5518">
      <pivotArea collapsedLevelsAreSubtotals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5519">
      <pivotArea collapsedLevelsAreSubtotals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5520">
      <pivotArea collapsedLevelsAreSubtotals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21">
      <pivotArea collapsedLevelsAreSubtotals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5522">
      <pivotArea collapsedLevelsAreSubtotals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5523">
      <pivotArea collapsedLevelsAreSubtotals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524">
      <pivotArea collapsedLevelsAreSubtotals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5525">
      <pivotArea dataOnly="0" labelOnly="1" fieldPosition="0">
        <references count="2">
          <reference field="0" count="1" selected="0">
            <x v="18"/>
          </reference>
          <reference field="2" count="1">
            <x v="0"/>
          </reference>
        </references>
      </pivotArea>
    </format>
    <format dxfId="5526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5527">
      <pivotArea dataOnly="0" labelOnly="1" fieldPosition="0">
        <references count="3">
          <reference field="0" count="1" selected="0">
            <x v="18"/>
          </reference>
          <reference field="1" count="19">
            <x v="124"/>
            <x v="158"/>
            <x v="159"/>
            <x v="177"/>
            <x v="178"/>
            <x v="258"/>
            <x v="273"/>
            <x v="286"/>
            <x v="289"/>
            <x v="297"/>
            <x v="305"/>
            <x v="306"/>
            <x v="392"/>
            <x v="420"/>
            <x v="421"/>
            <x v="435"/>
            <x v="466"/>
            <x v="467"/>
            <x v="468"/>
          </reference>
          <reference field="2" count="1" selected="0">
            <x v="0"/>
          </reference>
        </references>
      </pivotArea>
    </format>
    <format dxfId="5528">
      <pivotArea dataOnly="0" labelOnly="1" fieldPosition="0">
        <references count="4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29">
      <pivotArea dataOnly="0" labelOnly="1" fieldPosition="0">
        <references count="4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30">
      <pivotArea dataOnly="0" labelOnly="1" fieldPosition="0">
        <references count="4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31">
      <pivotArea dataOnly="0" labelOnly="1" fieldPosition="0">
        <references count="4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32">
      <pivotArea dataOnly="0" labelOnly="1" fieldPosition="0">
        <references count="4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33">
      <pivotArea dataOnly="0" labelOnly="1" fieldPosition="0">
        <references count="4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34">
      <pivotArea dataOnly="0" labelOnly="1" fieldPosition="0">
        <references count="4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5535">
      <pivotArea dataOnly="0" labelOnly="1" fieldPosition="0">
        <references count="4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36">
      <pivotArea dataOnly="0" labelOnly="1" fieldPosition="0">
        <references count="4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37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5538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539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5540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5541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42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5543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5544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45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5546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5547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5548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549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5550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5551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5552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53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5554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5555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556">
      <pivotArea collapsedLevelsAreSubtotals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5557">
      <pivotArea collapsedLevelsAreSubtotals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5558">
      <pivotArea collapsedLevelsAreSubtotals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5559">
      <pivotArea collapsedLevelsAreSubtotals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5560">
      <pivotArea collapsedLevelsAreSubtotals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561">
      <pivotArea collapsedLevelsAreSubtotals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62">
      <pivotArea dataOnly="0" labelOnly="1" fieldPosition="0">
        <references count="3">
          <reference field="0" count="1" selected="0">
            <x v="17"/>
          </reference>
          <reference field="1" count="6">
            <x v="112"/>
            <x v="125"/>
            <x v="192"/>
            <x v="282"/>
            <x v="376"/>
            <x v="430"/>
          </reference>
          <reference field="2" count="1" selected="0">
            <x v="33"/>
          </reference>
        </references>
      </pivotArea>
    </format>
    <format dxfId="5563">
      <pivotArea dataOnly="0" labelOnly="1" fieldPosition="0">
        <references count="4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5564">
      <pivotArea dataOnly="0" labelOnly="1" fieldPosition="0">
        <references count="4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>
            <x v="4"/>
          </reference>
        </references>
      </pivotArea>
    </format>
    <format dxfId="5565">
      <pivotArea dataOnly="0" labelOnly="1" fieldPosition="0">
        <references count="4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>
            <x v="1"/>
          </reference>
        </references>
      </pivotArea>
    </format>
    <format dxfId="5566">
      <pivotArea dataOnly="0" labelOnly="1" fieldPosition="0">
        <references count="4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5567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5568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5569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5570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5571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572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73">
      <pivotArea collapsedLevelsAreSubtotals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5574">
      <pivotArea collapsedLevelsAreSubtotals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575">
      <pivotArea collapsedLevelsAreSubtotals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5576">
      <pivotArea collapsedLevelsAreSubtotals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5577">
      <pivotArea collapsedLevelsAreSubtotals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78">
      <pivotArea collapsedLevelsAreSubtotals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5579">
      <pivotArea collapsedLevelsAreSubtotals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5580">
      <pivotArea collapsedLevelsAreSubtotals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81">
      <pivotArea collapsedLevelsAreSubtotals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5582">
      <pivotArea collapsedLevelsAreSubtotals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5583">
      <pivotArea collapsedLevelsAreSubtotals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5584">
      <pivotArea collapsedLevelsAreSubtotals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585">
      <pivotArea collapsedLevelsAreSubtotals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5586">
      <pivotArea collapsedLevelsAreSubtotals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5587">
      <pivotArea collapsedLevelsAreSubtotals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5588">
      <pivotArea collapsedLevelsAreSubtotals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589">
      <pivotArea collapsedLevelsAreSubtotals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5590">
      <pivotArea collapsedLevelsAreSubtotals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5591">
      <pivotArea collapsedLevelsAreSubtotals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592">
      <pivotArea dataOnly="0" labelOnly="1" fieldPosition="0">
        <references count="3">
          <reference field="0" count="1" selected="0">
            <x v="18"/>
          </reference>
          <reference field="1" count="19">
            <x v="124"/>
            <x v="158"/>
            <x v="159"/>
            <x v="177"/>
            <x v="178"/>
            <x v="258"/>
            <x v="273"/>
            <x v="286"/>
            <x v="289"/>
            <x v="297"/>
            <x v="305"/>
            <x v="306"/>
            <x v="392"/>
            <x v="420"/>
            <x v="421"/>
            <x v="435"/>
            <x v="466"/>
            <x v="467"/>
            <x v="468"/>
          </reference>
          <reference field="2" count="1" selected="0">
            <x v="0"/>
          </reference>
        </references>
      </pivotArea>
    </format>
    <format dxfId="5593">
      <pivotArea dataOnly="0" labelOnly="1" fieldPosition="0">
        <references count="4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94">
      <pivotArea dataOnly="0" labelOnly="1" fieldPosition="0">
        <references count="4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95">
      <pivotArea dataOnly="0" labelOnly="1" fieldPosition="0">
        <references count="4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96">
      <pivotArea dataOnly="0" labelOnly="1" fieldPosition="0">
        <references count="4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97">
      <pivotArea dataOnly="0" labelOnly="1" fieldPosition="0">
        <references count="4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598">
      <pivotArea dataOnly="0" labelOnly="1" fieldPosition="0">
        <references count="4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599">
      <pivotArea dataOnly="0" labelOnly="1" fieldPosition="0">
        <references count="4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5600">
      <pivotArea dataOnly="0" labelOnly="1" fieldPosition="0">
        <references count="4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601">
      <pivotArea dataOnly="0" labelOnly="1" fieldPosition="0">
        <references count="4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602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5603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604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5605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5606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607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3"/>
          </reference>
        </references>
      </pivotArea>
    </format>
    <format dxfId="5608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5609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10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5611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5612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4"/>
          </reference>
        </references>
      </pivotArea>
    </format>
    <format dxfId="5613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614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5615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5616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5617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618">
      <pivotArea dataOnly="0" labelOnly="1" fieldPosition="0">
        <references count="5">
          <reference field="0" count="1" selected="0">
            <x v="18"/>
          </reference>
          <reference field="1" count="1" selected="0">
            <x v="466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45"/>
          </reference>
        </references>
      </pivotArea>
    </format>
    <format dxfId="5619">
      <pivotArea dataOnly="0" labelOnly="1" fieldPosition="0">
        <references count="5">
          <reference field="0" count="1" selected="0">
            <x v="18"/>
          </reference>
          <reference field="1" count="1" selected="0">
            <x v="46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246"/>
          </reference>
        </references>
      </pivotArea>
    </format>
    <format dxfId="5620">
      <pivotArea dataOnly="0" labelOnly="1" fieldPosition="0">
        <references count="5">
          <reference field="0" count="1" selected="0">
            <x v="18"/>
          </reference>
          <reference field="1" count="1" selected="0">
            <x v="46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621">
      <pivotArea collapsedLevelsAreSubtotals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5622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5623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5624">
      <pivotArea collapsedLevelsAreSubtotals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25">
      <pivotArea collapsedLevelsAreSubtotals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5626">
      <pivotArea collapsedLevelsAreSubtotals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627">
      <pivotArea collapsedLevelsAreSubtotals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5628">
      <pivotArea collapsedLevelsAreSubtotals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5629">
      <pivotArea collapsedLevelsAreSubtotals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630">
      <pivotArea collapsedLevelsAreSubtotals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631">
      <pivotArea collapsedLevelsAreSubtotals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32">
      <pivotArea collapsedLevelsAreSubtotals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5633">
      <pivotArea collapsedLevelsAreSubtotals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634">
      <pivotArea collapsedLevelsAreSubtotals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635">
      <pivotArea collapsedLevelsAreSubtotals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5636">
      <pivotArea collapsedLevelsAreSubtotals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5637">
      <pivotArea collapsedLevelsAreSubtotals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638">
      <pivotArea collapsedLevelsAreSubtotals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639">
      <pivotArea collapsedLevelsAreSubtotals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640">
      <pivotArea collapsedLevelsAreSubtotals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641">
      <pivotArea collapsedLevelsAreSubtotals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642">
      <pivotArea collapsedLevelsAreSubtotals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5643">
      <pivotArea collapsedLevelsAreSubtotals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5644">
      <pivotArea collapsedLevelsAreSubtotals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5645">
      <pivotArea dataOnly="0" labelOnly="1" fieldPosition="0">
        <references count="1">
          <reference field="0" count="1">
            <x v="19"/>
          </reference>
        </references>
      </pivotArea>
    </format>
    <format dxfId="5646">
      <pivotArea dataOnly="0" labelOnly="1" fieldPosition="0">
        <references count="2">
          <reference field="0" count="1" selected="0">
            <x v="19"/>
          </reference>
          <reference field="2" count="1">
            <x v="46"/>
          </reference>
        </references>
      </pivotArea>
    </format>
    <format dxfId="5647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5648">
      <pivotArea dataOnly="0" labelOnly="1" fieldPosition="0">
        <references count="3">
          <reference field="0" count="1" selected="0">
            <x v="19"/>
          </reference>
          <reference field="1" count="20">
            <x v="49"/>
            <x v="64"/>
            <x v="72"/>
            <x v="98"/>
            <x v="126"/>
            <x v="144"/>
            <x v="191"/>
            <x v="302"/>
            <x v="325"/>
            <x v="330"/>
            <x v="342"/>
            <x v="350"/>
            <x v="432"/>
            <x v="469"/>
            <x v="470"/>
            <x v="471"/>
            <x v="472"/>
            <x v="473"/>
            <x v="474"/>
            <x v="475"/>
          </reference>
          <reference field="2" count="1" selected="0">
            <x v="46"/>
          </reference>
        </references>
      </pivotArea>
    </format>
    <format dxfId="5649">
      <pivotArea dataOnly="0" labelOnly="1" fieldPosition="0">
        <references count="4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650">
      <pivotArea dataOnly="0" labelOnly="1" fieldPosition="0">
        <references count="4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5651">
      <pivotArea dataOnly="0" labelOnly="1" fieldPosition="0">
        <references count="4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652">
      <pivotArea dataOnly="0" labelOnly="1" fieldPosition="0">
        <references count="4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5653">
      <pivotArea dataOnly="0" labelOnly="1" fieldPosition="0">
        <references count="4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654">
      <pivotArea dataOnly="0" labelOnly="1" fieldPosition="0">
        <references count="4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5655">
      <pivotArea dataOnly="0" labelOnly="1" fieldPosition="0">
        <references count="4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656">
      <pivotArea dataOnly="0" labelOnly="1" fieldPosition="0">
        <references count="4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5657">
      <pivotArea dataOnly="0" labelOnly="1" fieldPosition="0">
        <references count="4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658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59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5660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661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5662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5663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664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665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66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5667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668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669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5670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5671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672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673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674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675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676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5677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5678">
      <pivotArea collapsedLevelsAreSubtotals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5679">
      <pivotArea collapsedLevelsAreSubtotals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5680">
      <pivotArea collapsedLevelsAreSubtotals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5681">
      <pivotArea dataOnly="0" labelOnly="1" fieldPosition="0">
        <references count="1">
          <reference field="0" count="1">
            <x v="20"/>
          </reference>
        </references>
      </pivotArea>
    </format>
    <format dxfId="5682">
      <pivotArea dataOnly="0" labelOnly="1" fieldPosition="0">
        <references count="2">
          <reference field="0" count="1" selected="0">
            <x v="20"/>
          </reference>
          <reference field="2" count="1">
            <x v="31"/>
          </reference>
        </references>
      </pivotArea>
    </format>
    <format dxfId="5683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5684">
      <pivotArea dataOnly="0" labelOnly="1" fieldPosition="0">
        <references count="3">
          <reference field="0" count="1" selected="0">
            <x v="20"/>
          </reference>
          <reference field="1" count="2">
            <x v="299"/>
            <x v="440"/>
          </reference>
          <reference field="2" count="1" selected="0">
            <x v="31"/>
          </reference>
        </references>
      </pivotArea>
    </format>
    <format dxfId="5685">
      <pivotArea dataOnly="0" labelOnly="1" fieldPosition="0">
        <references count="4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>
            <x v="3"/>
          </reference>
        </references>
      </pivotArea>
    </format>
    <format dxfId="5686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5687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5688">
      <pivotArea collapsedLevelsAreSubtotals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5689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5690">
      <pivotArea collapsedLevelsAreSubtotals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5691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5692">
      <pivotArea collapsedLevelsAreSubtotals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693">
      <pivotArea collapsedLevelsAreSubtotals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5694">
      <pivotArea collapsedLevelsAreSubtotals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695">
      <pivotArea collapsedLevelsAreSubtotals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5696">
      <pivotArea collapsedLevelsAreSubtotals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5697">
      <pivotArea collapsedLevelsAreSubtotals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698">
      <pivotArea collapsedLevelsAreSubtotals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699">
      <pivotArea collapsedLevelsAreSubtotals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00">
      <pivotArea collapsedLevelsAreSubtotals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5701">
      <pivotArea collapsedLevelsAreSubtotals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702">
      <pivotArea collapsedLevelsAreSubtotals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703">
      <pivotArea collapsedLevelsAreSubtotals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5704">
      <pivotArea collapsedLevelsAreSubtotals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5705">
      <pivotArea collapsedLevelsAreSubtotals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706">
      <pivotArea collapsedLevelsAreSubtotals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707">
      <pivotArea collapsedLevelsAreSubtotals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708">
      <pivotArea collapsedLevelsAreSubtotals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709">
      <pivotArea collapsedLevelsAreSubtotals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710">
      <pivotArea collapsedLevelsAreSubtotals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5711">
      <pivotArea collapsedLevelsAreSubtotals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5712">
      <pivotArea dataOnly="0" labelOnly="1" fieldPosition="0">
        <references count="3">
          <reference field="0" count="1" selected="0">
            <x v="19"/>
          </reference>
          <reference field="1" count="20">
            <x v="49"/>
            <x v="64"/>
            <x v="72"/>
            <x v="98"/>
            <x v="126"/>
            <x v="144"/>
            <x v="191"/>
            <x v="302"/>
            <x v="325"/>
            <x v="330"/>
            <x v="342"/>
            <x v="350"/>
            <x v="432"/>
            <x v="469"/>
            <x v="470"/>
            <x v="471"/>
            <x v="472"/>
            <x v="473"/>
            <x v="474"/>
            <x v="475"/>
          </reference>
          <reference field="2" count="1" selected="0">
            <x v="46"/>
          </reference>
        </references>
      </pivotArea>
    </format>
    <format dxfId="5713">
      <pivotArea dataOnly="0" labelOnly="1" fieldPosition="0">
        <references count="4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714">
      <pivotArea dataOnly="0" labelOnly="1" fieldPosition="0">
        <references count="4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5715">
      <pivotArea dataOnly="0" labelOnly="1" fieldPosition="0">
        <references count="4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716">
      <pivotArea dataOnly="0" labelOnly="1" fieldPosition="0">
        <references count="4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5717">
      <pivotArea dataOnly="0" labelOnly="1" fieldPosition="0">
        <references count="4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718">
      <pivotArea dataOnly="0" labelOnly="1" fieldPosition="0">
        <references count="4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5719">
      <pivotArea dataOnly="0" labelOnly="1" fieldPosition="0">
        <references count="4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720">
      <pivotArea dataOnly="0" labelOnly="1" fieldPosition="0">
        <references count="4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5721">
      <pivotArea dataOnly="0" labelOnly="1" fieldPosition="0">
        <references count="4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5722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23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5724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725">
      <pivotArea dataOnly="0" labelOnly="1" fieldPosition="0">
        <references count="5">
          <reference field="0" count="1" selected="0">
            <x v="19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8"/>
          </reference>
        </references>
      </pivotArea>
    </format>
    <format dxfId="5726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5727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728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729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30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7"/>
          </reference>
        </references>
      </pivotArea>
    </format>
    <format dxfId="5731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732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5733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49"/>
          </reference>
        </references>
      </pivotArea>
    </format>
    <format dxfId="5734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5735">
      <pivotArea dataOnly="0" labelOnly="1" fieldPosition="0">
        <references count="5">
          <reference field="0" count="1" selected="0">
            <x v="19"/>
          </reference>
          <reference field="1" count="1" selected="0">
            <x v="46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736">
      <pivotArea dataOnly="0" labelOnly="1" fieldPosition="0">
        <references count="5">
          <reference field="0" count="1" selected="0">
            <x v="19"/>
          </reference>
          <reference field="1" count="1" selected="0">
            <x v="47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737">
      <pivotArea dataOnly="0" labelOnly="1" fieldPosition="0">
        <references count="5">
          <reference field="0" count="1" selected="0">
            <x v="19"/>
          </reference>
          <reference field="1" count="1" selected="0">
            <x v="47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5"/>
          </reference>
        </references>
      </pivotArea>
    </format>
    <format dxfId="5738">
      <pivotArea dataOnly="0" labelOnly="1" fieldPosition="0">
        <references count="5">
          <reference field="0" count="1" selected="0">
            <x v="19"/>
          </reference>
          <reference field="1" count="1" selected="0">
            <x v="4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5739">
      <pivotArea dataOnly="0" labelOnly="1" fieldPosition="0">
        <references count="5">
          <reference field="0" count="1" selected="0">
            <x v="19"/>
          </reference>
          <reference field="1" count="1" selected="0">
            <x v="473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2"/>
          </reference>
        </references>
      </pivotArea>
    </format>
    <format dxfId="5740">
      <pivotArea dataOnly="0" labelOnly="1" fieldPosition="0">
        <references count="5">
          <reference field="0" count="1" selected="0">
            <x v="19"/>
          </reference>
          <reference field="1" count="1" selected="0">
            <x v="47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250"/>
          </reference>
        </references>
      </pivotArea>
    </format>
    <format dxfId="5741">
      <pivotArea dataOnly="0" labelOnly="1" fieldPosition="0">
        <references count="5">
          <reference field="0" count="1" selected="0">
            <x v="19"/>
          </reference>
          <reference field="1" count="1" selected="0">
            <x v="47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5742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5743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5744">
      <pivotArea collapsedLevelsAreSubtotals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5745">
      <pivotArea collapsedLevelsAreSubtotals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5746">
      <pivotArea dataOnly="0" labelOnly="1" fieldPosition="0">
        <references count="3">
          <reference field="0" count="1" selected="0">
            <x v="20"/>
          </reference>
          <reference field="1" count="2">
            <x v="299"/>
            <x v="440"/>
          </reference>
          <reference field="2" count="1" selected="0">
            <x v="31"/>
          </reference>
        </references>
      </pivotArea>
    </format>
    <format dxfId="5747">
      <pivotArea dataOnly="0" labelOnly="1" fieldPosition="0">
        <references count="4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>
            <x v="3"/>
          </reference>
        </references>
      </pivotArea>
    </format>
    <format dxfId="5748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5749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252"/>
          </reference>
        </references>
      </pivotArea>
    </format>
    <format dxfId="5750">
      <pivotArea collapsedLevelsAreSubtotals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751">
      <pivotArea collapsedLevelsAreSubtotals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752">
      <pivotArea collapsedLevelsAreSubtotals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5753">
      <pivotArea collapsedLevelsAreSubtotals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54">
      <pivotArea collapsedLevelsAreSubtotals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55">
      <pivotArea collapsedLevelsAreSubtotals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5756">
      <pivotArea collapsedLevelsAreSubtotals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57">
      <pivotArea collapsedLevelsAreSubtotals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5758">
      <pivotArea collapsedLevelsAreSubtotals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59">
      <pivotArea collapsedLevelsAreSubtotals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5760">
      <pivotArea collapsedLevelsAreSubtotals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5761">
      <pivotArea collapsedLevelsAreSubtotals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5762">
      <pivotArea collapsedLevelsAreSubtotals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763">
      <pivotArea collapsedLevelsAreSubtotals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764">
      <pivotArea collapsedLevelsAreSubtotals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5765">
      <pivotArea collapsedLevelsAreSubtotals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5766">
      <pivotArea collapsedLevelsAreSubtotals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5767">
      <pivotArea collapsedLevelsAreSubtotals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68">
      <pivotArea collapsedLevelsAreSubtotals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5769">
      <pivotArea collapsedLevelsAreSubtotals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5770">
      <pivotArea collapsedLevelsAreSubtotals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5771">
      <pivotArea collapsedLevelsAreSubtotals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772">
      <pivotArea collapsedLevelsAreSubtotals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773">
      <pivotArea collapsedLevelsAreSubtotals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74">
      <pivotArea collapsedLevelsAreSubtotals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5775">
      <pivotArea collapsedLevelsAreSubtotals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5776">
      <pivotArea collapsedLevelsAreSubtotals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5777">
      <pivotArea collapsedLevelsAreSubtotals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5778">
      <pivotArea collapsedLevelsAreSubtotals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779">
      <pivotArea collapsedLevelsAreSubtotals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5780">
      <pivotArea collapsedLevelsAreSubtotals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5781">
      <pivotArea collapsedLevelsAreSubtotals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782">
      <pivotArea collapsedLevelsAreSubtotals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5783">
      <pivotArea dataOnly="0" labelOnly="1" fieldPosition="0">
        <references count="2">
          <reference field="0" count="1" selected="0">
            <x v="21"/>
          </reference>
          <reference field="2" count="1">
            <x v="34"/>
          </reference>
        </references>
      </pivotArea>
    </format>
    <format dxfId="5784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5785">
      <pivotArea dataOnly="0" labelOnly="1" fieldPosition="0">
        <references count="3">
          <reference field="0" count="1" selected="0">
            <x v="21"/>
          </reference>
          <reference field="1" count="32">
            <x v="28"/>
            <x v="46"/>
            <x v="110"/>
            <x v="135"/>
            <x v="182"/>
            <x v="194"/>
            <x v="206"/>
            <x v="212"/>
            <x v="235"/>
            <x v="243"/>
            <x v="244"/>
            <x v="245"/>
            <x v="248"/>
            <x v="254"/>
            <x v="256"/>
            <x v="269"/>
            <x v="272"/>
            <x v="285"/>
            <x v="293"/>
            <x v="341"/>
            <x v="369"/>
            <x v="374"/>
            <x v="378"/>
            <x v="381"/>
            <x v="383"/>
            <x v="391"/>
            <x v="410"/>
            <x v="426"/>
            <x v="451"/>
            <x v="476"/>
            <x v="477"/>
            <x v="478"/>
          </reference>
          <reference field="2" count="1" selected="0">
            <x v="34"/>
          </reference>
        </references>
      </pivotArea>
    </format>
    <format dxfId="5786">
      <pivotArea dataOnly="0" labelOnly="1" fieldPosition="0">
        <references count="4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787">
      <pivotArea dataOnly="0" labelOnly="1" fieldPosition="0">
        <references count="4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788">
      <pivotArea dataOnly="0" labelOnly="1" fieldPosition="0">
        <references count="4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789">
      <pivotArea dataOnly="0" labelOnly="1" fieldPosition="0">
        <references count="4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790">
      <pivotArea dataOnly="0" labelOnly="1" fieldPosition="0">
        <references count="4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791">
      <pivotArea dataOnly="0" labelOnly="1" fieldPosition="0">
        <references count="4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792">
      <pivotArea dataOnly="0" labelOnly="1" fieldPosition="0">
        <references count="4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793">
      <pivotArea dataOnly="0" labelOnly="1" fieldPosition="0">
        <references count="4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794">
      <pivotArea dataOnly="0" labelOnly="1" fieldPosition="0">
        <references count="4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795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796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797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5798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799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00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5801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02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5803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04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5805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5806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5807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08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809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5810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5811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5812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13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5814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5815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5816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817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18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19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5820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5821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5822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5823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824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5825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5826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827">
      <pivotArea collapsedLevelsAreSubtotals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28">
      <pivotArea collapsedLevelsAreSubtotals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829">
      <pivotArea collapsedLevelsAreSubtotals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5830">
      <pivotArea collapsedLevelsAreSubtotals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31">
      <pivotArea collapsedLevelsAreSubtotals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32">
      <pivotArea collapsedLevelsAreSubtotals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5833">
      <pivotArea collapsedLevelsAreSubtotals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34">
      <pivotArea collapsedLevelsAreSubtotals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5835">
      <pivotArea collapsedLevelsAreSubtotals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36">
      <pivotArea collapsedLevelsAreSubtotals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5837">
      <pivotArea collapsedLevelsAreSubtotals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5838">
      <pivotArea collapsedLevelsAreSubtotals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5839">
      <pivotArea collapsedLevelsAreSubtotals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40">
      <pivotArea collapsedLevelsAreSubtotals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841">
      <pivotArea collapsedLevelsAreSubtotals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5842">
      <pivotArea collapsedLevelsAreSubtotals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5843">
      <pivotArea collapsedLevelsAreSubtotals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5844">
      <pivotArea collapsedLevelsAreSubtotals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45">
      <pivotArea collapsedLevelsAreSubtotals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5846">
      <pivotArea collapsedLevelsAreSubtotals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5847">
      <pivotArea collapsedLevelsAreSubtotals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5848">
      <pivotArea collapsedLevelsAreSubtotals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849">
      <pivotArea collapsedLevelsAreSubtotals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50">
      <pivotArea collapsedLevelsAreSubtotals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51">
      <pivotArea collapsedLevelsAreSubtotals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5852">
      <pivotArea collapsedLevelsAreSubtotals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5853">
      <pivotArea collapsedLevelsAreSubtotals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5854">
      <pivotArea collapsedLevelsAreSubtotals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5855">
      <pivotArea collapsedLevelsAreSubtotals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856">
      <pivotArea collapsedLevelsAreSubtotals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5857">
      <pivotArea collapsedLevelsAreSubtotals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5858">
      <pivotArea collapsedLevelsAreSubtotals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859">
      <pivotArea dataOnly="0" labelOnly="1" fieldPosition="0">
        <references count="3">
          <reference field="0" count="1" selected="0">
            <x v="21"/>
          </reference>
          <reference field="1" count="32">
            <x v="28"/>
            <x v="46"/>
            <x v="110"/>
            <x v="135"/>
            <x v="182"/>
            <x v="194"/>
            <x v="206"/>
            <x v="212"/>
            <x v="235"/>
            <x v="243"/>
            <x v="244"/>
            <x v="245"/>
            <x v="248"/>
            <x v="254"/>
            <x v="256"/>
            <x v="269"/>
            <x v="272"/>
            <x v="285"/>
            <x v="293"/>
            <x v="341"/>
            <x v="369"/>
            <x v="374"/>
            <x v="378"/>
            <x v="381"/>
            <x v="383"/>
            <x v="391"/>
            <x v="410"/>
            <x v="426"/>
            <x v="451"/>
            <x v="476"/>
            <x v="477"/>
            <x v="478"/>
          </reference>
          <reference field="2" count="1" selected="0">
            <x v="34"/>
          </reference>
        </references>
      </pivotArea>
    </format>
    <format dxfId="5860">
      <pivotArea dataOnly="0" labelOnly="1" fieldPosition="0">
        <references count="4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861">
      <pivotArea dataOnly="0" labelOnly="1" fieldPosition="0">
        <references count="4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862">
      <pivotArea dataOnly="0" labelOnly="1" fieldPosition="0">
        <references count="4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863">
      <pivotArea dataOnly="0" labelOnly="1" fieldPosition="0">
        <references count="4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864">
      <pivotArea dataOnly="0" labelOnly="1" fieldPosition="0">
        <references count="4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865">
      <pivotArea dataOnly="0" labelOnly="1" fieldPosition="0">
        <references count="4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866">
      <pivotArea dataOnly="0" labelOnly="1" fieldPosition="0">
        <references count="4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867">
      <pivotArea dataOnly="0" labelOnly="1" fieldPosition="0">
        <references count="4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5868">
      <pivotArea dataOnly="0" labelOnly="1" fieldPosition="0">
        <references count="4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5869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70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5871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3"/>
          </reference>
        </references>
      </pivotArea>
    </format>
    <format dxfId="5872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73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74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5875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76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5877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78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5879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5880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5881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82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5883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5884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4"/>
          </reference>
        </references>
      </pivotArea>
    </format>
    <format dxfId="5885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5886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887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5"/>
          </reference>
        </references>
      </pivotArea>
    </format>
    <format dxfId="5888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6"/>
          </reference>
        </references>
      </pivotArea>
    </format>
    <format dxfId="5889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5890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891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5892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893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5894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5895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5896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7"/>
          </reference>
        </references>
      </pivotArea>
    </format>
    <format dxfId="5897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5898">
      <pivotArea dataOnly="0" labelOnly="1" fieldPosition="0">
        <references count="5">
          <reference field="0" count="1" selected="0">
            <x v="21"/>
          </reference>
          <reference field="1" count="1" selected="0">
            <x v="47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8"/>
          </reference>
        </references>
      </pivotArea>
    </format>
    <format dxfId="5899">
      <pivotArea dataOnly="0" labelOnly="1" fieldPosition="0">
        <references count="5">
          <reference field="0" count="1" selected="0">
            <x v="21"/>
          </reference>
          <reference field="1" count="1" selected="0">
            <x v="477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259"/>
          </reference>
        </references>
      </pivotArea>
    </format>
    <format dxfId="5900">
      <pivotArea dataOnly="0" labelOnly="1" fieldPosition="0">
        <references count="5">
          <reference field="0" count="1" selected="0">
            <x v="21"/>
          </reference>
          <reference field="1" count="1" selected="0">
            <x v="4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1"/>
          </reference>
        </references>
      </pivotArea>
    </format>
    <format dxfId="5901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5902">
      <pivotArea collapsedLevelsAreSubtotals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03">
      <pivotArea collapsedLevelsAreSubtotals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04">
      <pivotArea collapsedLevelsAreSubtotals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5905">
      <pivotArea dataOnly="0" labelOnly="1" fieldPosition="0">
        <references count="2">
          <reference field="0" count="1" selected="0">
            <x v="23"/>
          </reference>
          <reference field="2" count="1">
            <x v="40"/>
          </reference>
        </references>
      </pivotArea>
    </format>
    <format dxfId="5906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5907">
      <pivotArea dataOnly="0" labelOnly="1" fieldPosition="0">
        <references count="3">
          <reference field="0" count="1" selected="0">
            <x v="23"/>
          </reference>
          <reference field="1" count="2">
            <x v="214"/>
            <x v="482"/>
          </reference>
          <reference field="2" count="1" selected="0">
            <x v="40"/>
          </reference>
        </references>
      </pivotArea>
    </format>
    <format dxfId="5908">
      <pivotArea dataOnly="0" labelOnly="1" fieldPosition="0">
        <references count="4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>
            <x v="3"/>
          </reference>
        </references>
      </pivotArea>
    </format>
    <format dxfId="5909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10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11">
      <pivotArea collapsedLevelsAreSubtotals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912">
      <pivotArea collapsedLevelsAreSubtotals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913">
      <pivotArea collapsedLevelsAreSubtotals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5914">
      <pivotArea collapsedLevelsAreSubtotals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5915">
      <pivotArea collapsedLevelsAreSubtotals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5916">
      <pivotArea collapsedLevelsAreSubtotals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917">
      <pivotArea collapsedLevelsAreSubtotals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5918">
      <pivotArea collapsedLevelsAreSubtotals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5919">
      <pivotArea collapsedLevelsAreSubtotals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920">
      <pivotArea collapsedLevelsAreSubtotals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921">
      <pivotArea collapsedLevelsAreSubtotals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5922">
      <pivotArea collapsedLevelsAreSubtotals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5923">
      <pivotArea collapsedLevelsAreSubtotals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5924">
      <pivotArea collapsedLevelsAreSubtotals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5925">
      <pivotArea collapsedLevelsAreSubtotals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5926">
      <pivotArea collapsedLevelsAreSubtotals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5927">
      <pivotArea dataOnly="0" labelOnly="1" fieldPosition="0">
        <references count="3">
          <reference field="0" count="1" selected="0">
            <x v="22"/>
          </reference>
          <reference field="1" count="16">
            <x v="90"/>
            <x v="134"/>
            <x v="164"/>
            <x v="193"/>
            <x v="222"/>
            <x v="237"/>
            <x v="246"/>
            <x v="292"/>
            <x v="344"/>
            <x v="352"/>
            <x v="355"/>
            <x v="406"/>
            <x v="419"/>
            <x v="479"/>
            <x v="480"/>
            <x v="481"/>
          </reference>
          <reference field="2" count="1" selected="0">
            <x v="52"/>
          </reference>
        </references>
      </pivotArea>
    </format>
    <format dxfId="5928">
      <pivotArea dataOnly="0" labelOnly="1" fieldPosition="0">
        <references count="4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5929">
      <pivotArea dataOnly="0" labelOnly="1" fieldPosition="0">
        <references count="4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5930">
      <pivotArea dataOnly="0" labelOnly="1" fieldPosition="0">
        <references count="4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5931">
      <pivotArea dataOnly="0" labelOnly="1" fieldPosition="0">
        <references count="4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5932">
      <pivotArea dataOnly="0" labelOnly="1" fieldPosition="0">
        <references count="4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5933">
      <pivotArea dataOnly="0" labelOnly="1" fieldPosition="0">
        <references count="4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5934">
      <pivotArea dataOnly="0" labelOnly="1" fieldPosition="0">
        <references count="4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5935">
      <pivotArea dataOnly="0" labelOnly="1" fieldPosition="0">
        <references count="4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5936">
      <pivotArea dataOnly="0" labelOnly="1" fieldPosition="0">
        <references count="4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5937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5938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5939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5940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5941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5942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943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5944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5945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5946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947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0"/>
          </reference>
        </references>
      </pivotArea>
    </format>
    <format dxfId="5948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5949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261"/>
          </reference>
        </references>
      </pivotArea>
    </format>
    <format dxfId="5950">
      <pivotArea dataOnly="0" labelOnly="1" fieldPosition="0">
        <references count="5">
          <reference field="0" count="1" selected="0">
            <x v="22"/>
          </reference>
          <reference field="1" count="1" selected="0">
            <x v="479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2"/>
          </reference>
        </references>
      </pivotArea>
    </format>
    <format dxfId="5951">
      <pivotArea dataOnly="0" labelOnly="1" fieldPosition="0">
        <references count="5">
          <reference field="0" count="1" selected="0">
            <x v="22"/>
          </reference>
          <reference field="1" count="1" selected="0">
            <x v="480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5952">
      <pivotArea dataOnly="0" labelOnly="1" fieldPosition="0">
        <references count="5">
          <reference field="0" count="1" selected="0">
            <x v="22"/>
          </reference>
          <reference field="1" count="1" selected="0">
            <x v="481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64"/>
          </reference>
        </references>
      </pivotArea>
    </format>
    <format dxfId="5953">
      <pivotArea collapsedLevelsAreSubtotals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5954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5955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5956">
      <pivotArea collapsedLevelsAreSubtotals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57">
      <pivotArea collapsedLevelsAreSubtotals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58">
      <pivotArea dataOnly="0" labelOnly="1" fieldPosition="0">
        <references count="2">
          <reference field="0" count="1" selected="0">
            <x v="23"/>
          </reference>
          <reference field="2" count="1">
            <x v="40"/>
          </reference>
        </references>
      </pivotArea>
    </format>
    <format dxfId="5959">
      <pivotArea dataOnly="0" labelOnly="1" fieldPosition="0">
        <references count="3">
          <reference field="0" count="1" selected="0">
            <x v="23"/>
          </reference>
          <reference field="1" count="2">
            <x v="214"/>
            <x v="482"/>
          </reference>
          <reference field="2" count="1" selected="0">
            <x v="40"/>
          </reference>
        </references>
      </pivotArea>
    </format>
    <format dxfId="5960">
      <pivotArea dataOnly="0" labelOnly="1" fieldPosition="0">
        <references count="4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>
            <x v="3"/>
          </reference>
        </references>
      </pivotArea>
    </format>
    <format dxfId="5961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62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63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5964">
      <pivotArea collapsedLevelsAreSubtotals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65">
      <pivotArea collapsedLevelsAreSubtotals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66">
      <pivotArea dataOnly="0" labelOnly="1" fieldPosition="0">
        <references count="3">
          <reference field="0" count="1" selected="0">
            <x v="23"/>
          </reference>
          <reference field="1" count="2">
            <x v="214"/>
            <x v="482"/>
          </reference>
          <reference field="2" count="1" selected="0">
            <x v="40"/>
          </reference>
        </references>
      </pivotArea>
    </format>
    <format dxfId="5967">
      <pivotArea dataOnly="0" labelOnly="1" fieldPosition="0">
        <references count="4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>
            <x v="3"/>
          </reference>
        </references>
      </pivotArea>
    </format>
    <format dxfId="5968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69">
      <pivotArea dataOnly="0" labelOnly="1" fieldPosition="0">
        <references count="5">
          <reference field="0" count="1" selected="0">
            <x v="23"/>
          </reference>
          <reference field="1" count="1" selected="0">
            <x v="482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237"/>
          </reference>
        </references>
      </pivotArea>
    </format>
    <format dxfId="5970">
      <pivotArea collapsedLevelsAreSubtotals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5971">
      <pivotArea collapsedLevelsAreSubtotals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5972">
      <pivotArea dataOnly="0" labelOnly="1" fieldPosition="0">
        <references count="2">
          <reference field="0" count="1" selected="0">
            <x v="24"/>
          </reference>
          <reference field="2" count="1">
            <x v="50"/>
          </reference>
        </references>
      </pivotArea>
    </format>
    <format dxfId="5973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5974">
      <pivotArea dataOnly="0" labelOnly="1" fieldPosition="0">
        <references count="3">
          <reference field="0" count="1" selected="0">
            <x v="24"/>
          </reference>
          <reference field="1" count="1">
            <x v="102"/>
          </reference>
          <reference field="2" count="1" selected="0">
            <x v="50"/>
          </reference>
        </references>
      </pivotArea>
    </format>
    <format dxfId="5975">
      <pivotArea dataOnly="0" labelOnly="1" fieldPosition="0">
        <references count="4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>
            <x v="3"/>
          </reference>
        </references>
      </pivotArea>
    </format>
    <format dxfId="5976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5977">
      <pivotArea collapsedLevelsAreSubtotals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5978">
      <pivotArea collapsedLevelsAreSubtotals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5979">
      <pivotArea collapsedLevelsAreSubtotals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5980">
      <pivotArea collapsedLevelsAreSubtotals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5981">
      <pivotArea collapsedLevelsAreSubtotals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5982">
      <pivotArea collapsedLevelsAreSubtotals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5983">
      <pivotArea dataOnly="0" labelOnly="1" fieldPosition="0">
        <references count="2">
          <reference field="0" count="1" selected="0">
            <x v="25"/>
          </reference>
          <reference field="2" count="1">
            <x v="49"/>
          </reference>
        </references>
      </pivotArea>
    </format>
    <format dxfId="5984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5985">
      <pivotArea dataOnly="0" labelOnly="1" fieldPosition="0">
        <references count="3">
          <reference field="0" count="1" selected="0">
            <x v="25"/>
          </reference>
          <reference field="1" count="5">
            <x v="45"/>
            <x v="61"/>
            <x v="216"/>
            <x v="349"/>
            <x v="397"/>
          </reference>
          <reference field="2" count="1" selected="0">
            <x v="49"/>
          </reference>
        </references>
      </pivotArea>
    </format>
    <format dxfId="5986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5987">
      <pivotArea dataOnly="0" labelOnly="1" fieldPosition="0">
        <references count="4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>
            <x v="0"/>
          </reference>
        </references>
      </pivotArea>
    </format>
    <format dxfId="5988">
      <pivotArea dataOnly="0" labelOnly="1" fieldPosition="0">
        <references count="4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5989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5990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5991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5992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5993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5994">
      <pivotArea collapsedLevelsAreSubtotals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5995">
      <pivotArea collapsedLevelsAreSubtotals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5996">
      <pivotArea collapsedLevelsAreSubtotals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5997">
      <pivotArea collapsedLevelsAreSubtotals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5998">
      <pivotArea collapsedLevelsAreSubtotals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5999">
      <pivotArea collapsedLevelsAreSubtotals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6000">
      <pivotArea collapsedLevelsAreSubtotals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6001">
      <pivotArea collapsedLevelsAreSubtotals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6002">
      <pivotArea collapsedLevelsAreSubtotals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6003">
      <pivotArea collapsedLevelsAreSubtotals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6004">
      <pivotArea collapsedLevelsAreSubtotals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6005">
      <pivotArea dataOnly="0" labelOnly="1" fieldPosition="0">
        <references count="2">
          <reference field="0" count="1" selected="0">
            <x v="26"/>
          </reference>
          <reference field="2" count="1">
            <x v="39"/>
          </reference>
        </references>
      </pivotArea>
    </format>
    <format dxfId="6006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6007">
      <pivotArea dataOnly="0" labelOnly="1" fieldPosition="0">
        <references count="3">
          <reference field="0" count="1" selected="0">
            <x v="26"/>
          </reference>
          <reference field="1" count="10">
            <x v="83"/>
            <x v="104"/>
            <x v="105"/>
            <x v="106"/>
            <x v="311"/>
            <x v="336"/>
            <x v="416"/>
            <x v="422"/>
            <x v="448"/>
            <x v="483"/>
          </reference>
          <reference field="2" count="1" selected="0">
            <x v="39"/>
          </reference>
        </references>
      </pivotArea>
    </format>
    <format dxfId="6008">
      <pivotArea dataOnly="0" labelOnly="1" fieldPosition="0">
        <references count="4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6009">
      <pivotArea dataOnly="0" labelOnly="1" fieldPosition="0">
        <references count="4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>
            <x v="4"/>
          </reference>
        </references>
      </pivotArea>
    </format>
    <format dxfId="6010">
      <pivotArea dataOnly="0" labelOnly="1" fieldPosition="0">
        <references count="4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6011">
      <pivotArea dataOnly="0" labelOnly="1" fieldPosition="0">
        <references count="4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6012">
      <pivotArea dataOnly="0" labelOnly="1" fieldPosition="0">
        <references count="4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6013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601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6015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6016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6017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6018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6019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6020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6021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6022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6023">
      <pivotArea collapsedLevelsAreSubtotals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6024">
      <pivotArea dataOnly="0" labelOnly="1" fieldPosition="0">
        <references count="3">
          <reference field="0" count="1" selected="0">
            <x v="24"/>
          </reference>
          <reference field="1" count="1">
            <x v="102"/>
          </reference>
          <reference field="2" count="1" selected="0">
            <x v="50"/>
          </reference>
        </references>
      </pivotArea>
    </format>
    <format dxfId="6025">
      <pivotArea dataOnly="0" labelOnly="1" fieldPosition="0">
        <references count="4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>
            <x v="3"/>
          </reference>
        </references>
      </pivotArea>
    </format>
    <format dxfId="6026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6027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6028">
      <pivotArea collapsedLevelsAreSubtotals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6029">
      <pivotArea collapsedLevelsAreSubtotals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6030">
      <pivotArea collapsedLevelsAreSubtotals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6031">
      <pivotArea collapsedLevelsAreSubtotals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6032">
      <pivotArea collapsedLevelsAreSubtotals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6033">
      <pivotArea dataOnly="0" labelOnly="1" fieldPosition="0">
        <references count="3">
          <reference field="0" count="1" selected="0">
            <x v="25"/>
          </reference>
          <reference field="1" count="5">
            <x v="45"/>
            <x v="61"/>
            <x v="216"/>
            <x v="349"/>
            <x v="397"/>
          </reference>
          <reference field="2" count="1" selected="0">
            <x v="49"/>
          </reference>
        </references>
      </pivotArea>
    </format>
    <format dxfId="6034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6035">
      <pivotArea dataOnly="0" labelOnly="1" fieldPosition="0">
        <references count="4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>
            <x v="0"/>
          </reference>
        </references>
      </pivotArea>
    </format>
    <format dxfId="6036">
      <pivotArea dataOnly="0" labelOnly="1" fieldPosition="0">
        <references count="4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6037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6038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6039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6040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265"/>
          </reference>
        </references>
      </pivotArea>
    </format>
    <format dxfId="6041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6042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6043">
      <pivotArea collapsedLevelsAreSubtotals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6044">
      <pivotArea collapsedLevelsAreSubtotals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6045">
      <pivotArea collapsedLevelsAreSubtotals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6046">
      <pivotArea collapsedLevelsAreSubtotals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6047">
      <pivotArea collapsedLevelsAreSubtotals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6048">
      <pivotArea collapsedLevelsAreSubtotals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6049">
      <pivotArea collapsedLevelsAreSubtotals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6050">
      <pivotArea collapsedLevelsAreSubtotals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6051">
      <pivotArea collapsedLevelsAreSubtotals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6052">
      <pivotArea collapsedLevelsAreSubtotals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6053">
      <pivotArea dataOnly="0" labelOnly="1" fieldPosition="0">
        <references count="3">
          <reference field="0" count="1" selected="0">
            <x v="26"/>
          </reference>
          <reference field="1" count="10">
            <x v="83"/>
            <x v="104"/>
            <x v="105"/>
            <x v="106"/>
            <x v="311"/>
            <x v="336"/>
            <x v="416"/>
            <x v="422"/>
            <x v="448"/>
            <x v="483"/>
          </reference>
          <reference field="2" count="1" selected="0">
            <x v="39"/>
          </reference>
        </references>
      </pivotArea>
    </format>
    <format dxfId="6054">
      <pivotArea dataOnly="0" labelOnly="1" fieldPosition="0">
        <references count="4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6055">
      <pivotArea dataOnly="0" labelOnly="1" fieldPosition="0">
        <references count="4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>
            <x v="4"/>
          </reference>
        </references>
      </pivotArea>
    </format>
    <format dxfId="6056">
      <pivotArea dataOnly="0" labelOnly="1" fieldPosition="0">
        <references count="4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6057">
      <pivotArea dataOnly="0" labelOnly="1" fieldPosition="0">
        <references count="4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6058">
      <pivotArea dataOnly="0" labelOnly="1" fieldPosition="0">
        <references count="4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6059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6060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6061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6062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6063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6064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6065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266"/>
          </reference>
        </references>
      </pivotArea>
    </format>
    <format dxfId="6066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6067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6068">
      <pivotArea dataOnly="0" labelOnly="1" fieldPosition="0">
        <references count="5">
          <reference field="0" count="1" selected="0">
            <x v="26"/>
          </reference>
          <reference field="1" count="1" selected="0">
            <x v="483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267"/>
          </reference>
        </references>
      </pivotArea>
    </format>
    <format dxfId="6069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6070">
      <pivotArea collapsedLevelsAreSubtotals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6071">
      <pivotArea collapsedLevelsAreSubtotals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072">
      <pivotArea collapsedLevelsAreSubtotals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073">
      <pivotArea collapsedLevelsAreSubtotals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074">
      <pivotArea collapsedLevelsAreSubtotals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6075">
      <pivotArea collapsedLevelsAreSubtotals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6076">
      <pivotArea collapsedLevelsAreSubtotals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6077">
      <pivotArea collapsedLevelsAreSubtotals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6078">
      <pivotArea collapsedLevelsAreSubtotals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079">
      <pivotArea collapsedLevelsAreSubtotals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080">
      <pivotArea collapsedLevelsAreSubtotals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081">
      <pivotArea collapsedLevelsAreSubtotals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6082">
      <pivotArea collapsedLevelsAreSubtotals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6083">
      <pivotArea collapsedLevelsAreSubtotals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6084">
      <pivotArea collapsedLevelsAreSubtotals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085">
      <pivotArea collapsedLevelsAreSubtotals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086">
      <pivotArea collapsedLevelsAreSubtotals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6087">
      <pivotArea collapsedLevelsAreSubtotals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088">
      <pivotArea collapsedLevelsAreSubtotals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089">
      <pivotArea collapsedLevelsAreSubtotals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6090">
      <pivotArea collapsedLevelsAreSubtotals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6091">
      <pivotArea collapsedLevelsAreSubtotals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6092">
      <pivotArea collapsedLevelsAreSubtotals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6093">
      <pivotArea dataOnly="0" labelOnly="1" fieldPosition="0">
        <references count="2">
          <reference field="0" count="1" selected="0">
            <x v="27"/>
          </reference>
          <reference field="2" count="1">
            <x v="58"/>
          </reference>
        </references>
      </pivotArea>
    </format>
    <format dxfId="6094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6095">
      <pivotArea dataOnly="0" labelOnly="1" fieldPosition="0">
        <references count="3">
          <reference field="0" count="1" selected="0">
            <x v="27"/>
          </reference>
          <reference field="1" count="22">
            <x v="5"/>
            <x v="6"/>
            <x v="26"/>
            <x v="70"/>
            <x v="116"/>
            <x v="123"/>
            <x v="160"/>
            <x v="161"/>
            <x v="198"/>
            <x v="280"/>
            <x v="284"/>
            <x v="318"/>
            <x v="340"/>
            <x v="347"/>
            <x v="360"/>
            <x v="365"/>
            <x v="399"/>
            <x v="417"/>
            <x v="437"/>
            <x v="484"/>
            <x v="485"/>
            <x v="486"/>
          </reference>
          <reference field="2" count="1" selected="0">
            <x v="58"/>
          </reference>
        </references>
      </pivotArea>
    </format>
    <format dxfId="6096">
      <pivotArea dataOnly="0" labelOnly="1" fieldPosition="0">
        <references count="4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097">
      <pivotArea dataOnly="0" labelOnly="1" fieldPosition="0">
        <references count="4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6098">
      <pivotArea dataOnly="0" labelOnly="1" fieldPosition="0">
        <references count="4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099">
      <pivotArea dataOnly="0" labelOnly="1" fieldPosition="0">
        <references count="4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6100">
      <pivotArea dataOnly="0" labelOnly="1" fieldPosition="0">
        <references count="4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01">
      <pivotArea dataOnly="0" labelOnly="1" fieldPosition="0">
        <references count="4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6102">
      <pivotArea dataOnly="0" labelOnly="1" fieldPosition="0">
        <references count="4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03">
      <pivotArea dataOnly="0" labelOnly="1" fieldPosition="0">
        <references count="4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6104">
      <pivotArea dataOnly="0" labelOnly="1" fieldPosition="0">
        <references count="4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05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6106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107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08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09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6110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6111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6112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6113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14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15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16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6117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6118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6119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20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121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6122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123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24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6125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6126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6127">
      <pivotArea collapsedLevelsAreSubtotals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6128">
      <pivotArea collapsedLevelsAreSubtotals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6129">
      <pivotArea collapsedLevelsAreSubtotals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6130">
      <pivotArea dataOnly="0" labelOnly="1" fieldPosition="0">
        <references count="2">
          <reference field="0" count="1" selected="0">
            <x v="28"/>
          </reference>
          <reference field="2" count="1">
            <x v="65"/>
          </reference>
        </references>
      </pivotArea>
    </format>
    <format dxfId="6131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6132">
      <pivotArea dataOnly="0" labelOnly="1" fieldPosition="0">
        <references count="3">
          <reference field="0" count="1" selected="0">
            <x v="28"/>
          </reference>
          <reference field="1" count="2">
            <x v="382"/>
            <x v="487"/>
          </reference>
          <reference field="2" count="1" selected="0">
            <x v="65"/>
          </reference>
        </references>
      </pivotArea>
    </format>
    <format dxfId="6133">
      <pivotArea dataOnly="0" labelOnly="1" fieldPosition="0">
        <references count="4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>
            <x v="3"/>
          </reference>
        </references>
      </pivotArea>
    </format>
    <format dxfId="6134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6135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6136">
      <pivotArea collapsedLevelsAreSubtotals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6137">
      <pivotArea collapsedLevelsAreSubtotals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138">
      <pivotArea collapsedLevelsAreSubtotals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39">
      <pivotArea collapsedLevelsAreSubtotals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6140">
      <pivotArea dataOnly="0" labelOnly="1" fieldPosition="0">
        <references count="2">
          <reference field="0" count="1" selected="0">
            <x v="29"/>
          </reference>
          <reference field="2" count="1">
            <x v="35"/>
          </reference>
        </references>
      </pivotArea>
    </format>
    <format dxfId="6141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6142">
      <pivotArea dataOnly="0" labelOnly="1" fieldPosition="0">
        <references count="3">
          <reference field="0" count="1" selected="0">
            <x v="29"/>
          </reference>
          <reference field="1" count="3">
            <x v="165"/>
            <x v="338"/>
            <x v="418"/>
          </reference>
          <reference field="2" count="1" selected="0">
            <x v="35"/>
          </reference>
        </references>
      </pivotArea>
    </format>
    <format dxfId="6143">
      <pivotArea dataOnly="0" labelOnly="1" fieldPosition="0">
        <references count="4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>
            <x v="4"/>
          </reference>
        </references>
      </pivotArea>
    </format>
    <format dxfId="6144">
      <pivotArea dataOnly="0" labelOnly="1" fieldPosition="0">
        <references count="4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>
            <x v="3"/>
          </reference>
        </references>
      </pivotArea>
    </format>
    <format dxfId="6145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6146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147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48">
      <pivotArea collapsedLevelsAreSubtotals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149">
      <pivotArea collapsedLevelsAreSubtotals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6150">
      <pivotArea collapsedLevelsAreSubtotals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6151">
      <pivotArea dataOnly="0" labelOnly="1" fieldPosition="0">
        <references count="2">
          <reference field="0" count="1" selected="0">
            <x v="30"/>
          </reference>
          <reference field="2" count="1">
            <x v="10"/>
          </reference>
        </references>
      </pivotArea>
    </format>
    <format dxfId="6152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6153">
      <pivotArea dataOnly="0" labelOnly="1" fieldPosition="0">
        <references count="3">
          <reference field="0" count="1" selected="0">
            <x v="30"/>
          </reference>
          <reference field="1" count="2">
            <x v="57"/>
            <x v="260"/>
          </reference>
          <reference field="2" count="1" selected="0">
            <x v="10"/>
          </reference>
        </references>
      </pivotArea>
    </format>
    <format dxfId="6154">
      <pivotArea dataOnly="0" labelOnly="1" fieldPosition="0">
        <references count="4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6155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156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6157">
      <pivotArea collapsedLevelsAreSubtotals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6158">
      <pivotArea collapsedLevelsAreSubtotals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159">
      <pivotArea collapsedLevelsAreSubtotals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60">
      <pivotArea collapsedLevelsAreSubtotals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61">
      <pivotArea collapsedLevelsAreSubtotals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6162">
      <pivotArea collapsedLevelsAreSubtotals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6163">
      <pivotArea collapsedLevelsAreSubtotals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6164">
      <pivotArea collapsedLevelsAreSubtotals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6165">
      <pivotArea collapsedLevelsAreSubtotals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66">
      <pivotArea collapsedLevelsAreSubtotals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67">
      <pivotArea collapsedLevelsAreSubtotals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68">
      <pivotArea collapsedLevelsAreSubtotals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6169">
      <pivotArea collapsedLevelsAreSubtotals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6170">
      <pivotArea collapsedLevelsAreSubtotals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6171">
      <pivotArea collapsedLevelsAreSubtotals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72">
      <pivotArea collapsedLevelsAreSubtotals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173">
      <pivotArea collapsedLevelsAreSubtotals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6174">
      <pivotArea collapsedLevelsAreSubtotals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175">
      <pivotArea collapsedLevelsAreSubtotals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76">
      <pivotArea collapsedLevelsAreSubtotals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6177">
      <pivotArea collapsedLevelsAreSubtotals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6178">
      <pivotArea collapsedLevelsAreSubtotals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6179">
      <pivotArea dataOnly="0" labelOnly="1" fieldPosition="0">
        <references count="3">
          <reference field="0" count="1" selected="0">
            <x v="27"/>
          </reference>
          <reference field="1" count="22">
            <x v="5"/>
            <x v="6"/>
            <x v="26"/>
            <x v="70"/>
            <x v="116"/>
            <x v="123"/>
            <x v="160"/>
            <x v="161"/>
            <x v="198"/>
            <x v="280"/>
            <x v="284"/>
            <x v="318"/>
            <x v="340"/>
            <x v="347"/>
            <x v="360"/>
            <x v="365"/>
            <x v="399"/>
            <x v="417"/>
            <x v="437"/>
            <x v="484"/>
            <x v="485"/>
            <x v="486"/>
          </reference>
          <reference field="2" count="1" selected="0">
            <x v="58"/>
          </reference>
        </references>
      </pivotArea>
    </format>
    <format dxfId="6180">
      <pivotArea dataOnly="0" labelOnly="1" fieldPosition="0">
        <references count="4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81">
      <pivotArea dataOnly="0" labelOnly="1" fieldPosition="0">
        <references count="4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6182">
      <pivotArea dataOnly="0" labelOnly="1" fieldPosition="0">
        <references count="4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83">
      <pivotArea dataOnly="0" labelOnly="1" fieldPosition="0">
        <references count="4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6184">
      <pivotArea dataOnly="0" labelOnly="1" fieldPosition="0">
        <references count="4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85">
      <pivotArea dataOnly="0" labelOnly="1" fieldPosition="0">
        <references count="4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6186">
      <pivotArea dataOnly="0" labelOnly="1" fieldPosition="0">
        <references count="4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87">
      <pivotArea dataOnly="0" labelOnly="1" fieldPosition="0">
        <references count="4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6188">
      <pivotArea dataOnly="0" labelOnly="1" fieldPosition="0">
        <references count="4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6189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6190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6191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92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93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6194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6195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6196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6197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98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6199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00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6201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6202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8"/>
          </reference>
        </references>
      </pivotArea>
    </format>
    <format dxfId="6203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04">
      <pivotArea dataOnly="0" labelOnly="1" fieldPosition="0">
        <references count="5">
          <reference field="0" count="1" selected="0">
            <x v="27"/>
          </reference>
          <reference field="1" count="1" selected="0">
            <x v="36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205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69"/>
          </reference>
        </references>
      </pivotArea>
    </format>
    <format dxfId="6206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207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08">
      <pivotArea dataOnly="0" labelOnly="1" fieldPosition="0">
        <references count="5">
          <reference field="0" count="1" selected="0">
            <x v="27"/>
          </reference>
          <reference field="1" count="1" selected="0">
            <x v="4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0"/>
          </reference>
        </references>
      </pivotArea>
    </format>
    <format dxfId="6209">
      <pivotArea dataOnly="0" labelOnly="1" fieldPosition="0">
        <references count="5">
          <reference field="0" count="1" selected="0">
            <x v="27"/>
          </reference>
          <reference field="1" count="1" selected="0">
            <x v="48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271"/>
          </reference>
        </references>
      </pivotArea>
    </format>
    <format dxfId="6210">
      <pivotArea dataOnly="0" labelOnly="1" fieldPosition="0">
        <references count="5">
          <reference field="0" count="1" selected="0">
            <x v="27"/>
          </reference>
          <reference field="1" count="1" selected="0">
            <x v="48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6211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6212">
      <pivotArea collapsedLevelsAreSubtotals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6213">
      <pivotArea collapsedLevelsAreSubtotals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6214">
      <pivotArea dataOnly="0" labelOnly="1" fieldPosition="0">
        <references count="3">
          <reference field="0" count="1" selected="0">
            <x v="28"/>
          </reference>
          <reference field="1" count="2">
            <x v="382"/>
            <x v="487"/>
          </reference>
          <reference field="2" count="1" selected="0">
            <x v="65"/>
          </reference>
        </references>
      </pivotArea>
    </format>
    <format dxfId="6215">
      <pivotArea dataOnly="0" labelOnly="1" fieldPosition="0">
        <references count="4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>
            <x v="3"/>
          </reference>
        </references>
      </pivotArea>
    </format>
    <format dxfId="6216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2"/>
          </reference>
        </references>
      </pivotArea>
    </format>
    <format dxfId="6217">
      <pivotArea dataOnly="0" labelOnly="1" fieldPosition="0">
        <references count="5">
          <reference field="0" count="1" selected="0">
            <x v="28"/>
          </reference>
          <reference field="1" count="1" selected="0">
            <x v="487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273"/>
          </reference>
        </references>
      </pivotArea>
    </format>
    <format dxfId="6218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6219">
      <pivotArea collapsedLevelsAreSubtotals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6220">
      <pivotArea collapsedLevelsAreSubtotals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221">
      <pivotArea collapsedLevelsAreSubtotals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22">
      <pivotArea dataOnly="0" labelOnly="1" fieldPosition="0">
        <references count="3">
          <reference field="0" count="1" selected="0">
            <x v="29"/>
          </reference>
          <reference field="1" count="3">
            <x v="165"/>
            <x v="338"/>
            <x v="418"/>
          </reference>
          <reference field="2" count="1" selected="0">
            <x v="35"/>
          </reference>
        </references>
      </pivotArea>
    </format>
    <format dxfId="6223">
      <pivotArea dataOnly="0" labelOnly="1" fieldPosition="0">
        <references count="4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>
            <x v="4"/>
          </reference>
        </references>
      </pivotArea>
    </format>
    <format dxfId="6224">
      <pivotArea dataOnly="0" labelOnly="1" fieldPosition="0">
        <references count="4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>
            <x v="3"/>
          </reference>
        </references>
      </pivotArea>
    </format>
    <format dxfId="6225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6226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6227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28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6229">
      <pivotArea collapsedLevelsAreSubtotals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230">
      <pivotArea collapsedLevelsAreSubtotals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6231">
      <pivotArea dataOnly="0" labelOnly="1" fieldPosition="0">
        <references count="3">
          <reference field="0" count="1" selected="0">
            <x v="30"/>
          </reference>
          <reference field="1" count="2">
            <x v="57"/>
            <x v="260"/>
          </reference>
          <reference field="2" count="1" selected="0">
            <x v="10"/>
          </reference>
        </references>
      </pivotArea>
    </format>
    <format dxfId="6232">
      <pivotArea dataOnly="0" labelOnly="1" fieldPosition="0">
        <references count="4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6233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234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6235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6236">
      <pivotArea collapsedLevelsAreSubtotals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237">
      <pivotArea collapsedLevelsAreSubtotals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6238">
      <pivotArea collapsedLevelsAreSubtotals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6239">
      <pivotArea collapsedLevelsAreSubtotals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6240">
      <pivotArea collapsedLevelsAreSubtotals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6241">
      <pivotArea collapsedLevelsAreSubtotals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6242">
      <pivotArea collapsedLevelsAreSubtotals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6243">
      <pivotArea collapsedLevelsAreSubtotals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6244">
      <pivotArea dataOnly="0" labelOnly="1" fieldPosition="0">
        <references count="2">
          <reference field="0" count="1" selected="0">
            <x v="31"/>
          </reference>
          <reference field="2" count="1">
            <x v="38"/>
          </reference>
        </references>
      </pivotArea>
    </format>
    <format dxfId="6245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6246">
      <pivotArea dataOnly="0" labelOnly="1" fieldPosition="0">
        <references count="3">
          <reference field="0" count="1" selected="0">
            <x v="31"/>
          </reference>
          <reference field="1" count="7">
            <x v="11"/>
            <x v="67"/>
            <x v="427"/>
            <x v="447"/>
            <x v="488"/>
            <x v="489"/>
            <x v="490"/>
          </reference>
          <reference field="2" count="1" selected="0">
            <x v="38"/>
          </reference>
        </references>
      </pivotArea>
    </format>
    <format dxfId="6247">
      <pivotArea dataOnly="0" labelOnly="1" fieldPosition="0">
        <references count="4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6248">
      <pivotArea dataOnly="0" labelOnly="1" fieldPosition="0">
        <references count="4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>
            <x v="4"/>
          </reference>
        </references>
      </pivotArea>
    </format>
    <format dxfId="6249">
      <pivotArea dataOnly="0" labelOnly="1" fieldPosition="0">
        <references count="4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6250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251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6252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6253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6254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6255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6256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6257">
      <pivotArea collapsedLevelsAreSubtotals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58">
      <pivotArea collapsedLevelsAreSubtotals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6259">
      <pivotArea dataOnly="0" labelOnly="1" fieldPosition="0">
        <references count="2">
          <reference field="0" count="1" selected="0">
            <x v="32"/>
          </reference>
          <reference field="2" count="1">
            <x v="18"/>
          </reference>
        </references>
      </pivotArea>
    </format>
    <format dxfId="6260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6261">
      <pivotArea dataOnly="0" labelOnly="1" fieldPosition="0">
        <references count="3">
          <reference field="0" count="1" selected="0">
            <x v="32"/>
          </reference>
          <reference field="1" count="1">
            <x v="431"/>
          </reference>
          <reference field="2" count="1" selected="0">
            <x v="18"/>
          </reference>
        </references>
      </pivotArea>
    </format>
    <format dxfId="6262">
      <pivotArea dataOnly="0" labelOnly="1" fieldPosition="0">
        <references count="4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>
            <x v="3"/>
          </reference>
        </references>
      </pivotArea>
    </format>
    <format dxfId="6263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264">
      <pivotArea collapsedLevelsAreSubtotals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6265">
      <pivotArea collapsedLevelsAreSubtotals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6266">
      <pivotArea collapsedLevelsAreSubtotals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6267">
      <pivotArea collapsedLevelsAreSubtotals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6268">
      <pivotArea collapsedLevelsAreSubtotals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6269">
      <pivotArea dataOnly="0" labelOnly="1" fieldPosition="0">
        <references count="2">
          <reference field="0" count="1" selected="0">
            <x v="33"/>
          </reference>
          <reference field="2" count="1">
            <x v="57"/>
          </reference>
        </references>
      </pivotArea>
    </format>
    <format dxfId="6270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6271">
      <pivotArea dataOnly="0" labelOnly="1" fieldPosition="0">
        <references count="3">
          <reference field="0" count="1" selected="0">
            <x v="33"/>
          </reference>
          <reference field="1" count="4">
            <x v="47"/>
            <x v="74"/>
            <x v="168"/>
            <x v="209"/>
          </reference>
          <reference field="2" count="1" selected="0">
            <x v="57"/>
          </reference>
        </references>
      </pivotArea>
    </format>
    <format dxfId="6272">
      <pivotArea dataOnly="0" labelOnly="1" fieldPosition="0">
        <references count="4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6273">
      <pivotArea dataOnly="0" labelOnly="1" fieldPosition="0">
        <references count="4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>
            <x v="0"/>
          </reference>
        </references>
      </pivotArea>
    </format>
    <format dxfId="6274">
      <pivotArea dataOnly="0" labelOnly="1" fieldPosition="0">
        <references count="4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6275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6276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6277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6278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6279">
      <pivotArea collapsedLevelsAreSubtotals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6280">
      <pivotArea collapsedLevelsAreSubtotals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6281">
      <pivotArea collapsedLevelsAreSubtotals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6282">
      <pivotArea collapsedLevelsAreSubtotals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6283">
      <pivotArea dataOnly="0" labelOnly="1" fieldPosition="0">
        <references count="2">
          <reference field="0" count="1" selected="0">
            <x v="34"/>
          </reference>
          <reference field="2" count="1">
            <x v="55"/>
          </reference>
        </references>
      </pivotArea>
    </format>
    <format dxfId="6284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6285">
      <pivotArea dataOnly="0" labelOnly="1" fieldPosition="0">
        <references count="3">
          <reference field="0" count="1" selected="0">
            <x v="34"/>
          </reference>
          <reference field="1" count="3">
            <x v="109"/>
            <x v="296"/>
            <x v="301"/>
          </reference>
          <reference field="2" count="1" selected="0">
            <x v="55"/>
          </reference>
        </references>
      </pivotArea>
    </format>
    <format dxfId="6286">
      <pivotArea dataOnly="0" labelOnly="1" fieldPosition="0">
        <references count="4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>
            <x v="3"/>
          </reference>
        </references>
      </pivotArea>
    </format>
    <format dxfId="6287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6288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6289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6290">
      <pivotArea collapsedLevelsAreSubtotals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6291">
      <pivotArea collapsedLevelsAreSubtotals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6292">
      <pivotArea collapsedLevelsAreSubtotals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6293">
      <pivotArea collapsedLevelsAreSubtotals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6294">
      <pivotArea collapsedLevelsAreSubtotals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295">
      <pivotArea collapsedLevelsAreSubtotals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6296">
      <pivotArea collapsedLevelsAreSubtotals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6297">
      <pivotArea collapsedLevelsAreSubtotals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6298">
      <pivotArea collapsedLevelsAreSubtotals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6299">
      <pivotArea collapsedLevelsAreSubtotals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6300">
      <pivotArea dataOnly="0" labelOnly="1" fieldPosition="0">
        <references count="2">
          <reference field="0" count="1" selected="0">
            <x v="35"/>
          </reference>
          <reference field="2" count="1">
            <x v="61"/>
          </reference>
        </references>
      </pivotArea>
    </format>
    <format dxfId="6301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6302">
      <pivotArea dataOnly="0" labelOnly="1" fieldPosition="0">
        <references count="3">
          <reference field="0" count="1" selected="0">
            <x v="35"/>
          </reference>
          <reference field="1" count="9">
            <x v="320"/>
            <x v="343"/>
            <x v="395"/>
            <x v="438"/>
            <x v="491"/>
            <x v="492"/>
            <x v="493"/>
            <x v="494"/>
            <x v="495"/>
          </reference>
          <reference field="2" count="1" selected="0">
            <x v="61"/>
          </reference>
        </references>
      </pivotArea>
    </format>
    <format dxfId="6303">
      <pivotArea dataOnly="0" labelOnly="1" fieldPosition="0">
        <references count="4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6304">
      <pivotArea dataOnly="0" labelOnly="1" fieldPosition="0">
        <references count="4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>
            <x v="0"/>
          </reference>
        </references>
      </pivotArea>
    </format>
    <format dxfId="6305">
      <pivotArea dataOnly="0" labelOnly="1" fieldPosition="0">
        <references count="4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6306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6307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6308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6309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6310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311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6312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6313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6314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6315">
      <pivotArea collapsedLevelsAreSubtotals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6316">
      <pivotArea collapsedLevelsAreSubtotals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317">
      <pivotArea collapsedLevelsAreSubtotals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6318">
      <pivotArea collapsedLevelsAreSubtotals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6319">
      <pivotArea dataOnly="0" labelOnly="1" fieldPosition="0">
        <references count="2">
          <reference field="0" count="1" selected="0">
            <x v="36"/>
          </reference>
          <reference field="2" count="1">
            <x v="19"/>
          </reference>
        </references>
      </pivotArea>
    </format>
    <format dxfId="6320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6321">
      <pivotArea dataOnly="0" labelOnly="1" fieldPosition="0">
        <references count="3">
          <reference field="0" count="1" selected="0">
            <x v="36"/>
          </reference>
          <reference field="1" count="3">
            <x v="226"/>
            <x v="337"/>
            <x v="496"/>
          </reference>
          <reference field="2" count="1" selected="0">
            <x v="19"/>
          </reference>
        </references>
      </pivotArea>
    </format>
    <format dxfId="6322">
      <pivotArea dataOnly="0" labelOnly="1" fieldPosition="0">
        <references count="4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>
            <x v="3"/>
          </reference>
        </references>
      </pivotArea>
    </format>
    <format dxfId="6323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6324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325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6326">
      <pivotArea collapsedLevelsAreSubtotals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327">
      <pivotArea collapsedLevelsAreSubtotals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6328">
      <pivotArea collapsedLevelsAreSubtotals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6329">
      <pivotArea collapsedLevelsAreSubtotals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6330">
      <pivotArea collapsedLevelsAreSubtotals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6331">
      <pivotArea collapsedLevelsAreSubtotals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6332">
      <pivotArea collapsedLevelsAreSubtotals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6333">
      <pivotArea dataOnly="0" labelOnly="1" fieldPosition="0">
        <references count="3">
          <reference field="0" count="1" selected="0">
            <x v="31"/>
          </reference>
          <reference field="1" count="7">
            <x v="11"/>
            <x v="67"/>
            <x v="427"/>
            <x v="447"/>
            <x v="488"/>
            <x v="489"/>
            <x v="490"/>
          </reference>
          <reference field="2" count="1" selected="0">
            <x v="38"/>
          </reference>
        </references>
      </pivotArea>
    </format>
    <format dxfId="6334">
      <pivotArea dataOnly="0" labelOnly="1" fieldPosition="0">
        <references count="4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6335">
      <pivotArea dataOnly="0" labelOnly="1" fieldPosition="0">
        <references count="4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>
            <x v="4"/>
          </reference>
        </references>
      </pivotArea>
    </format>
    <format dxfId="6336">
      <pivotArea dataOnly="0" labelOnly="1" fieldPosition="0">
        <references count="4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6337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338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6339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4"/>
          </reference>
        </references>
      </pivotArea>
    </format>
    <format dxfId="6340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6341">
      <pivotArea dataOnly="0" labelOnly="1" fieldPosition="0">
        <references count="5">
          <reference field="0" count="1" selected="0">
            <x v="31"/>
          </reference>
          <reference field="1" count="1" selected="0">
            <x v="488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5"/>
          </reference>
        </references>
      </pivotArea>
    </format>
    <format dxfId="6342">
      <pivotArea dataOnly="0" labelOnly="1" fieldPosition="0">
        <references count="5">
          <reference field="0" count="1" selected="0">
            <x v="31"/>
          </reference>
          <reference field="1" count="1" selected="0">
            <x v="489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6"/>
          </reference>
        </references>
      </pivotArea>
    </format>
    <format dxfId="6343">
      <pivotArea dataOnly="0" labelOnly="1" fieldPosition="0">
        <references count="5">
          <reference field="0" count="1" selected="0">
            <x v="31"/>
          </reference>
          <reference field="1" count="1" selected="0">
            <x v="490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277"/>
          </reference>
        </references>
      </pivotArea>
    </format>
    <format dxfId="6344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6345">
      <pivotArea collapsedLevelsAreSubtotals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346">
      <pivotArea dataOnly="0" labelOnly="1" fieldPosition="0">
        <references count="3">
          <reference field="0" count="1" selected="0">
            <x v="32"/>
          </reference>
          <reference field="1" count="1">
            <x v="431"/>
          </reference>
          <reference field="2" count="1" selected="0">
            <x v="18"/>
          </reference>
        </references>
      </pivotArea>
    </format>
    <format dxfId="6347">
      <pivotArea dataOnly="0" labelOnly="1" fieldPosition="0">
        <references count="4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>
            <x v="3"/>
          </reference>
        </references>
      </pivotArea>
    </format>
    <format dxfId="6348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349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6350">
      <pivotArea collapsedLevelsAreSubtotals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6351">
      <pivotArea collapsedLevelsAreSubtotals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6352">
      <pivotArea collapsedLevelsAreSubtotals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6353">
      <pivotArea collapsedLevelsAreSubtotals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6354">
      <pivotArea dataOnly="0" labelOnly="1" fieldPosition="0">
        <references count="3">
          <reference field="0" count="1" selected="0">
            <x v="33"/>
          </reference>
          <reference field="1" count="4">
            <x v="47"/>
            <x v="74"/>
            <x v="168"/>
            <x v="209"/>
          </reference>
          <reference field="2" count="1" selected="0">
            <x v="57"/>
          </reference>
        </references>
      </pivotArea>
    </format>
    <format dxfId="6355">
      <pivotArea dataOnly="0" labelOnly="1" fieldPosition="0">
        <references count="4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6356">
      <pivotArea dataOnly="0" labelOnly="1" fieldPosition="0">
        <references count="4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>
            <x v="0"/>
          </reference>
        </references>
      </pivotArea>
    </format>
    <format dxfId="6357">
      <pivotArea dataOnly="0" labelOnly="1" fieldPosition="0">
        <references count="4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6358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8"/>
          </reference>
        </references>
      </pivotArea>
    </format>
    <format dxfId="6359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279"/>
          </reference>
        </references>
      </pivotArea>
    </format>
    <format dxfId="6360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80"/>
          </reference>
        </references>
      </pivotArea>
    </format>
    <format dxfId="6361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279"/>
          </reference>
        </references>
      </pivotArea>
    </format>
    <format dxfId="6362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6363">
      <pivotArea collapsedLevelsAreSubtotals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6364">
      <pivotArea collapsedLevelsAreSubtotals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6365">
      <pivotArea collapsedLevelsAreSubtotals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6366">
      <pivotArea dataOnly="0" labelOnly="1" fieldPosition="0">
        <references count="3">
          <reference field="0" count="1" selected="0">
            <x v="34"/>
          </reference>
          <reference field="1" count="3">
            <x v="109"/>
            <x v="296"/>
            <x v="301"/>
          </reference>
          <reference field="2" count="1" selected="0">
            <x v="55"/>
          </reference>
        </references>
      </pivotArea>
    </format>
    <format dxfId="6367">
      <pivotArea dataOnly="0" labelOnly="1" fieldPosition="0">
        <references count="4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>
            <x v="3"/>
          </reference>
        </references>
      </pivotArea>
    </format>
    <format dxfId="6368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6369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281"/>
          </reference>
        </references>
      </pivotArea>
    </format>
    <format dxfId="6370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6371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6372">
      <pivotArea collapsedLevelsAreSubtotals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6373">
      <pivotArea collapsedLevelsAreSubtotals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6374">
      <pivotArea collapsedLevelsAreSubtotals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6375">
      <pivotArea collapsedLevelsAreSubtotals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6376">
      <pivotArea collapsedLevelsAreSubtotals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377">
      <pivotArea collapsedLevelsAreSubtotals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6378">
      <pivotArea collapsedLevelsAreSubtotals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6379">
      <pivotArea collapsedLevelsAreSubtotals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6380">
      <pivotArea collapsedLevelsAreSubtotals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6381">
      <pivotArea dataOnly="0" labelOnly="1" fieldPosition="0">
        <references count="3">
          <reference field="0" count="1" selected="0">
            <x v="35"/>
          </reference>
          <reference field="1" count="9">
            <x v="320"/>
            <x v="343"/>
            <x v="395"/>
            <x v="438"/>
            <x v="491"/>
            <x v="492"/>
            <x v="493"/>
            <x v="494"/>
            <x v="495"/>
          </reference>
          <reference field="2" count="1" selected="0">
            <x v="61"/>
          </reference>
        </references>
      </pivotArea>
    </format>
    <format dxfId="6382">
      <pivotArea dataOnly="0" labelOnly="1" fieldPosition="0">
        <references count="4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6383">
      <pivotArea dataOnly="0" labelOnly="1" fieldPosition="0">
        <references count="4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>
            <x v="0"/>
          </reference>
        </references>
      </pivotArea>
    </format>
    <format dxfId="6384">
      <pivotArea dataOnly="0" labelOnly="1" fieldPosition="0">
        <references count="4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6385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6386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6387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6388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6389">
      <pivotArea dataOnly="0" labelOnly="1" fieldPosition="0">
        <references count="5">
          <reference field="0" count="1" selected="0">
            <x v="35"/>
          </reference>
          <reference field="1" count="1" selected="0">
            <x v="491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390">
      <pivotArea dataOnly="0" labelOnly="1" fieldPosition="0">
        <references count="5">
          <reference field="0" count="1" selected="0">
            <x v="35"/>
          </reference>
          <reference field="1" count="1" selected="0">
            <x v="492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2"/>
          </reference>
        </references>
      </pivotArea>
    </format>
    <format dxfId="6391">
      <pivotArea dataOnly="0" labelOnly="1" fieldPosition="0">
        <references count="5">
          <reference field="0" count="1" selected="0">
            <x v="35"/>
          </reference>
          <reference field="1" count="1" selected="0">
            <x v="49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3"/>
          </reference>
        </references>
      </pivotArea>
    </format>
    <format dxfId="6392">
      <pivotArea dataOnly="0" labelOnly="1" fieldPosition="0">
        <references count="5">
          <reference field="0" count="1" selected="0">
            <x v="35"/>
          </reference>
          <reference field="1" count="1" selected="0">
            <x v="494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4"/>
          </reference>
        </references>
      </pivotArea>
    </format>
    <format dxfId="6393">
      <pivotArea dataOnly="0" labelOnly="1" fieldPosition="0">
        <references count="5">
          <reference field="0" count="1" selected="0">
            <x v="35"/>
          </reference>
          <reference field="1" count="1" selected="0">
            <x v="495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285"/>
          </reference>
        </references>
      </pivotArea>
    </format>
    <format dxfId="6394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6395">
      <pivotArea collapsedLevelsAreSubtotals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6396">
      <pivotArea collapsedLevelsAreSubtotals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397">
      <pivotArea collapsedLevelsAreSubtotals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6398">
      <pivotArea dataOnly="0" labelOnly="1" fieldPosition="0">
        <references count="3">
          <reference field="0" count="1" selected="0">
            <x v="36"/>
          </reference>
          <reference field="1" count="3">
            <x v="226"/>
            <x v="337"/>
            <x v="496"/>
          </reference>
          <reference field="2" count="1" selected="0">
            <x v="19"/>
          </reference>
        </references>
      </pivotArea>
    </format>
    <format dxfId="6399">
      <pivotArea dataOnly="0" labelOnly="1" fieldPosition="0">
        <references count="4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>
            <x v="3"/>
          </reference>
        </references>
      </pivotArea>
    </format>
    <format dxfId="6400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6401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6402">
      <pivotArea dataOnly="0" labelOnly="1" fieldPosition="0">
        <references count="5">
          <reference field="0" count="1" selected="0">
            <x v="36"/>
          </reference>
          <reference field="1" count="1" selected="0">
            <x v="49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286"/>
          </reference>
        </references>
      </pivotArea>
    </format>
    <format dxfId="6403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6404">
      <pivotArea collapsedLevelsAreSubtotals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6405">
      <pivotArea collapsedLevelsAreSubtotals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6406">
      <pivotArea collapsedLevelsAreSubtotals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407">
      <pivotArea collapsedLevelsAreSubtotals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408">
      <pivotArea collapsedLevelsAreSubtotals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6409">
      <pivotArea collapsedLevelsAreSubtotals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410">
      <pivotArea collapsedLevelsAreSubtotals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11">
      <pivotArea collapsedLevelsAreSubtotals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412">
      <pivotArea collapsedLevelsAreSubtotals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413">
      <pivotArea collapsedLevelsAreSubtotals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6414">
      <pivotArea collapsedLevelsAreSubtotals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6415">
      <pivotArea dataOnly="0" labelOnly="1" fieldPosition="0">
        <references count="2">
          <reference field="0" count="1" selected="0">
            <x v="37"/>
          </reference>
          <reference field="2" count="1">
            <x v="3"/>
          </reference>
        </references>
      </pivotArea>
    </format>
    <format dxfId="6416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6417">
      <pivotArea dataOnly="0" labelOnly="1" fieldPosition="0">
        <references count="3">
          <reference field="0" count="1" selected="0">
            <x v="37"/>
          </reference>
          <reference field="1" count="10">
            <x v="63"/>
            <x v="151"/>
            <x v="152"/>
            <x v="234"/>
            <x v="310"/>
            <x v="323"/>
            <x v="379"/>
            <x v="424"/>
            <x v="425"/>
            <x v="428"/>
          </reference>
          <reference field="2" count="1" selected="0">
            <x v="3"/>
          </reference>
        </references>
      </pivotArea>
    </format>
    <format dxfId="6418">
      <pivotArea dataOnly="0" labelOnly="1" fieldPosition="0">
        <references count="4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419">
      <pivotArea dataOnly="0" labelOnly="1" fieldPosition="0">
        <references count="4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6420">
      <pivotArea dataOnly="0" labelOnly="1" fieldPosition="0">
        <references count="4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421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6422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6423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424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425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6426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427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28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429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430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6431">
      <pivotArea collapsedLevelsAreSubtotals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6432">
      <pivotArea collapsedLevelsAreSubtotals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6433">
      <pivotArea collapsedLevelsAreSubtotals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434">
      <pivotArea collapsedLevelsAreSubtotals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435">
      <pivotArea collapsedLevelsAreSubtotals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6436">
      <pivotArea collapsedLevelsAreSubtotals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437">
      <pivotArea collapsedLevelsAreSubtotals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38">
      <pivotArea collapsedLevelsAreSubtotals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439">
      <pivotArea collapsedLevelsAreSubtotals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440">
      <pivotArea collapsedLevelsAreSubtotals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6441">
      <pivotArea dataOnly="0" labelOnly="1" fieldPosition="0">
        <references count="3">
          <reference field="0" count="1" selected="0">
            <x v="37"/>
          </reference>
          <reference field="1" count="10">
            <x v="63"/>
            <x v="151"/>
            <x v="152"/>
            <x v="234"/>
            <x v="310"/>
            <x v="323"/>
            <x v="379"/>
            <x v="424"/>
            <x v="425"/>
            <x v="428"/>
          </reference>
          <reference field="2" count="1" selected="0">
            <x v="3"/>
          </reference>
        </references>
      </pivotArea>
    </format>
    <format dxfId="6442">
      <pivotArea dataOnly="0" labelOnly="1" fieldPosition="0">
        <references count="4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443">
      <pivotArea dataOnly="0" labelOnly="1" fieldPosition="0">
        <references count="4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6444">
      <pivotArea dataOnly="0" labelOnly="1" fieldPosition="0">
        <references count="4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445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7"/>
          </reference>
        </references>
      </pivotArea>
    </format>
    <format dxfId="6446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6447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448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449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8"/>
          </reference>
        </references>
      </pivotArea>
    </format>
    <format dxfId="6450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451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52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453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454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289"/>
          </reference>
        </references>
      </pivotArea>
    </format>
    <format dxfId="6455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6456">
      <pivotArea collapsedLevelsAreSubtotals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6457">
      <pivotArea collapsedLevelsAreSubtotals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458">
      <pivotArea collapsedLevelsAreSubtotals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459">
      <pivotArea collapsedLevelsAreSubtotals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460">
      <pivotArea collapsedLevelsAreSubtotals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461">
      <pivotArea collapsedLevelsAreSubtotals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462">
      <pivotArea collapsedLevelsAreSubtotals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463">
      <pivotArea collapsedLevelsAreSubtotals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464">
      <pivotArea collapsedLevelsAreSubtotals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6465">
      <pivotArea collapsedLevelsAreSubtotals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466">
      <pivotArea collapsedLevelsAreSubtotals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467">
      <pivotArea collapsedLevelsAreSubtotals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468">
      <pivotArea collapsedLevelsAreSubtotals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469">
      <pivotArea collapsedLevelsAreSubtotals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470">
      <pivotArea collapsedLevelsAreSubtotals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471">
      <pivotArea collapsedLevelsAreSubtotals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472">
      <pivotArea collapsedLevelsAreSubtotals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473">
      <pivotArea collapsedLevelsAreSubtotals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474">
      <pivotArea collapsedLevelsAreSubtotals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475">
      <pivotArea collapsedLevelsAreSubtotals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476">
      <pivotArea collapsedLevelsAreSubtotals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77">
      <pivotArea collapsedLevelsAreSubtotals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78">
      <pivotArea collapsedLevelsAreSubtotals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479">
      <pivotArea collapsedLevelsAreSubtotals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480">
      <pivotArea collapsedLevelsAreSubtotals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481">
      <pivotArea collapsedLevelsAreSubtotals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482">
      <pivotArea collapsedLevelsAreSubtotals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6483">
      <pivotArea collapsedLevelsAreSubtotals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6484">
      <pivotArea collapsedLevelsAreSubtotals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6485">
      <pivotArea collapsedLevelsAreSubtotals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6486">
      <pivotArea collapsedLevelsAreSubtotals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87">
      <pivotArea collapsedLevelsAreSubtotals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488">
      <pivotArea collapsedLevelsAreSubtotals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6489">
      <pivotArea collapsedLevelsAreSubtotals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6490">
      <pivotArea collapsedLevelsAreSubtotals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6491">
      <pivotArea collapsedLevelsAreSubtotals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6492">
      <pivotArea collapsedLevelsAreSubtotals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6493">
      <pivotArea collapsedLevelsAreSubtotals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6494">
      <pivotArea collapsedLevelsAreSubtotals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6495">
      <pivotArea collapsedLevelsAreSubtotals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6496">
      <pivotArea collapsedLevelsAreSubtotals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497">
      <pivotArea dataOnly="0" labelOnly="1" fieldPosition="0">
        <references count="2">
          <reference field="0" count="1" selected="0">
            <x v="38"/>
          </reference>
          <reference field="2" count="1">
            <x v="62"/>
          </reference>
        </references>
      </pivotArea>
    </format>
    <format dxfId="6498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499">
      <pivotArea dataOnly="0" labelOnly="1" fieldPosition="0">
        <references count="3">
          <reference field="0" count="1" selected="0">
            <x v="38"/>
          </reference>
          <reference field="1" count="40">
            <x v="0"/>
            <x v="18"/>
            <x v="30"/>
            <x v="31"/>
            <x v="33"/>
            <x v="34"/>
            <x v="53"/>
            <x v="55"/>
            <x v="87"/>
            <x v="92"/>
            <x v="95"/>
            <x v="103"/>
            <x v="107"/>
            <x v="108"/>
            <x v="204"/>
            <x v="207"/>
            <x v="223"/>
            <x v="266"/>
            <x v="304"/>
            <x v="322"/>
            <x v="353"/>
            <x v="354"/>
            <x v="371"/>
            <x v="390"/>
            <x v="407"/>
            <x v="408"/>
            <x v="409"/>
            <x v="413"/>
            <x v="414"/>
            <x v="415"/>
            <x v="442"/>
            <x v="444"/>
            <x v="497"/>
            <x v="498"/>
            <x v="499"/>
            <x v="500"/>
            <x v="501"/>
            <x v="502"/>
            <x v="503"/>
            <x v="504"/>
          </reference>
          <reference field="2" count="1" selected="0">
            <x v="62"/>
          </reference>
        </references>
      </pivotArea>
    </format>
    <format dxfId="6500">
      <pivotArea dataOnly="0" labelOnly="1" fieldPosition="0">
        <references count="4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01">
      <pivotArea dataOnly="0" labelOnly="1" fieldPosition="0">
        <references count="4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02">
      <pivotArea dataOnly="0" labelOnly="1" fieldPosition="0">
        <references count="4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03">
      <pivotArea dataOnly="0" labelOnly="1" fieldPosition="0">
        <references count="4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04">
      <pivotArea dataOnly="0" labelOnly="1" fieldPosition="0">
        <references count="4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05">
      <pivotArea dataOnly="0" labelOnly="1" fieldPosition="0">
        <references count="4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06">
      <pivotArea dataOnly="0" labelOnly="1" fieldPosition="0">
        <references count="4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07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6508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509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510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511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512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513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514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515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6516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517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518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519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520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521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522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523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524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525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526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527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28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29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530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531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532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533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6534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6535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6536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6537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38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539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6540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6541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6542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6543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6544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6545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6546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6547">
      <pivotArea collapsedLevelsAreSubtotals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548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549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550">
      <pivotArea collapsedLevelsAreSubtotals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6551">
      <pivotArea collapsedLevelsAreSubtotals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552">
      <pivotArea collapsedLevelsAreSubtotals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553">
      <pivotArea collapsedLevelsAreSubtotals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554">
      <pivotArea collapsedLevelsAreSubtotals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555">
      <pivotArea collapsedLevelsAreSubtotals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556">
      <pivotArea collapsedLevelsAreSubtotals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557">
      <pivotArea collapsedLevelsAreSubtotals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558">
      <pivotArea collapsedLevelsAreSubtotals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6559">
      <pivotArea collapsedLevelsAreSubtotals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560">
      <pivotArea collapsedLevelsAreSubtotals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561">
      <pivotArea collapsedLevelsAreSubtotals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562">
      <pivotArea collapsedLevelsAreSubtotals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563">
      <pivotArea collapsedLevelsAreSubtotals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564">
      <pivotArea collapsedLevelsAreSubtotals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565">
      <pivotArea collapsedLevelsAreSubtotals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566">
      <pivotArea collapsedLevelsAreSubtotals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567">
      <pivotArea collapsedLevelsAreSubtotals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568">
      <pivotArea collapsedLevelsAreSubtotals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569">
      <pivotArea collapsedLevelsAreSubtotals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570">
      <pivotArea collapsedLevelsAreSubtotals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71">
      <pivotArea collapsedLevelsAreSubtotals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72">
      <pivotArea collapsedLevelsAreSubtotals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573">
      <pivotArea collapsedLevelsAreSubtotals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574">
      <pivotArea collapsedLevelsAreSubtotals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575">
      <pivotArea collapsedLevelsAreSubtotals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576">
      <pivotArea collapsedLevelsAreSubtotals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6577">
      <pivotArea collapsedLevelsAreSubtotals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6578">
      <pivotArea collapsedLevelsAreSubtotals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6579">
      <pivotArea collapsedLevelsAreSubtotals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6580">
      <pivotArea collapsedLevelsAreSubtotals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81">
      <pivotArea collapsedLevelsAreSubtotals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582">
      <pivotArea collapsedLevelsAreSubtotals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6583">
      <pivotArea collapsedLevelsAreSubtotals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6584">
      <pivotArea collapsedLevelsAreSubtotals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6585">
      <pivotArea collapsedLevelsAreSubtotals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6586">
      <pivotArea collapsedLevelsAreSubtotals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6587">
      <pivotArea collapsedLevelsAreSubtotals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6588">
      <pivotArea collapsedLevelsAreSubtotals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6589">
      <pivotArea collapsedLevelsAreSubtotals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6590">
      <pivotArea dataOnly="0" labelOnly="1" fieldPosition="0">
        <references count="3">
          <reference field="0" count="1" selected="0">
            <x v="38"/>
          </reference>
          <reference field="1" count="40">
            <x v="0"/>
            <x v="18"/>
            <x v="30"/>
            <x v="31"/>
            <x v="33"/>
            <x v="34"/>
            <x v="53"/>
            <x v="55"/>
            <x v="87"/>
            <x v="92"/>
            <x v="95"/>
            <x v="103"/>
            <x v="107"/>
            <x v="108"/>
            <x v="204"/>
            <x v="207"/>
            <x v="223"/>
            <x v="266"/>
            <x v="304"/>
            <x v="322"/>
            <x v="353"/>
            <x v="354"/>
            <x v="371"/>
            <x v="390"/>
            <x v="407"/>
            <x v="408"/>
            <x v="409"/>
            <x v="413"/>
            <x v="414"/>
            <x v="415"/>
            <x v="442"/>
            <x v="444"/>
            <x v="497"/>
            <x v="498"/>
            <x v="499"/>
            <x v="500"/>
            <x v="501"/>
            <x v="502"/>
            <x v="503"/>
            <x v="504"/>
          </reference>
          <reference field="2" count="1" selected="0">
            <x v="62"/>
          </reference>
        </references>
      </pivotArea>
    </format>
    <format dxfId="6591">
      <pivotArea dataOnly="0" labelOnly="1" fieldPosition="0">
        <references count="4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92">
      <pivotArea dataOnly="0" labelOnly="1" fieldPosition="0">
        <references count="4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93">
      <pivotArea dataOnly="0" labelOnly="1" fieldPosition="0">
        <references count="4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94">
      <pivotArea dataOnly="0" labelOnly="1" fieldPosition="0">
        <references count="4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95">
      <pivotArea dataOnly="0" labelOnly="1" fieldPosition="0">
        <references count="4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96">
      <pivotArea dataOnly="0" labelOnly="1" fieldPosition="0">
        <references count="4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597">
      <pivotArea dataOnly="0" labelOnly="1" fieldPosition="0">
        <references count="4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598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0"/>
          </reference>
        </references>
      </pivotArea>
    </format>
    <format dxfId="6599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600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01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602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603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604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605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606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1"/>
          </reference>
        </references>
      </pivotArea>
    </format>
    <format dxfId="6607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608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609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610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611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612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613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614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615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616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617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618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619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620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621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622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623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624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6625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6626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6627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6628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629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630">
      <pivotArea dataOnly="0" labelOnly="1" fieldPosition="0">
        <references count="5">
          <reference field="0" count="1" selected="0">
            <x v="38"/>
          </reference>
          <reference field="1" count="1" selected="0">
            <x v="49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2"/>
          </reference>
        </references>
      </pivotArea>
    </format>
    <format dxfId="6631">
      <pivotArea dataOnly="0" labelOnly="1" fieldPosition="0">
        <references count="5">
          <reference field="0" count="1" selected="0">
            <x v="38"/>
          </reference>
          <reference field="1" count="1" selected="0">
            <x v="49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3"/>
          </reference>
        </references>
      </pivotArea>
    </format>
    <format dxfId="6632">
      <pivotArea dataOnly="0" labelOnly="1" fieldPosition="0">
        <references count="5">
          <reference field="0" count="1" selected="0">
            <x v="38"/>
          </reference>
          <reference field="1" count="1" selected="0">
            <x v="49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4"/>
          </reference>
        </references>
      </pivotArea>
    </format>
    <format dxfId="6633">
      <pivotArea dataOnly="0" labelOnly="1" fieldPosition="0">
        <references count="5">
          <reference field="0" count="1" selected="0">
            <x v="38"/>
          </reference>
          <reference field="1" count="1" selected="0">
            <x v="50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5"/>
          </reference>
        </references>
      </pivotArea>
    </format>
    <format dxfId="6634">
      <pivotArea dataOnly="0" labelOnly="1" fieldPosition="0">
        <references count="5">
          <reference field="0" count="1" selected="0">
            <x v="38"/>
          </reference>
          <reference field="1" count="1" selected="0">
            <x v="50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3"/>
          </reference>
        </references>
      </pivotArea>
    </format>
    <format dxfId="6635">
      <pivotArea dataOnly="0" labelOnly="1" fieldPosition="0">
        <references count="5">
          <reference field="0" count="1" selected="0">
            <x v="38"/>
          </reference>
          <reference field="1" count="1" selected="0">
            <x v="50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6"/>
          </reference>
        </references>
      </pivotArea>
    </format>
    <format dxfId="6636">
      <pivotArea dataOnly="0" labelOnly="1" fieldPosition="0">
        <references count="5">
          <reference field="0" count="1" selected="0">
            <x v="38"/>
          </reference>
          <reference field="1" count="1" selected="0">
            <x v="5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97"/>
          </reference>
        </references>
      </pivotArea>
    </format>
    <format dxfId="6637">
      <pivotArea dataOnly="0" labelOnly="1" fieldPosition="0">
        <references count="5">
          <reference field="0" count="1" selected="0">
            <x v="38"/>
          </reference>
          <reference field="1" count="1" selected="0">
            <x v="5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67"/>
          </reference>
        </references>
      </pivotArea>
    </format>
    <format dxfId="6638">
      <pivotArea collapsedLevelsAreSubtotals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6639">
      <pivotArea collapsedLevelsAreSubtotals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6640">
      <pivotArea collapsedLevelsAreSubtotals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641">
      <pivotArea collapsedLevelsAreSubtotals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6642">
      <pivotArea collapsedLevelsAreSubtotals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6643">
      <pivotArea collapsedLevelsAreSubtotals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44">
      <pivotArea collapsedLevelsAreSubtotals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6645">
      <pivotArea collapsedLevelsAreSubtotals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6646">
      <pivotArea collapsedLevelsAreSubtotals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6647">
      <pivotArea dataOnly="0" labelOnly="1" fieldPosition="0">
        <references count="2">
          <reference field="0" count="1" selected="0">
            <x v="39"/>
          </reference>
          <reference field="2" count="1">
            <x v="51"/>
          </reference>
        </references>
      </pivotArea>
    </format>
    <format dxfId="6648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6649">
      <pivotArea dataOnly="0" labelOnly="1" fieldPosition="0">
        <references count="3">
          <reference field="0" count="1" selected="0">
            <x v="39"/>
          </reference>
          <reference field="1" count="8">
            <x v="4"/>
            <x v="76"/>
            <x v="130"/>
            <x v="188"/>
            <x v="224"/>
            <x v="314"/>
            <x v="321"/>
            <x v="505"/>
          </reference>
          <reference field="2" count="1" selected="0">
            <x v="51"/>
          </reference>
        </references>
      </pivotArea>
    </format>
    <format dxfId="6650">
      <pivotArea dataOnly="0" labelOnly="1" fieldPosition="0">
        <references count="4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51">
      <pivotArea dataOnly="0" labelOnly="1" fieldPosition="0">
        <references count="4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52">
      <pivotArea dataOnly="0" labelOnly="1" fieldPosition="0">
        <references count="4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53">
      <pivotArea dataOnly="0" labelOnly="1" fieldPosition="0">
        <references count="4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54">
      <pivotArea dataOnly="0" labelOnly="1" fieldPosition="0">
        <references count="4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55">
      <pivotArea dataOnly="0" labelOnly="1" fieldPosition="0">
        <references count="4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56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6657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6658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659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6660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6661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62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6663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6664">
      <pivotArea collapsedLevelsAreSubtotals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6665">
      <pivotArea collapsedLevelsAreSubtotals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6666">
      <pivotArea collapsedLevelsAreSubtotals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667">
      <pivotArea collapsedLevelsAreSubtotals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6668">
      <pivotArea collapsedLevelsAreSubtotals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6669">
      <pivotArea collapsedLevelsAreSubtotals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70">
      <pivotArea collapsedLevelsAreSubtotals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6671">
      <pivotArea collapsedLevelsAreSubtotals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6672">
      <pivotArea dataOnly="0" labelOnly="1" fieldPosition="0">
        <references count="3">
          <reference field="0" count="1" selected="0">
            <x v="39"/>
          </reference>
          <reference field="1" count="8">
            <x v="4"/>
            <x v="76"/>
            <x v="130"/>
            <x v="188"/>
            <x v="224"/>
            <x v="314"/>
            <x v="321"/>
            <x v="505"/>
          </reference>
          <reference field="2" count="1" selected="0">
            <x v="51"/>
          </reference>
        </references>
      </pivotArea>
    </format>
    <format dxfId="6673">
      <pivotArea dataOnly="0" labelOnly="1" fieldPosition="0">
        <references count="4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74">
      <pivotArea dataOnly="0" labelOnly="1" fieldPosition="0">
        <references count="4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75">
      <pivotArea dataOnly="0" labelOnly="1" fieldPosition="0">
        <references count="4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76">
      <pivotArea dataOnly="0" labelOnly="1" fieldPosition="0">
        <references count="4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77">
      <pivotArea dataOnly="0" labelOnly="1" fieldPosition="0">
        <references count="4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6678">
      <pivotArea dataOnly="0" labelOnly="1" fieldPosition="0">
        <references count="4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6679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6680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298"/>
          </reference>
        </references>
      </pivotArea>
    </format>
    <format dxfId="6681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682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6683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6684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85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6686">
      <pivotArea dataOnly="0" labelOnly="1" fieldPosition="0">
        <references count="5">
          <reference field="0" count="1" selected="0">
            <x v="39"/>
          </reference>
          <reference field="1" count="1" selected="0">
            <x v="505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6687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6688">
      <pivotArea collapsedLevelsAreSubtotals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6689">
      <pivotArea collapsedLevelsAreSubtotals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6690">
      <pivotArea collapsedLevelsAreSubtotals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6691">
      <pivotArea collapsedLevelsAreSubtotals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6692">
      <pivotArea collapsedLevelsAreSubtotals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6693">
      <pivotArea collapsedLevelsAreSubtotals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6694">
      <pivotArea collapsedLevelsAreSubtotals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6695">
      <pivotArea collapsedLevelsAreSubtotals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6696">
      <pivotArea collapsedLevelsAreSubtotals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6697">
      <pivotArea collapsedLevelsAreSubtotals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6698">
      <pivotArea collapsedLevelsAreSubtotals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6699">
      <pivotArea collapsedLevelsAreSubtotals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700">
      <pivotArea collapsedLevelsAreSubtotals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701">
      <pivotArea collapsedLevelsAreSubtotals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702">
      <pivotArea collapsedLevelsAreSubtotals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703">
      <pivotArea collapsedLevelsAreSubtotals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6704">
      <pivotArea collapsedLevelsAreSubtotals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6705">
      <pivotArea collapsedLevelsAreSubtotals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6706">
      <pivotArea collapsedLevelsAreSubtotals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6707">
      <pivotArea collapsedLevelsAreSubtotals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6708">
      <pivotArea collapsedLevelsAreSubtotals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6709">
      <pivotArea collapsedLevelsAreSubtotals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6710">
      <pivotArea collapsedLevelsAreSubtotals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11">
      <pivotArea collapsedLevelsAreSubtotals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6712">
      <pivotArea collapsedLevelsAreSubtotals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6713">
      <pivotArea collapsedLevelsAreSubtotals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6714">
      <pivotArea collapsedLevelsAreSubtotals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6715">
      <pivotArea collapsedLevelsAreSubtotals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6716">
      <pivotArea collapsedLevelsAreSubtotals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6717">
      <pivotArea collapsedLevelsAreSubtotals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718">
      <pivotArea collapsedLevelsAreSubtotals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6719">
      <pivotArea collapsedLevelsAreSubtotals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720">
      <pivotArea collapsedLevelsAreSubtotals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6721">
      <pivotArea collapsedLevelsAreSubtotals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6722">
      <pivotArea collapsedLevelsAreSubtotals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6723">
      <pivotArea collapsedLevelsAreSubtotals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6724">
      <pivotArea collapsedLevelsAreSubtotals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6725">
      <pivotArea collapsedLevelsAreSubtotals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6726">
      <pivotArea collapsedLevelsAreSubtotals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27">
      <pivotArea collapsedLevelsAreSubtotals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6728">
      <pivotArea collapsedLevelsAreSubtotals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6729">
      <pivotArea collapsedLevelsAreSubtotals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730">
      <pivotArea collapsedLevelsAreSubtotals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6731">
      <pivotArea collapsedLevelsAreSubtotals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32">
      <pivotArea collapsedLevelsAreSubtotals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6733">
      <pivotArea collapsedLevelsAreSubtotals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34">
      <pivotArea collapsedLevelsAreSubtotals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35">
      <pivotArea collapsedLevelsAreSubtotals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6736">
      <pivotArea collapsedLevelsAreSubtotals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6737">
      <pivotArea collapsedLevelsAreSubtotals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6738">
      <pivotArea collapsedLevelsAreSubtotals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6739">
      <pivotArea collapsedLevelsAreSubtotals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40">
      <pivotArea collapsedLevelsAreSubtotals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6741">
      <pivotArea collapsedLevelsAreSubtotals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742">
      <pivotArea collapsedLevelsAreSubtotals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743">
      <pivotArea collapsedLevelsAreSubtotals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6744">
      <pivotArea collapsedLevelsAreSubtotals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6745">
      <pivotArea collapsedLevelsAreSubtotals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6746">
      <pivotArea collapsedLevelsAreSubtotals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6747">
      <pivotArea collapsedLevelsAreSubtotals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6748">
      <pivotArea collapsedLevelsAreSubtotals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749">
      <pivotArea collapsedLevelsAreSubtotals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750">
      <pivotArea collapsedLevelsAreSubtotals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6751">
      <pivotArea collapsedLevelsAreSubtotals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6752">
      <pivotArea collapsedLevelsAreSubtotals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6753">
      <pivotArea collapsedLevelsAreSubtotals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6754">
      <pivotArea collapsedLevelsAreSubtotals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6755">
      <pivotArea collapsedLevelsAreSubtotals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6756">
      <pivotArea collapsedLevelsAreSubtotals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6757">
      <pivotArea collapsedLevelsAreSubtotals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6758">
      <pivotArea collapsedLevelsAreSubtotals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6759">
      <pivotArea collapsedLevelsAreSubtotals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6760">
      <pivotArea collapsedLevelsAreSubtotals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6761">
      <pivotArea collapsedLevelsAreSubtotals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6762">
      <pivotArea collapsedLevelsAreSubtotals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763">
      <pivotArea collapsedLevelsAreSubtotals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6764">
      <pivotArea dataOnly="0" labelOnly="1" fieldPosition="0">
        <references count="2">
          <reference field="0" count="1" selected="0">
            <x v="40"/>
          </reference>
          <reference field="2" count="1">
            <x v="28"/>
          </reference>
        </references>
      </pivotArea>
    </format>
    <format dxfId="6765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6766">
      <pivotArea dataOnly="0" labelOnly="1" fieldPosition="0">
        <references count="2">
          <reference field="0" count="1" selected="0">
            <x v="41"/>
          </reference>
          <reference field="2" count="1">
            <x v="53"/>
          </reference>
        </references>
      </pivotArea>
    </format>
    <format dxfId="6767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6768">
      <pivotArea dataOnly="0" labelOnly="1" fieldPosition="0">
        <references count="2">
          <reference field="0" count="1" selected="0">
            <x v="42"/>
          </reference>
          <reference field="2" count="1">
            <x v="7"/>
          </reference>
        </references>
      </pivotArea>
    </format>
    <format dxfId="6769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6770">
      <pivotArea dataOnly="0" labelOnly="1" fieldPosition="0">
        <references count="2">
          <reference field="0" count="1" selected="0">
            <x v="43"/>
          </reference>
          <reference field="2" count="1">
            <x v="29"/>
          </reference>
        </references>
      </pivotArea>
    </format>
    <format dxfId="6771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6772">
      <pivotArea dataOnly="0" labelOnly="1" fieldPosition="0">
        <references count="3">
          <reference field="0" count="1" selected="0">
            <x v="40"/>
          </reference>
          <reference field="1" count="35">
            <x v="15"/>
            <x v="16"/>
            <x v="17"/>
            <x v="19"/>
            <x v="29"/>
            <x v="38"/>
            <x v="81"/>
            <x v="120"/>
            <x v="122"/>
            <x v="138"/>
            <x v="149"/>
            <x v="185"/>
            <x v="232"/>
            <x v="239"/>
            <x v="240"/>
            <x v="261"/>
            <x v="270"/>
            <x v="277"/>
            <x v="279"/>
            <x v="316"/>
            <x v="328"/>
            <x v="366"/>
            <x v="375"/>
            <x v="384"/>
            <x v="389"/>
            <x v="394"/>
            <x v="446"/>
            <x v="449"/>
            <x v="506"/>
            <x v="507"/>
            <x v="508"/>
            <x v="509"/>
            <x v="510"/>
            <x v="511"/>
            <x v="512"/>
          </reference>
          <reference field="2" count="1" selected="0">
            <x v="28"/>
          </reference>
        </references>
      </pivotArea>
    </format>
    <format dxfId="6773">
      <pivotArea dataOnly="0" labelOnly="1" fieldPosition="0">
        <references count="3">
          <reference field="0" count="1" selected="0">
            <x v="41"/>
          </reference>
          <reference field="1" count="14">
            <x v="1"/>
            <x v="48"/>
            <x v="89"/>
            <x v="208"/>
            <x v="213"/>
            <x v="225"/>
            <x v="227"/>
            <x v="236"/>
            <x v="348"/>
            <x v="357"/>
            <x v="404"/>
            <x v="405"/>
            <x v="439"/>
            <x v="443"/>
          </reference>
          <reference field="2" count="1" selected="0">
            <x v="53"/>
          </reference>
        </references>
      </pivotArea>
    </format>
    <format dxfId="6774">
      <pivotArea dataOnly="0" labelOnly="1" fieldPosition="0">
        <references count="3">
          <reference field="0" count="1" selected="0">
            <x v="42"/>
          </reference>
          <reference field="1" count="15">
            <x v="32"/>
            <x v="36"/>
            <x v="86"/>
            <x v="96"/>
            <x v="121"/>
            <x v="145"/>
            <x v="166"/>
            <x v="167"/>
            <x v="172"/>
            <x v="231"/>
            <x v="317"/>
            <x v="332"/>
            <x v="429"/>
            <x v="513"/>
            <x v="514"/>
          </reference>
          <reference field="2" count="1" selected="0">
            <x v="7"/>
          </reference>
        </references>
      </pivotArea>
    </format>
    <format dxfId="6775">
      <pivotArea dataOnly="0" labelOnly="1" fieldPosition="0">
        <references count="3">
          <reference field="0" count="1" selected="0">
            <x v="43"/>
          </reference>
          <reference field="1" count="8">
            <x v="13"/>
            <x v="14"/>
            <x v="84"/>
            <x v="133"/>
            <x v="181"/>
            <x v="210"/>
            <x v="291"/>
            <x v="312"/>
          </reference>
          <reference field="2" count="1" selected="0">
            <x v="29"/>
          </reference>
        </references>
      </pivotArea>
    </format>
    <format dxfId="6776">
      <pivotArea dataOnly="0" labelOnly="1" fieldPosition="0">
        <references count="4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777">
      <pivotArea dataOnly="0" labelOnly="1" fieldPosition="0">
        <references count="4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6778">
      <pivotArea dataOnly="0" labelOnly="1" fieldPosition="0">
        <references count="4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79">
      <pivotArea dataOnly="0" labelOnly="1" fieldPosition="0">
        <references count="4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6780">
      <pivotArea dataOnly="0" labelOnly="1" fieldPosition="0">
        <references count="4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81">
      <pivotArea dataOnly="0" labelOnly="1" fieldPosition="0">
        <references count="4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782">
      <pivotArea dataOnly="0" labelOnly="1" fieldPosition="0">
        <references count="4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83">
      <pivotArea dataOnly="0" labelOnly="1" fieldPosition="0">
        <references count="4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784">
      <pivotArea dataOnly="0" labelOnly="1" fieldPosition="0">
        <references count="4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85">
      <pivotArea dataOnly="0" labelOnly="1" fieldPosition="0">
        <references count="4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786">
      <pivotArea dataOnly="0" labelOnly="1" fieldPosition="0">
        <references count="4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87">
      <pivotArea dataOnly="0" labelOnly="1" fieldPosition="0">
        <references count="4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788">
      <pivotArea dataOnly="0" labelOnly="1" fieldPosition="0">
        <references count="4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789">
      <pivotArea dataOnly="0" labelOnly="1" fieldPosition="0">
        <references count="4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6790">
      <pivotArea dataOnly="0" labelOnly="1" fieldPosition="0">
        <references count="4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6791">
      <pivotArea dataOnly="0" labelOnly="1" fieldPosition="0">
        <references count="4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6792">
      <pivotArea dataOnly="0" labelOnly="1" fieldPosition="0">
        <references count="4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6793">
      <pivotArea dataOnly="0" labelOnly="1" fieldPosition="0">
        <references count="4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6794">
      <pivotArea dataOnly="0" labelOnly="1" fieldPosition="0">
        <references count="4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6795">
      <pivotArea dataOnly="0" labelOnly="1" fieldPosition="0">
        <references count="4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6796">
      <pivotArea dataOnly="0" labelOnly="1" fieldPosition="0">
        <references count="4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6797">
      <pivotArea dataOnly="0" labelOnly="1" fieldPosition="0">
        <references count="4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>
            <x v="0"/>
          </reference>
        </references>
      </pivotArea>
    </format>
    <format dxfId="6798">
      <pivotArea dataOnly="0" labelOnly="1" fieldPosition="0">
        <references count="4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6799">
      <pivotArea dataOnly="0" labelOnly="1" fieldPosition="0">
        <references count="4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6800">
      <pivotArea dataOnly="0" labelOnly="1" fieldPosition="0">
        <references count="4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6801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6802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6803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6804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6805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6806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6807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6808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6809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6810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6811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6812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813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814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815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816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6817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6818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6819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6820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6821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6822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6823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24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6825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6826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6827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6828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6829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6830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831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6832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833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6834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6835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6836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6837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6838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39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6840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6841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6842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6843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44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6845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46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47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6848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6849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6850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51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6852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853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854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6855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6856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6857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6858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6859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860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861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6862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6863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6864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6865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6866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6867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6868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6869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6870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6871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6872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6873">
      <pivotArea collapsedLevelsAreSubtotals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6874">
      <pivotArea collapsedLevelsAreSubtotals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6875">
      <pivotArea collapsedLevelsAreSubtotals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6876">
      <pivotArea collapsedLevelsAreSubtotals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6877">
      <pivotArea collapsedLevelsAreSubtotals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6878">
      <pivotArea collapsedLevelsAreSubtotals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6879">
      <pivotArea collapsedLevelsAreSubtotals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6880">
      <pivotArea collapsedLevelsAreSubtotals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6881">
      <pivotArea collapsedLevelsAreSubtotals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882">
      <pivotArea collapsedLevelsAreSubtotals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6883">
      <pivotArea collapsedLevelsAreSubtotals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6884">
      <pivotArea collapsedLevelsAreSubtotals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6885">
      <pivotArea collapsedLevelsAreSubtotals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886">
      <pivotArea collapsedLevelsAreSubtotals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6887">
      <pivotArea collapsedLevelsAreSubtotals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888">
      <pivotArea collapsedLevelsAreSubtotals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6889">
      <pivotArea collapsedLevelsAreSubtotals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6890">
      <pivotArea collapsedLevelsAreSubtotals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6891">
      <pivotArea collapsedLevelsAreSubtotals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6892">
      <pivotArea collapsedLevelsAreSubtotals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6893">
      <pivotArea collapsedLevelsAreSubtotals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6894">
      <pivotArea collapsedLevelsAreSubtotals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6895">
      <pivotArea collapsedLevelsAreSubtotals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6896">
      <pivotArea collapsedLevelsAreSubtotals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6897">
      <pivotArea collapsedLevelsAreSubtotals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6898">
      <pivotArea dataOnly="0" labelOnly="1" fieldPosition="0">
        <references count="2">
          <reference field="0" count="1" selected="0">
            <x v="44"/>
          </reference>
          <reference field="2" count="1">
            <x v="25"/>
          </reference>
        </references>
      </pivotArea>
    </format>
    <format dxfId="6899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6900">
      <pivotArea dataOnly="0" labelOnly="1" fieldPosition="0">
        <references count="3">
          <reference field="0" count="1" selected="0">
            <x v="44"/>
          </reference>
          <reference field="1" count="24">
            <x v="21"/>
            <x v="23"/>
            <x v="35"/>
            <x v="150"/>
            <x v="173"/>
            <x v="186"/>
            <x v="203"/>
            <x v="219"/>
            <x v="241"/>
            <x v="249"/>
            <x v="250"/>
            <x v="251"/>
            <x v="252"/>
            <x v="329"/>
            <x v="362"/>
            <x v="393"/>
            <x v="398"/>
            <x v="433"/>
            <x v="434"/>
            <x v="515"/>
            <x v="516"/>
            <x v="517"/>
            <x v="518"/>
            <x v="519"/>
          </reference>
          <reference field="2" count="1" selected="0">
            <x v="25"/>
          </reference>
        </references>
      </pivotArea>
    </format>
    <format dxfId="6901">
      <pivotArea dataOnly="0" labelOnly="1" fieldPosition="0">
        <references count="4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6902">
      <pivotArea dataOnly="0" labelOnly="1" fieldPosition="0">
        <references count="4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6903">
      <pivotArea dataOnly="0" labelOnly="1" fieldPosition="0">
        <references count="4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6904">
      <pivotArea dataOnly="0" labelOnly="1" fieldPosition="0">
        <references count="4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6905">
      <pivotArea dataOnly="0" labelOnly="1" fieldPosition="0">
        <references count="4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6906">
      <pivotArea dataOnly="0" labelOnly="1" fieldPosition="0">
        <references count="4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6907">
      <pivotArea dataOnly="0" labelOnly="1" fieldPosition="0">
        <references count="4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6908">
      <pivotArea dataOnly="0" labelOnly="1" fieldPosition="0">
        <references count="4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6909">
      <pivotArea dataOnly="0" labelOnly="1" fieldPosition="0">
        <references count="4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6910">
      <pivotArea dataOnly="0" labelOnly="1" fieldPosition="0">
        <references count="4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6911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6912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6913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6914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6915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6916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6917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6918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6919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920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6921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6922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6923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924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6925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926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6927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6928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6929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6930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6931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6932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6933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6934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6935">
      <pivotArea collapsedLevelsAreSubtotals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6936">
      <pivotArea dataOnly="0" labelOnly="1" fieldPosition="0">
        <references count="2">
          <reference field="0" count="1" selected="0">
            <x v="40"/>
          </reference>
          <reference field="2" count="1">
            <x v="28"/>
          </reference>
        </references>
      </pivotArea>
    </format>
    <format dxfId="6937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6938">
      <pivotArea collapsedLevelsAreSubtotals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6939">
      <pivotArea collapsedLevelsAreSubtotals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6940">
      <pivotArea collapsedLevelsAreSubtotals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6941">
      <pivotArea collapsedLevelsAreSubtotals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6942">
      <pivotArea collapsedLevelsAreSubtotals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6943">
      <pivotArea collapsedLevelsAreSubtotals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6944">
      <pivotArea collapsedLevelsAreSubtotals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6945">
      <pivotArea collapsedLevelsAreSubtotals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6946">
      <pivotArea collapsedLevelsAreSubtotals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6947">
      <pivotArea collapsedLevelsAreSubtotals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6948">
      <pivotArea collapsedLevelsAreSubtotals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6949">
      <pivotArea collapsedLevelsAreSubtotals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950">
      <pivotArea collapsedLevelsAreSubtotals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951">
      <pivotArea collapsedLevelsAreSubtotals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952">
      <pivotArea collapsedLevelsAreSubtotals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953">
      <pivotArea collapsedLevelsAreSubtotals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6954">
      <pivotArea collapsedLevelsAreSubtotals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6955">
      <pivotArea collapsedLevelsAreSubtotals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6956">
      <pivotArea collapsedLevelsAreSubtotals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6957">
      <pivotArea collapsedLevelsAreSubtotals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6958">
      <pivotArea collapsedLevelsAreSubtotals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6959">
      <pivotArea collapsedLevelsAreSubtotals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6960">
      <pivotArea collapsedLevelsAreSubtotals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961">
      <pivotArea collapsedLevelsAreSubtotals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6962">
      <pivotArea collapsedLevelsAreSubtotals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6963">
      <pivotArea collapsedLevelsAreSubtotals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6964">
      <pivotArea collapsedLevelsAreSubtotals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6965">
      <pivotArea collapsedLevelsAreSubtotals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6966">
      <pivotArea collapsedLevelsAreSubtotals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6967">
      <pivotArea collapsedLevelsAreSubtotals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968">
      <pivotArea collapsedLevelsAreSubtotals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6969">
      <pivotArea collapsedLevelsAreSubtotals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6970">
      <pivotArea collapsedLevelsAreSubtotals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6971">
      <pivotArea collapsedLevelsAreSubtotals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6972">
      <pivotArea collapsedLevelsAreSubtotals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6973">
      <pivotArea dataOnly="0" labelOnly="1" fieldPosition="0">
        <references count="3">
          <reference field="0" count="1" selected="0">
            <x v="40"/>
          </reference>
          <reference field="1" count="35">
            <x v="15"/>
            <x v="16"/>
            <x v="17"/>
            <x v="19"/>
            <x v="29"/>
            <x v="38"/>
            <x v="81"/>
            <x v="120"/>
            <x v="122"/>
            <x v="138"/>
            <x v="149"/>
            <x v="185"/>
            <x v="232"/>
            <x v="239"/>
            <x v="240"/>
            <x v="261"/>
            <x v="270"/>
            <x v="277"/>
            <x v="279"/>
            <x v="316"/>
            <x v="328"/>
            <x v="366"/>
            <x v="375"/>
            <x v="384"/>
            <x v="389"/>
            <x v="394"/>
            <x v="446"/>
            <x v="449"/>
            <x v="506"/>
            <x v="507"/>
            <x v="508"/>
            <x v="509"/>
            <x v="510"/>
            <x v="511"/>
            <x v="512"/>
          </reference>
          <reference field="2" count="1" selected="0">
            <x v="28"/>
          </reference>
        </references>
      </pivotArea>
    </format>
    <format dxfId="6974">
      <pivotArea dataOnly="0" labelOnly="1" fieldPosition="0">
        <references count="4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975">
      <pivotArea dataOnly="0" labelOnly="1" fieldPosition="0">
        <references count="4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6976">
      <pivotArea dataOnly="0" labelOnly="1" fieldPosition="0">
        <references count="4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77">
      <pivotArea dataOnly="0" labelOnly="1" fieldPosition="0">
        <references count="4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6978">
      <pivotArea dataOnly="0" labelOnly="1" fieldPosition="0">
        <references count="4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79">
      <pivotArea dataOnly="0" labelOnly="1" fieldPosition="0">
        <references count="4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980">
      <pivotArea dataOnly="0" labelOnly="1" fieldPosition="0">
        <references count="4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81">
      <pivotArea dataOnly="0" labelOnly="1" fieldPosition="0">
        <references count="4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982">
      <pivotArea dataOnly="0" labelOnly="1" fieldPosition="0">
        <references count="4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83">
      <pivotArea dataOnly="0" labelOnly="1" fieldPosition="0">
        <references count="4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984">
      <pivotArea dataOnly="0" labelOnly="1" fieldPosition="0">
        <references count="4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85">
      <pivotArea dataOnly="0" labelOnly="1" fieldPosition="0">
        <references count="4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6986">
      <pivotArea dataOnly="0" labelOnly="1" fieldPosition="0">
        <references count="4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6987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6988">
      <pivotArea dataOnly="0" labelOnly="1" fieldPosition="0">
        <references count="5">
          <reference field="0" count="1" selected="0">
            <x v="40"/>
          </reference>
          <reference field="1" count="1" selected="0">
            <x v="16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6989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6990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99"/>
          </reference>
        </references>
      </pivotArea>
    </format>
    <format dxfId="6991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6992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6993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6994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6995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6996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304"/>
          </reference>
        </references>
      </pivotArea>
    </format>
    <format dxfId="6997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00"/>
          </reference>
        </references>
      </pivotArea>
    </format>
    <format dxfId="6998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6999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7000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001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002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7003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0"/>
          </reference>
        </references>
      </pivotArea>
    </format>
    <format dxfId="7004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7005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7006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1"/>
          </reference>
        </references>
      </pivotArea>
    </format>
    <format dxfId="7007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2"/>
          </reference>
        </references>
      </pivotArea>
    </format>
    <format dxfId="7008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7009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10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3"/>
          </reference>
        </references>
      </pivotArea>
    </format>
    <format dxfId="7011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7012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7013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7014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7015">
      <pivotArea dataOnly="0" labelOnly="1" fieldPosition="0">
        <references count="5">
          <reference field="0" count="1" selected="0">
            <x v="40"/>
          </reference>
          <reference field="1" count="1" selected="0">
            <x v="50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5"/>
          </reference>
        </references>
      </pivotArea>
    </format>
    <format dxfId="7016">
      <pivotArea dataOnly="0" labelOnly="1" fieldPosition="0">
        <references count="5">
          <reference field="0" count="1" selected="0">
            <x v="40"/>
          </reference>
          <reference field="1" count="1" selected="0">
            <x v="50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7017">
      <pivotArea dataOnly="0" labelOnly="1" fieldPosition="0">
        <references count="5">
          <reference field="0" count="1" selected="0">
            <x v="40"/>
          </reference>
          <reference field="1" count="1" selected="0">
            <x v="50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7"/>
          </reference>
        </references>
      </pivotArea>
    </format>
    <format dxfId="7018">
      <pivotArea dataOnly="0" labelOnly="1" fieldPosition="0">
        <references count="5">
          <reference field="0" count="1" selected="0">
            <x v="40"/>
          </reference>
          <reference field="1" count="1" selected="0">
            <x v="50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6"/>
          </reference>
        </references>
      </pivotArea>
    </format>
    <format dxfId="7019">
      <pivotArea dataOnly="0" labelOnly="1" fieldPosition="0">
        <references count="5">
          <reference field="0" count="1" selected="0">
            <x v="40"/>
          </reference>
          <reference field="1" count="1" selected="0">
            <x v="51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8"/>
          </reference>
        </references>
      </pivotArea>
    </format>
    <format dxfId="7020">
      <pivotArea dataOnly="0" labelOnly="1" fieldPosition="0">
        <references count="5">
          <reference field="0" count="1" selected="0">
            <x v="40"/>
          </reference>
          <reference field="1" count="1" selected="0">
            <x v="51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309"/>
          </reference>
        </references>
      </pivotArea>
    </format>
    <format dxfId="7021">
      <pivotArea dataOnly="0" labelOnly="1" fieldPosition="0">
        <references count="5">
          <reference field="0" count="1" selected="0">
            <x v="40"/>
          </reference>
          <reference field="1" count="1" selected="0">
            <x v="51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251"/>
          </reference>
        </references>
      </pivotArea>
    </format>
    <format dxfId="7022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7023">
      <pivotArea collapsedLevelsAreSubtotals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7024">
      <pivotArea dataOnly="0" labelOnly="1" fieldPosition="0">
        <references count="2">
          <reference field="0" count="1" selected="0">
            <x v="41"/>
          </reference>
          <reference field="2" count="1">
            <x v="53"/>
          </reference>
        </references>
      </pivotArea>
    </format>
    <format dxfId="7025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7026">
      <pivotArea collapsedLevelsAreSubtotals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7027">
      <pivotArea collapsedLevelsAreSubtotals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7028">
      <pivotArea collapsedLevelsAreSubtotals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29">
      <pivotArea collapsedLevelsAreSubtotals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7030">
      <pivotArea collapsedLevelsAreSubtotals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7031">
      <pivotArea collapsedLevelsAreSubtotals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032">
      <pivotArea collapsedLevelsAreSubtotals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7033">
      <pivotArea collapsedLevelsAreSubtotals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34">
      <pivotArea collapsedLevelsAreSubtotals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7035">
      <pivotArea collapsedLevelsAreSubtotals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36">
      <pivotArea collapsedLevelsAreSubtotals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37">
      <pivotArea collapsedLevelsAreSubtotals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7038">
      <pivotArea collapsedLevelsAreSubtotals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7039">
      <pivotArea collapsedLevelsAreSubtotals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7040">
      <pivotArea dataOnly="0" labelOnly="1" fieldPosition="0">
        <references count="3">
          <reference field="0" count="1" selected="0">
            <x v="41"/>
          </reference>
          <reference field="1" count="14">
            <x v="1"/>
            <x v="48"/>
            <x v="89"/>
            <x v="208"/>
            <x v="213"/>
            <x v="225"/>
            <x v="227"/>
            <x v="236"/>
            <x v="348"/>
            <x v="357"/>
            <x v="404"/>
            <x v="405"/>
            <x v="439"/>
            <x v="443"/>
          </reference>
          <reference field="2" count="1" selected="0">
            <x v="53"/>
          </reference>
        </references>
      </pivotArea>
    </format>
    <format dxfId="7041">
      <pivotArea dataOnly="0" labelOnly="1" fieldPosition="0">
        <references count="4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7042">
      <pivotArea dataOnly="0" labelOnly="1" fieldPosition="0">
        <references count="4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7043">
      <pivotArea dataOnly="0" labelOnly="1" fieldPosition="0">
        <references count="4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7044">
      <pivotArea dataOnly="0" labelOnly="1" fieldPosition="0">
        <references count="4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7045">
      <pivotArea dataOnly="0" labelOnly="1" fieldPosition="0">
        <references count="4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7046">
      <pivotArea dataOnly="0" labelOnly="1" fieldPosition="0">
        <references count="4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7047">
      <pivotArea dataOnly="0" labelOnly="1" fieldPosition="0">
        <references count="4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7048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7049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7050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51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7052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7053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054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7055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56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7057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58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59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7060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7061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7062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7063">
      <pivotArea collapsedLevelsAreSubtotals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7064">
      <pivotArea dataOnly="0" labelOnly="1" fieldPosition="0">
        <references count="2">
          <reference field="0" count="1" selected="0">
            <x v="42"/>
          </reference>
          <reference field="2" count="1">
            <x v="7"/>
          </reference>
        </references>
      </pivotArea>
    </format>
    <format dxfId="7065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7066">
      <pivotArea collapsedLevelsAreSubtotals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67">
      <pivotArea collapsedLevelsAreSubtotals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7068">
      <pivotArea collapsedLevelsAreSubtotals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069">
      <pivotArea collapsedLevelsAreSubtotals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070">
      <pivotArea collapsedLevelsAreSubtotals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7071">
      <pivotArea collapsedLevelsAreSubtotals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7072">
      <pivotArea collapsedLevelsAreSubtotals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7073">
      <pivotArea collapsedLevelsAreSubtotals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7074">
      <pivotArea collapsedLevelsAreSubtotals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7075">
      <pivotArea collapsedLevelsAreSubtotals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076">
      <pivotArea collapsedLevelsAreSubtotals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77">
      <pivotArea collapsedLevelsAreSubtotals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7078">
      <pivotArea collapsedLevelsAreSubtotals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7079">
      <pivotArea collapsedLevelsAreSubtotals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7080">
      <pivotArea collapsedLevelsAreSubtotals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7081">
      <pivotArea dataOnly="0" labelOnly="1" fieldPosition="0">
        <references count="3">
          <reference field="0" count="1" selected="0">
            <x v="42"/>
          </reference>
          <reference field="1" count="15">
            <x v="32"/>
            <x v="36"/>
            <x v="86"/>
            <x v="96"/>
            <x v="121"/>
            <x v="145"/>
            <x v="166"/>
            <x v="167"/>
            <x v="172"/>
            <x v="231"/>
            <x v="317"/>
            <x v="332"/>
            <x v="429"/>
            <x v="513"/>
            <x v="514"/>
          </reference>
          <reference field="2" count="1" selected="0">
            <x v="7"/>
          </reference>
        </references>
      </pivotArea>
    </format>
    <format dxfId="7082">
      <pivotArea dataOnly="0" labelOnly="1" fieldPosition="0">
        <references count="4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7083">
      <pivotArea dataOnly="0" labelOnly="1" fieldPosition="0">
        <references count="4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>
            <x v="0"/>
          </reference>
        </references>
      </pivotArea>
    </format>
    <format dxfId="7084">
      <pivotArea dataOnly="0" labelOnly="1" fieldPosition="0">
        <references count="4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7085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86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7087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088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089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0"/>
          </reference>
        </references>
      </pivotArea>
    </format>
    <format dxfId="7090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7091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1"/>
          </reference>
        </references>
      </pivotArea>
    </format>
    <format dxfId="7092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2"/>
          </reference>
        </references>
      </pivotArea>
    </format>
    <format dxfId="7093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7094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095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96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7097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313"/>
          </reference>
        </references>
      </pivotArea>
    </format>
    <format dxfId="7098">
      <pivotArea dataOnly="0" labelOnly="1" fieldPosition="0">
        <references count="5">
          <reference field="0" count="1" selected="0">
            <x v="42"/>
          </reference>
          <reference field="1" count="1" selected="0">
            <x v="513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314"/>
          </reference>
        </references>
      </pivotArea>
    </format>
    <format dxfId="7099">
      <pivotArea dataOnly="0" labelOnly="1" fieldPosition="0">
        <references count="5">
          <reference field="0" count="1" selected="0">
            <x v="42"/>
          </reference>
          <reference field="1" count="1" selected="0">
            <x v="514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29"/>
          </reference>
        </references>
      </pivotArea>
    </format>
    <format dxfId="7100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7101">
      <pivotArea collapsedLevelsAreSubtotals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102">
      <pivotArea collapsedLevelsAreSubtotals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7103">
      <pivotArea collapsedLevelsAreSubtotals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7104">
      <pivotArea collapsedLevelsAreSubtotals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7105">
      <pivotArea collapsedLevelsAreSubtotals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7106">
      <pivotArea collapsedLevelsAreSubtotals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7107">
      <pivotArea collapsedLevelsAreSubtotals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7108">
      <pivotArea collapsedLevelsAreSubtotals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7109">
      <pivotArea dataOnly="0" labelOnly="1" fieldPosition="0">
        <references count="3">
          <reference field="0" count="1" selected="0">
            <x v="43"/>
          </reference>
          <reference field="1" count="8">
            <x v="13"/>
            <x v="14"/>
            <x v="84"/>
            <x v="133"/>
            <x v="181"/>
            <x v="210"/>
            <x v="291"/>
            <x v="312"/>
          </reference>
          <reference field="2" count="1" selected="0">
            <x v="29"/>
          </reference>
        </references>
      </pivotArea>
    </format>
    <format dxfId="7110">
      <pivotArea dataOnly="0" labelOnly="1" fieldPosition="0">
        <references count="4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7111">
      <pivotArea dataOnly="0" labelOnly="1" fieldPosition="0">
        <references count="4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7112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113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7114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7115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7116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7117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7118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7119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7120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7121">
      <pivotArea collapsedLevelsAreSubtotals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7122">
      <pivotArea collapsedLevelsAreSubtotals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7123">
      <pivotArea collapsedLevelsAreSubtotals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7124">
      <pivotArea collapsedLevelsAreSubtotals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7125">
      <pivotArea collapsedLevelsAreSubtotals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7126">
      <pivotArea collapsedLevelsAreSubtotals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7127">
      <pivotArea collapsedLevelsAreSubtotals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7128">
      <pivotArea collapsedLevelsAreSubtotals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7129">
      <pivotArea collapsedLevelsAreSubtotals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130">
      <pivotArea collapsedLevelsAreSubtotals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7131">
      <pivotArea collapsedLevelsAreSubtotals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132">
      <pivotArea collapsedLevelsAreSubtotals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7133">
      <pivotArea collapsedLevelsAreSubtotals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7134">
      <pivotArea collapsedLevelsAreSubtotals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7135">
      <pivotArea collapsedLevelsAreSubtotals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7136">
      <pivotArea collapsedLevelsAreSubtotals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7137">
      <pivotArea collapsedLevelsAreSubtotals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7138">
      <pivotArea collapsedLevelsAreSubtotals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7139">
      <pivotArea collapsedLevelsAreSubtotals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7140">
      <pivotArea collapsedLevelsAreSubtotals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7141">
      <pivotArea collapsedLevelsAreSubtotals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7142">
      <pivotArea collapsedLevelsAreSubtotals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7143">
      <pivotArea collapsedLevelsAreSubtotals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7144">
      <pivotArea collapsedLevelsAreSubtotals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7145">
      <pivotArea dataOnly="0" labelOnly="1" fieldPosition="0">
        <references count="3">
          <reference field="0" count="1" selected="0">
            <x v="44"/>
          </reference>
          <reference field="1" count="24">
            <x v="21"/>
            <x v="23"/>
            <x v="35"/>
            <x v="150"/>
            <x v="173"/>
            <x v="186"/>
            <x v="203"/>
            <x v="219"/>
            <x v="241"/>
            <x v="249"/>
            <x v="250"/>
            <x v="251"/>
            <x v="252"/>
            <x v="329"/>
            <x v="362"/>
            <x v="393"/>
            <x v="398"/>
            <x v="433"/>
            <x v="434"/>
            <x v="515"/>
            <x v="516"/>
            <x v="517"/>
            <x v="518"/>
            <x v="519"/>
          </reference>
          <reference field="2" count="1" selected="0">
            <x v="25"/>
          </reference>
        </references>
      </pivotArea>
    </format>
    <format dxfId="7146">
      <pivotArea dataOnly="0" labelOnly="1" fieldPosition="0">
        <references count="4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7147">
      <pivotArea dataOnly="0" labelOnly="1" fieldPosition="0">
        <references count="4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7148">
      <pivotArea dataOnly="0" labelOnly="1" fieldPosition="0">
        <references count="4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7149">
      <pivotArea dataOnly="0" labelOnly="1" fieldPosition="0">
        <references count="4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7150">
      <pivotArea dataOnly="0" labelOnly="1" fieldPosition="0">
        <references count="4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7151">
      <pivotArea dataOnly="0" labelOnly="1" fieldPosition="0">
        <references count="4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7152">
      <pivotArea dataOnly="0" labelOnly="1" fieldPosition="0">
        <references count="4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7153">
      <pivotArea dataOnly="0" labelOnly="1" fieldPosition="0">
        <references count="4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7154">
      <pivotArea dataOnly="0" labelOnly="1" fieldPosition="0">
        <references count="4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7155">
      <pivotArea dataOnly="0" labelOnly="1" fieldPosition="0">
        <references count="4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7156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7157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5"/>
          </reference>
        </references>
      </pivotArea>
    </format>
    <format dxfId="7158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7159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7160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6"/>
          </reference>
        </references>
      </pivotArea>
    </format>
    <format dxfId="7161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7162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7163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7164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165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7"/>
          </reference>
        </references>
      </pivotArea>
    </format>
    <format dxfId="7166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167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19"/>
          </reference>
        </references>
      </pivotArea>
    </format>
    <format dxfId="7168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7169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0"/>
          </reference>
        </references>
      </pivotArea>
    </format>
    <format dxfId="7170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7171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7172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7173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1"/>
          </reference>
        </references>
      </pivotArea>
    </format>
    <format dxfId="7174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2"/>
          </reference>
        </references>
      </pivotArea>
    </format>
    <format dxfId="7175">
      <pivotArea dataOnly="0" labelOnly="1" fieldPosition="0">
        <references count="5">
          <reference field="0" count="1" selected="0">
            <x v="44"/>
          </reference>
          <reference field="1" count="1" selected="0">
            <x v="51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273"/>
          </reference>
        </references>
      </pivotArea>
    </format>
    <format dxfId="7176">
      <pivotArea dataOnly="0" labelOnly="1" fieldPosition="0">
        <references count="5">
          <reference field="0" count="1" selected="0">
            <x v="44"/>
          </reference>
          <reference field="1" count="1" selected="0">
            <x v="51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3"/>
          </reference>
        </references>
      </pivotArea>
    </format>
    <format dxfId="7177">
      <pivotArea dataOnly="0" labelOnly="1" fieldPosition="0">
        <references count="5">
          <reference field="0" count="1" selected="0">
            <x v="44"/>
          </reference>
          <reference field="1" count="1" selected="0">
            <x v="517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4"/>
          </reference>
        </references>
      </pivotArea>
    </format>
    <format dxfId="7178">
      <pivotArea dataOnly="0" labelOnly="1" fieldPosition="0">
        <references count="5">
          <reference field="0" count="1" selected="0">
            <x v="44"/>
          </reference>
          <reference field="1" count="1" selected="0">
            <x v="51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325"/>
          </reference>
        </references>
      </pivotArea>
    </format>
    <format dxfId="7179">
      <pivotArea dataOnly="0" labelOnly="1" fieldPosition="0">
        <references count="5">
          <reference field="0" count="1" selected="0">
            <x v="44"/>
          </reference>
          <reference field="1" count="1" selected="0">
            <x v="51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7180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7181">
      <pivotArea collapsedLevelsAreSubtotals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182">
      <pivotArea collapsedLevelsAreSubtotals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7183">
      <pivotArea collapsedLevelsAreSubtotals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184">
      <pivotArea collapsedLevelsAreSubtotals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185">
      <pivotArea collapsedLevelsAreSubtotals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186">
      <pivotArea collapsedLevelsAreSubtotals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187">
      <pivotArea collapsedLevelsAreSubtotals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188">
      <pivotArea collapsedLevelsAreSubtotals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7189">
      <pivotArea collapsedLevelsAreSubtotals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7190">
      <pivotArea collapsedLevelsAreSubtotals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191">
      <pivotArea collapsedLevelsAreSubtotals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192">
      <pivotArea collapsedLevelsAreSubtotals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7193">
      <pivotArea dataOnly="0" labelOnly="1" fieldPosition="0">
        <references count="2">
          <reference field="0" count="1" selected="0">
            <x v="45"/>
          </reference>
          <reference field="2" count="1">
            <x v="24"/>
          </reference>
        </references>
      </pivotArea>
    </format>
    <format dxfId="7194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7195">
      <pivotArea dataOnly="0" labelOnly="1" fieldPosition="0">
        <references count="3">
          <reference field="0" count="1" selected="0">
            <x v="45"/>
          </reference>
          <reference field="1" count="11">
            <x v="52"/>
            <x v="97"/>
            <x v="101"/>
            <x v="190"/>
            <x v="253"/>
            <x v="263"/>
            <x v="307"/>
            <x v="368"/>
            <x v="411"/>
            <x v="445"/>
            <x v="520"/>
          </reference>
          <reference field="2" count="1" selected="0">
            <x v="24"/>
          </reference>
        </references>
      </pivotArea>
    </format>
    <format dxfId="7196">
      <pivotArea dataOnly="0" labelOnly="1" fieldPosition="0">
        <references count="4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7197">
      <pivotArea dataOnly="0" labelOnly="1" fieldPosition="0">
        <references count="4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7198">
      <pivotArea dataOnly="0" labelOnly="1" fieldPosition="0">
        <references count="4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>
            <x v="4"/>
          </reference>
        </references>
      </pivotArea>
    </format>
    <format dxfId="7199">
      <pivotArea dataOnly="0" labelOnly="1" fieldPosition="0">
        <references count="4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7200">
      <pivotArea dataOnly="0" labelOnly="1" fieldPosition="0">
        <references count="4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7201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02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7203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204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05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206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207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08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7209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7210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211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12">
      <pivotArea collapsedLevelsAreSubtotals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213">
      <pivotArea collapsedLevelsAreSubtotals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214">
      <pivotArea collapsedLevelsAreSubtotals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7215">
      <pivotArea collapsedLevelsAreSubtotals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7216">
      <pivotArea dataOnly="0" labelOnly="1" fieldPosition="0">
        <references count="2">
          <reference field="0" count="1" selected="0">
            <x v="46"/>
          </reference>
          <reference field="2" count="1">
            <x v="12"/>
          </reference>
        </references>
      </pivotArea>
    </format>
    <format dxfId="7217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7218">
      <pivotArea dataOnly="0" labelOnly="1" fieldPosition="0">
        <references count="3">
          <reference field="0" count="1" selected="0">
            <x v="46"/>
          </reference>
          <reference field="1" count="3">
            <x v="59"/>
            <x v="60"/>
            <x v="441"/>
          </reference>
          <reference field="2" count="1" selected="0">
            <x v="12"/>
          </reference>
        </references>
      </pivotArea>
    </format>
    <format dxfId="7219">
      <pivotArea dataOnly="0" labelOnly="1" fieldPosition="0">
        <references count="4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7220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221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222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7223">
      <pivotArea collapsedLevelsAreSubtotals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224">
      <pivotArea collapsedLevelsAreSubtotals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225">
      <pivotArea collapsedLevelsAreSubtotals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7226">
      <pivotArea collapsedLevelsAreSubtotals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227">
      <pivotArea collapsedLevelsAreSubtotals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7228">
      <pivotArea collapsedLevelsAreSubtotals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7229">
      <pivotArea collapsedLevelsAreSubtotals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7230">
      <pivotArea collapsedLevelsAreSubtotals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7231">
      <pivotArea collapsedLevelsAreSubtotals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7232">
      <pivotArea dataOnly="0" labelOnly="1" fieldPosition="0">
        <references count="2">
          <reference field="0" count="1" selected="0">
            <x v="47"/>
          </reference>
          <reference field="2" count="1">
            <x v="37"/>
          </reference>
        </references>
      </pivotArea>
    </format>
    <format dxfId="7233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7234">
      <pivotArea dataOnly="0" labelOnly="1" fieldPosition="0">
        <references count="3">
          <reference field="0" count="1" selected="0">
            <x v="47"/>
          </reference>
          <reference field="1" count="8">
            <x v="37"/>
            <x v="85"/>
            <x v="234"/>
            <x v="319"/>
            <x v="356"/>
            <x v="358"/>
            <x v="359"/>
            <x v="521"/>
          </reference>
          <reference field="2" count="1" selected="0">
            <x v="37"/>
          </reference>
        </references>
      </pivotArea>
    </format>
    <format dxfId="7235">
      <pivotArea dataOnly="0" labelOnly="1" fieldPosition="0">
        <references count="4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236">
      <pivotArea dataOnly="0" labelOnly="1" fieldPosition="0">
        <references count="4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7237">
      <pivotArea dataOnly="0" labelOnly="1" fieldPosition="0">
        <references count="4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238">
      <pivotArea dataOnly="0" labelOnly="1" fieldPosition="0">
        <references count="4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>
            <x v="0"/>
          </reference>
        </references>
      </pivotArea>
    </format>
    <format dxfId="7239">
      <pivotArea dataOnly="0" labelOnly="1" fieldPosition="0">
        <references count="4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240">
      <pivotArea dataOnly="0" labelOnly="1" fieldPosition="0">
        <references count="4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7241">
      <pivotArea dataOnly="0" labelOnly="1" fieldPosition="0">
        <references count="4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242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243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244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7245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246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7247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7248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7249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7250">
      <pivotArea collapsedLevelsAreSubtotals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7251">
      <pivotArea collapsedLevelsAreSubtotals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7252">
      <pivotArea dataOnly="0" labelOnly="1" fieldPosition="0">
        <references count="2">
          <reference field="0" count="1" selected="0">
            <x v="48"/>
          </reference>
          <reference field="2" count="1">
            <x v="32"/>
          </reference>
        </references>
      </pivotArea>
    </format>
    <format dxfId="7253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7254">
      <pivotArea dataOnly="0" labelOnly="1" fieldPosition="0">
        <references count="3">
          <reference field="0" count="1" selected="0">
            <x v="48"/>
          </reference>
          <reference field="1" count="1">
            <x v="184"/>
          </reference>
          <reference field="2" count="1" selected="0">
            <x v="32"/>
          </reference>
        </references>
      </pivotArea>
    </format>
    <format dxfId="7255">
      <pivotArea dataOnly="0" labelOnly="1" fieldPosition="0">
        <references count="4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>
            <x v="7"/>
          </reference>
        </references>
      </pivotArea>
    </format>
    <format dxfId="7256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7257">
      <pivotArea collapsedLevelsAreSubtotals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7258">
      <pivotArea collapsedLevelsAreSubtotals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7259">
      <pivotArea collapsedLevelsAreSubtotals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7260">
      <pivotArea collapsedLevelsAreSubtotals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7261">
      <pivotArea collapsedLevelsAreSubtotals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7262">
      <pivotArea dataOnly="0" labelOnly="1" fieldPosition="0">
        <references count="2">
          <reference field="0" count="1" selected="0">
            <x v="49"/>
          </reference>
          <reference field="2" count="1">
            <x v="6"/>
          </reference>
        </references>
      </pivotArea>
    </format>
    <format dxfId="7263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7264">
      <pivotArea dataOnly="0" labelOnly="1" fieldPosition="0">
        <references count="3">
          <reference field="0" count="1" selected="0">
            <x v="49"/>
          </reference>
          <reference field="1" count="4">
            <x v="309"/>
            <x v="367"/>
            <x v="522"/>
            <x v="523"/>
          </reference>
          <reference field="2" count="1" selected="0">
            <x v="6"/>
          </reference>
        </references>
      </pivotArea>
    </format>
    <format dxfId="7265">
      <pivotArea dataOnly="0" labelOnly="1" fieldPosition="0">
        <references count="4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7266">
      <pivotArea dataOnly="0" labelOnly="1" fieldPosition="0">
        <references count="4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7267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7268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7269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7270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7271">
      <pivotArea collapsedLevelsAreSubtotals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72">
      <pivotArea collapsedLevelsAreSubtotals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7273">
      <pivotArea collapsedLevelsAreSubtotals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274">
      <pivotArea collapsedLevelsAreSubtotals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75">
      <pivotArea collapsedLevelsAreSubtotals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276">
      <pivotArea collapsedLevelsAreSubtotals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277">
      <pivotArea collapsedLevelsAreSubtotals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78">
      <pivotArea collapsedLevelsAreSubtotals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7279">
      <pivotArea collapsedLevelsAreSubtotals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7280">
      <pivotArea collapsedLevelsAreSubtotals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281">
      <pivotArea collapsedLevelsAreSubtotals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82">
      <pivotArea dataOnly="0" labelOnly="1" fieldPosition="0">
        <references count="3">
          <reference field="0" count="1" selected="0">
            <x v="45"/>
          </reference>
          <reference field="1" count="11">
            <x v="52"/>
            <x v="97"/>
            <x v="101"/>
            <x v="190"/>
            <x v="253"/>
            <x v="263"/>
            <x v="307"/>
            <x v="368"/>
            <x v="411"/>
            <x v="445"/>
            <x v="520"/>
          </reference>
          <reference field="2" count="1" selected="0">
            <x v="24"/>
          </reference>
        </references>
      </pivotArea>
    </format>
    <format dxfId="7283">
      <pivotArea dataOnly="0" labelOnly="1" fieldPosition="0">
        <references count="4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7284">
      <pivotArea dataOnly="0" labelOnly="1" fieldPosition="0">
        <references count="4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7285">
      <pivotArea dataOnly="0" labelOnly="1" fieldPosition="0">
        <references count="4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>
            <x v="4"/>
          </reference>
        </references>
      </pivotArea>
    </format>
    <format dxfId="7286">
      <pivotArea dataOnly="0" labelOnly="1" fieldPosition="0">
        <references count="4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7287">
      <pivotArea dataOnly="0" labelOnly="1" fieldPosition="0">
        <references count="4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7288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89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7290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291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92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18"/>
          </reference>
        </references>
      </pivotArea>
    </format>
    <format dxfId="7293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294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7295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7296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27"/>
          </reference>
        </references>
      </pivotArea>
    </format>
    <format dxfId="7297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7298">
      <pivotArea dataOnly="0" labelOnly="1" fieldPosition="0">
        <references count="5">
          <reference field="0" count="1" selected="0">
            <x v="45"/>
          </reference>
          <reference field="1" count="1" selected="0">
            <x v="520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26"/>
          </reference>
        </references>
      </pivotArea>
    </format>
    <format dxfId="7299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7300">
      <pivotArea collapsedLevelsAreSubtotals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301">
      <pivotArea collapsedLevelsAreSubtotals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302">
      <pivotArea collapsedLevelsAreSubtotals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7303">
      <pivotArea dataOnly="0" labelOnly="1" fieldPosition="0">
        <references count="3">
          <reference field="0" count="1" selected="0">
            <x v="46"/>
          </reference>
          <reference field="1" count="3">
            <x v="59"/>
            <x v="60"/>
            <x v="441"/>
          </reference>
          <reference field="2" count="1" selected="0">
            <x v="12"/>
          </reference>
        </references>
      </pivotArea>
    </format>
    <format dxfId="7304">
      <pivotArea dataOnly="0" labelOnly="1" fieldPosition="0">
        <references count="4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7305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306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307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7308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7309">
      <pivotArea collapsedLevelsAreSubtotals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310">
      <pivotArea collapsedLevelsAreSubtotals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311">
      <pivotArea collapsedLevelsAreSubtotals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7312">
      <pivotArea collapsedLevelsAreSubtotals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313">
      <pivotArea collapsedLevelsAreSubtotals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7314">
      <pivotArea collapsedLevelsAreSubtotals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7315">
      <pivotArea collapsedLevelsAreSubtotals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7316">
      <pivotArea collapsedLevelsAreSubtotals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7317">
      <pivotArea dataOnly="0" labelOnly="1" fieldPosition="0">
        <references count="3">
          <reference field="0" count="1" selected="0">
            <x v="47"/>
          </reference>
          <reference field="1" count="8">
            <x v="37"/>
            <x v="85"/>
            <x v="234"/>
            <x v="319"/>
            <x v="356"/>
            <x v="358"/>
            <x v="359"/>
            <x v="521"/>
          </reference>
          <reference field="2" count="1" selected="0">
            <x v="37"/>
          </reference>
        </references>
      </pivotArea>
    </format>
    <format dxfId="7318">
      <pivotArea dataOnly="0" labelOnly="1" fieldPosition="0">
        <references count="4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319">
      <pivotArea dataOnly="0" labelOnly="1" fieldPosition="0">
        <references count="4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7320">
      <pivotArea dataOnly="0" labelOnly="1" fieldPosition="0">
        <references count="4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321">
      <pivotArea dataOnly="0" labelOnly="1" fieldPosition="0">
        <references count="4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>
            <x v="0"/>
          </reference>
        </references>
      </pivotArea>
    </format>
    <format dxfId="7322">
      <pivotArea dataOnly="0" labelOnly="1" fieldPosition="0">
        <references count="4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323">
      <pivotArea dataOnly="0" labelOnly="1" fieldPosition="0">
        <references count="4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7324">
      <pivotArea dataOnly="0" labelOnly="1" fieldPosition="0">
        <references count="4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7325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326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327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7328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7329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328"/>
          </reference>
        </references>
      </pivotArea>
    </format>
    <format dxfId="7330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7331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7332">
      <pivotArea dataOnly="0" labelOnly="1" fieldPosition="0">
        <references count="5">
          <reference field="0" count="1" selected="0">
            <x v="47"/>
          </reference>
          <reference field="1" count="1" selected="0">
            <x v="521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226"/>
          </reference>
        </references>
      </pivotArea>
    </format>
    <format dxfId="7333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7334">
      <pivotArea collapsedLevelsAreSubtotals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7335">
      <pivotArea dataOnly="0" labelOnly="1" fieldPosition="0">
        <references count="3">
          <reference field="0" count="1" selected="0">
            <x v="48"/>
          </reference>
          <reference field="1" count="1">
            <x v="184"/>
          </reference>
          <reference field="2" count="1" selected="0">
            <x v="32"/>
          </reference>
        </references>
      </pivotArea>
    </format>
    <format dxfId="7336">
      <pivotArea dataOnly="0" labelOnly="1" fieldPosition="0">
        <references count="4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>
            <x v="7"/>
          </reference>
        </references>
      </pivotArea>
    </format>
    <format dxfId="7337">
      <pivotArea dataOnly="0" labelOnly="1" fieldPosition="0">
        <references count="5">
          <reference field="0" count="1" selected="0">
            <x v="48"/>
          </reference>
          <reference field="1" count="1" selected="0">
            <x v="184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7338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7339">
      <pivotArea collapsedLevelsAreSubtotals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7340">
      <pivotArea collapsedLevelsAreSubtotals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7341">
      <pivotArea collapsedLevelsAreSubtotals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7342">
      <pivotArea collapsedLevelsAreSubtotals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7343">
      <pivotArea dataOnly="0" labelOnly="1" fieldPosition="0">
        <references count="3">
          <reference field="0" count="1" selected="0">
            <x v="49"/>
          </reference>
          <reference field="1" count="4">
            <x v="309"/>
            <x v="367"/>
            <x v="522"/>
            <x v="523"/>
          </reference>
          <reference field="2" count="1" selected="0">
            <x v="6"/>
          </reference>
        </references>
      </pivotArea>
    </format>
    <format dxfId="7344">
      <pivotArea dataOnly="0" labelOnly="1" fieldPosition="0">
        <references count="4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7345">
      <pivotArea dataOnly="0" labelOnly="1" fieldPosition="0">
        <references count="4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7346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29"/>
          </reference>
        </references>
      </pivotArea>
    </format>
    <format dxfId="7347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7348">
      <pivotArea dataOnly="0" labelOnly="1" fieldPosition="0">
        <references count="5">
          <reference field="0" count="1" selected="0">
            <x v="49"/>
          </reference>
          <reference field="1" count="1" selected="0">
            <x v="522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330"/>
          </reference>
        </references>
      </pivotArea>
    </format>
    <format dxfId="7349">
      <pivotArea dataOnly="0" labelOnly="1" fieldPosition="0">
        <references count="5">
          <reference field="0" count="1" selected="0">
            <x v="49"/>
          </reference>
          <reference field="1" count="1" selected="0">
            <x v="523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31"/>
          </reference>
        </references>
      </pivotArea>
    </format>
    <format dxfId="7350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7351">
      <pivotArea collapsedLevelsAreSubtotals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7352">
      <pivotArea collapsedLevelsAreSubtotals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353">
      <pivotArea collapsedLevelsAreSubtotals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7354">
      <pivotArea collapsedLevelsAreSubtotals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355">
      <pivotArea collapsedLevelsAreSubtotals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356">
      <pivotArea collapsedLevelsAreSubtotals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357">
      <pivotArea collapsedLevelsAreSubtotals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358">
      <pivotArea collapsedLevelsAreSubtotals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7359">
      <pivotArea collapsedLevelsAreSubtotals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7360">
      <pivotArea collapsedLevelsAreSubtotals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7361">
      <pivotArea dataOnly="0" labelOnly="1" fieldPosition="0">
        <references count="2">
          <reference field="0" count="1" selected="0">
            <x v="50"/>
          </reference>
          <reference field="2" count="1">
            <x v="44"/>
          </reference>
        </references>
      </pivotArea>
    </format>
    <format dxfId="7362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7363">
      <pivotArea dataOnly="0" labelOnly="1" fieldPosition="0">
        <references count="3">
          <reference field="0" count="1" selected="0">
            <x v="50"/>
          </reference>
          <reference field="1" count="9">
            <x v="20"/>
            <x v="139"/>
            <x v="169"/>
            <x v="170"/>
            <x v="202"/>
            <x v="211"/>
            <x v="265"/>
            <x v="346"/>
            <x v="388"/>
          </reference>
          <reference field="2" count="1" selected="0">
            <x v="44"/>
          </reference>
        </references>
      </pivotArea>
    </format>
    <format dxfId="7364">
      <pivotArea dataOnly="0" labelOnly="1" fieldPosition="0">
        <references count="4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>
            <x v="4"/>
          </reference>
        </references>
      </pivotArea>
    </format>
    <format dxfId="7365">
      <pivotArea dataOnly="0" labelOnly="1" fieldPosition="0">
        <references count="4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7366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7367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368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7369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370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371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372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373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7374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7375">
      <pivotArea collapsedLevelsAreSubtotals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7376">
      <pivotArea collapsedLevelsAreSubtotals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377">
      <pivotArea collapsedLevelsAreSubtotals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7378">
      <pivotArea collapsedLevelsAreSubtotals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379">
      <pivotArea collapsedLevelsAreSubtotals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7380">
      <pivotArea collapsedLevelsAreSubtotals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7381">
      <pivotArea collapsedLevelsAreSubtotals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382">
      <pivotArea collapsedLevelsAreSubtotals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7383">
      <pivotArea dataOnly="0" labelOnly="1" fieldPosition="0">
        <references count="2">
          <reference field="0" count="1" selected="0">
            <x v="51"/>
          </reference>
          <reference field="2" count="1">
            <x v="23"/>
          </reference>
        </references>
      </pivotArea>
    </format>
    <format dxfId="7384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7385">
      <pivotArea dataOnly="0" labelOnly="1" fieldPosition="0">
        <references count="3">
          <reference field="0" count="1" selected="0">
            <x v="51"/>
          </reference>
          <reference field="1" count="7">
            <x v="220"/>
            <x v="221"/>
            <x v="264"/>
            <x v="361"/>
            <x v="380"/>
            <x v="524"/>
            <x v="525"/>
          </reference>
          <reference field="2" count="1" selected="0">
            <x v="23"/>
          </reference>
        </references>
      </pivotArea>
    </format>
    <format dxfId="7386">
      <pivotArea dataOnly="0" labelOnly="1" fieldPosition="0">
        <references count="4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>
            <x v="3"/>
          </reference>
        </references>
      </pivotArea>
    </format>
    <format dxfId="7387">
      <pivotArea dataOnly="0" labelOnly="1" fieldPosition="0">
        <references count="4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>
            <x v="0"/>
          </reference>
        </references>
      </pivotArea>
    </format>
    <format dxfId="7388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7389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390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7391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392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7393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7394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395">
      <pivotArea collapsedLevelsAreSubtotals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7396">
      <pivotArea collapsedLevelsAreSubtotals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7397">
      <pivotArea collapsedLevelsAreSubtotals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7398">
      <pivotArea collapsedLevelsAreSubtotals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7399">
      <pivotArea dataOnly="0" labelOnly="1" fieldPosition="0">
        <references count="2">
          <reference field="0" count="1" selected="0">
            <x v="52"/>
          </reference>
          <reference field="2" count="1">
            <x v="14"/>
          </reference>
        </references>
      </pivotArea>
    </format>
    <format dxfId="7400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7401">
      <pivotArea dataOnly="0" labelOnly="1" fieldPosition="0">
        <references count="3">
          <reference field="0" count="1" selected="0">
            <x v="52"/>
          </reference>
          <reference field="1" count="3">
            <x v="345"/>
            <x v="436"/>
            <x v="526"/>
          </reference>
          <reference field="2" count="1" selected="0">
            <x v="14"/>
          </reference>
        </references>
      </pivotArea>
    </format>
    <format dxfId="7402">
      <pivotArea dataOnly="0" labelOnly="1" fieldPosition="0">
        <references count="4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7403">
      <pivotArea dataOnly="0" labelOnly="1" fieldPosition="0">
        <references count="4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7404">
      <pivotArea dataOnly="0" labelOnly="1" fieldPosition="0">
        <references count="4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7405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7406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7407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7408">
      <pivotArea collapsedLevelsAreSubtotals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09">
      <pivotArea collapsedLevelsAreSubtotals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7410">
      <pivotArea collapsedLevelsAreSubtotals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7411">
      <pivotArea collapsedLevelsAreSubtotals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7412">
      <pivotArea dataOnly="0" labelOnly="1" fieldPosition="0">
        <references count="2">
          <reference field="0" count="1" selected="0">
            <x v="53"/>
          </reference>
          <reference field="2" count="1">
            <x v="63"/>
          </reference>
        </references>
      </pivotArea>
    </format>
    <format dxfId="7413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7414">
      <pivotArea dataOnly="0" labelOnly="1" fieldPosition="0">
        <references count="3">
          <reference field="0" count="1" selected="0">
            <x v="53"/>
          </reference>
          <reference field="1" count="3">
            <x v="114"/>
            <x v="143"/>
            <x v="403"/>
          </reference>
          <reference field="2" count="1" selected="0">
            <x v="63"/>
          </reference>
        </references>
      </pivotArea>
    </format>
    <format dxfId="7415">
      <pivotArea dataOnly="0" labelOnly="1" fieldPosition="0">
        <references count="4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>
            <x v="3"/>
          </reference>
        </references>
      </pivotArea>
    </format>
    <format dxfId="7416">
      <pivotArea dataOnly="0" labelOnly="1" fieldPosition="0">
        <references count="4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>
            <x v="0"/>
          </reference>
        </references>
      </pivotArea>
    </format>
    <format dxfId="7417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18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7419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7420">
      <pivotArea collapsedLevelsAreSubtotals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7421">
      <pivotArea collapsedLevelsAreSubtotals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422">
      <pivotArea collapsedLevelsAreSubtotals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7423">
      <pivotArea dataOnly="0" labelOnly="1" fieldPosition="0">
        <references count="2">
          <reference field="0" count="1" selected="0">
            <x v="54"/>
          </reference>
          <reference field="2" count="1">
            <x v="64"/>
          </reference>
        </references>
      </pivotArea>
    </format>
    <format dxfId="7424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7425">
      <pivotArea dataOnly="0" labelOnly="1" fieldPosition="0">
        <references count="3">
          <reference field="0" count="1" selected="0">
            <x v="54"/>
          </reference>
          <reference field="1" count="2">
            <x v="313"/>
            <x v="351"/>
          </reference>
          <reference field="2" count="1" selected="0">
            <x v="64"/>
          </reference>
        </references>
      </pivotArea>
    </format>
    <format dxfId="7426">
      <pivotArea dataOnly="0" labelOnly="1" fieldPosition="0">
        <references count="4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7427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7428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429">
      <pivotArea collapsedLevelsAreSubtotals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7430">
      <pivotArea collapsedLevelsAreSubtotals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431">
      <pivotArea collapsedLevelsAreSubtotals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7432">
      <pivotArea collapsedLevelsAreSubtotals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7433">
      <pivotArea dataOnly="0" labelOnly="1" fieldPosition="0">
        <references count="2">
          <reference field="0" count="1" selected="0">
            <x v="55"/>
          </reference>
          <reference field="2" count="1">
            <x v="48"/>
          </reference>
        </references>
      </pivotArea>
    </format>
    <format dxfId="7434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7435">
      <pivotArea dataOnly="0" labelOnly="1" fieldPosition="0">
        <references count="3">
          <reference field="0" count="1" selected="0">
            <x v="55"/>
          </reference>
          <reference field="1" count="3">
            <x v="242"/>
            <x v="303"/>
            <x v="412"/>
          </reference>
          <reference field="2" count="1" selected="0">
            <x v="48"/>
          </reference>
        </references>
      </pivotArea>
    </format>
    <format dxfId="7436">
      <pivotArea dataOnly="0" labelOnly="1" fieldPosition="0">
        <references count="4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>
            <x v="4"/>
          </reference>
        </references>
      </pivotArea>
    </format>
    <format dxfId="7437">
      <pivotArea dataOnly="0" labelOnly="1" fieldPosition="0">
        <references count="4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>
            <x v="3"/>
          </reference>
        </references>
      </pivotArea>
    </format>
    <format dxfId="7438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7439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440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7441">
      <pivotArea collapsedLevelsAreSubtotals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7442">
      <pivotArea collapsedLevelsAreSubtotals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43">
      <pivotArea collapsedLevelsAreSubtotals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7444">
      <pivotArea collapsedLevelsAreSubtotals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445">
      <pivotArea collapsedLevelsAreSubtotals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46">
      <pivotArea collapsedLevelsAreSubtotals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447">
      <pivotArea collapsedLevelsAreSubtotals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448">
      <pivotArea collapsedLevelsAreSubtotals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7449">
      <pivotArea collapsedLevelsAreSubtotals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7450">
      <pivotArea dataOnly="0" labelOnly="1" fieldPosition="0">
        <references count="3">
          <reference field="0" count="1" selected="0">
            <x v="50"/>
          </reference>
          <reference field="1" count="9">
            <x v="20"/>
            <x v="139"/>
            <x v="169"/>
            <x v="170"/>
            <x v="202"/>
            <x v="211"/>
            <x v="265"/>
            <x v="346"/>
            <x v="388"/>
          </reference>
          <reference field="2" count="1" selected="0">
            <x v="44"/>
          </reference>
        </references>
      </pivotArea>
    </format>
    <format dxfId="7451">
      <pivotArea dataOnly="0" labelOnly="1" fieldPosition="0">
        <references count="4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>
            <x v="4"/>
          </reference>
        </references>
      </pivotArea>
    </format>
    <format dxfId="7452">
      <pivotArea dataOnly="0" labelOnly="1" fieldPosition="0">
        <references count="4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7453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7454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55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7456">
      <pivotArea dataOnly="0" labelOnly="1" fieldPosition="0">
        <references count="5">
          <reference field="0" count="1" selected="0">
            <x v="50"/>
          </reference>
          <reference field="1" count="1" selected="0">
            <x v="170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457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58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459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7460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7461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7462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7463">
      <pivotArea collapsedLevelsAreSubtotals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7464">
      <pivotArea collapsedLevelsAreSubtotals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465">
      <pivotArea collapsedLevelsAreSubtotals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7466">
      <pivotArea collapsedLevelsAreSubtotals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467">
      <pivotArea collapsedLevelsAreSubtotals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7468">
      <pivotArea collapsedLevelsAreSubtotals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7469">
      <pivotArea collapsedLevelsAreSubtotals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470">
      <pivotArea dataOnly="0" labelOnly="1" fieldPosition="0">
        <references count="3">
          <reference field="0" count="1" selected="0">
            <x v="51"/>
          </reference>
          <reference field="1" count="7">
            <x v="220"/>
            <x v="221"/>
            <x v="264"/>
            <x v="361"/>
            <x v="380"/>
            <x v="524"/>
            <x v="525"/>
          </reference>
          <reference field="2" count="1" selected="0">
            <x v="23"/>
          </reference>
        </references>
      </pivotArea>
    </format>
    <format dxfId="7471">
      <pivotArea dataOnly="0" labelOnly="1" fieldPosition="0">
        <references count="4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>
            <x v="3"/>
          </reference>
        </references>
      </pivotArea>
    </format>
    <format dxfId="7472">
      <pivotArea dataOnly="0" labelOnly="1" fieldPosition="0">
        <references count="4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>
            <x v="0"/>
          </reference>
        </references>
      </pivotArea>
    </format>
    <format dxfId="7473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7474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475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7476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477">
      <pivotArea dataOnly="0" labelOnly="1" fieldPosition="0">
        <references count="5">
          <reference field="0" count="1" selected="0">
            <x v="51"/>
          </reference>
          <reference field="1" count="1" selected="0">
            <x v="380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3"/>
          </reference>
        </references>
      </pivotArea>
    </format>
    <format dxfId="7478">
      <pivotArea dataOnly="0" labelOnly="1" fieldPosition="0">
        <references count="5">
          <reference field="0" count="1" selected="0">
            <x v="51"/>
          </reference>
          <reference field="1" count="1" selected="0">
            <x v="524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332"/>
          </reference>
        </references>
      </pivotArea>
    </format>
    <format dxfId="7479">
      <pivotArea dataOnly="0" labelOnly="1" fieldPosition="0">
        <references count="5">
          <reference field="0" count="1" selected="0">
            <x v="51"/>
          </reference>
          <reference field="1" count="1" selected="0">
            <x v="525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7480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7481">
      <pivotArea collapsedLevelsAreSubtotals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7482">
      <pivotArea collapsedLevelsAreSubtotals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7483">
      <pivotArea collapsedLevelsAreSubtotals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7484">
      <pivotArea dataOnly="0" labelOnly="1" fieldPosition="0">
        <references count="3">
          <reference field="0" count="1" selected="0">
            <x v="52"/>
          </reference>
          <reference field="1" count="3">
            <x v="345"/>
            <x v="436"/>
            <x v="526"/>
          </reference>
          <reference field="2" count="1" selected="0">
            <x v="14"/>
          </reference>
        </references>
      </pivotArea>
    </format>
    <format dxfId="7485">
      <pivotArea dataOnly="0" labelOnly="1" fieldPosition="0">
        <references count="4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7486">
      <pivotArea dataOnly="0" labelOnly="1" fieldPosition="0">
        <references count="4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7487">
      <pivotArea dataOnly="0" labelOnly="1" fieldPosition="0">
        <references count="4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7488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7489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7490">
      <pivotArea dataOnly="0" labelOnly="1" fieldPosition="0">
        <references count="5">
          <reference field="0" count="1" selected="0">
            <x v="52"/>
          </reference>
          <reference field="1" count="1" selected="0">
            <x v="526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245"/>
          </reference>
        </references>
      </pivotArea>
    </format>
    <format dxfId="7491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7492">
      <pivotArea collapsedLevelsAreSubtotals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93">
      <pivotArea collapsedLevelsAreSubtotals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7494">
      <pivotArea collapsedLevelsAreSubtotals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7495">
      <pivotArea dataOnly="0" labelOnly="1" fieldPosition="0">
        <references count="3">
          <reference field="0" count="1" selected="0">
            <x v="53"/>
          </reference>
          <reference field="1" count="3">
            <x v="114"/>
            <x v="143"/>
            <x v="403"/>
          </reference>
          <reference field="2" count="1" selected="0">
            <x v="63"/>
          </reference>
        </references>
      </pivotArea>
    </format>
    <format dxfId="7496">
      <pivotArea dataOnly="0" labelOnly="1" fieldPosition="0">
        <references count="4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>
            <x v="3"/>
          </reference>
        </references>
      </pivotArea>
    </format>
    <format dxfId="7497">
      <pivotArea dataOnly="0" labelOnly="1" fieldPosition="0">
        <references count="4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>
            <x v="0"/>
          </reference>
        </references>
      </pivotArea>
    </format>
    <format dxfId="7498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7499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7500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7501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7502">
      <pivotArea collapsedLevelsAreSubtotals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7503">
      <pivotArea collapsedLevelsAreSubtotals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504">
      <pivotArea dataOnly="0" labelOnly="1" fieldPosition="0">
        <references count="3">
          <reference field="0" count="1" selected="0">
            <x v="54"/>
          </reference>
          <reference field="1" count="2">
            <x v="313"/>
            <x v="351"/>
          </reference>
          <reference field="2" count="1" selected="0">
            <x v="64"/>
          </reference>
        </references>
      </pivotArea>
    </format>
    <format dxfId="7505">
      <pivotArea dataOnly="0" labelOnly="1" fieldPosition="0">
        <references count="4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7506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335"/>
          </reference>
        </references>
      </pivotArea>
    </format>
    <format dxfId="7507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508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7509">
      <pivotArea collapsedLevelsAreSubtotals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7510">
      <pivotArea collapsedLevelsAreSubtotals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511">
      <pivotArea collapsedLevelsAreSubtotals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7512">
      <pivotArea dataOnly="0" labelOnly="1" fieldPosition="0">
        <references count="3">
          <reference field="0" count="1" selected="0">
            <x v="55"/>
          </reference>
          <reference field="1" count="3">
            <x v="242"/>
            <x v="303"/>
            <x v="412"/>
          </reference>
          <reference field="2" count="1" selected="0">
            <x v="48"/>
          </reference>
        </references>
      </pivotArea>
    </format>
    <format dxfId="7513">
      <pivotArea dataOnly="0" labelOnly="1" fieldPosition="0">
        <references count="4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>
            <x v="4"/>
          </reference>
        </references>
      </pivotArea>
    </format>
    <format dxfId="7514">
      <pivotArea dataOnly="0" labelOnly="1" fieldPosition="0">
        <references count="4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>
            <x v="3"/>
          </reference>
        </references>
      </pivotArea>
    </format>
    <format dxfId="7515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7516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7517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7518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7519">
      <pivotArea collapsedLevelsAreSubtotals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520">
      <pivotArea collapsedLevelsAreSubtotals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521">
      <pivotArea collapsedLevelsAreSubtotals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7522">
      <pivotArea dataOnly="0" labelOnly="1" fieldPosition="0">
        <references count="2">
          <reference field="0" count="1" selected="0">
            <x v="56"/>
          </reference>
          <reference field="2" count="1">
            <x v="15"/>
          </reference>
        </references>
      </pivotArea>
    </format>
    <format dxfId="7523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7524">
      <pivotArea dataOnly="0" labelOnly="1" fieldPosition="0">
        <references count="3">
          <reference field="0" count="1" selected="0">
            <x v="56"/>
          </reference>
          <reference field="1" count="2">
            <x v="3"/>
            <x v="7"/>
          </reference>
          <reference field="2" count="1" selected="0">
            <x v="15"/>
          </reference>
        </references>
      </pivotArea>
    </format>
    <format dxfId="7525">
      <pivotArea dataOnly="0" labelOnly="1" fieldPosition="0">
        <references count="4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>
            <x v="3"/>
          </reference>
        </references>
      </pivotArea>
    </format>
    <format dxfId="7526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7527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528">
      <pivotArea collapsedLevelsAreSubtotals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529">
      <pivotArea collapsedLevelsAreSubtotals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530">
      <pivotArea collapsedLevelsAreSubtotals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7531">
      <pivotArea collapsedLevelsAreSubtotals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7532">
      <pivotArea dataOnly="0" labelOnly="1" fieldPosition="0">
        <references count="2">
          <reference field="0" count="1" selected="0">
            <x v="57"/>
          </reference>
          <reference field="2" count="1">
            <x v="30"/>
          </reference>
        </references>
      </pivotArea>
    </format>
    <format dxfId="7533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7534">
      <pivotArea dataOnly="0" labelOnly="1" fieldPosition="0">
        <references count="3">
          <reference field="0" count="1" selected="0">
            <x v="57"/>
          </reference>
          <reference field="1" count="3">
            <x v="51"/>
            <x v="271"/>
            <x v="324"/>
          </reference>
          <reference field="2" count="1" selected="0">
            <x v="30"/>
          </reference>
        </references>
      </pivotArea>
    </format>
    <format dxfId="7535">
      <pivotArea dataOnly="0" labelOnly="1" fieldPosition="0">
        <references count="4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>
            <x v="3"/>
          </reference>
        </references>
      </pivotArea>
    </format>
    <format dxfId="7536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537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538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7539">
      <pivotArea collapsedLevelsAreSubtotals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7540">
      <pivotArea collapsedLevelsAreSubtotals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541">
      <pivotArea collapsedLevelsAreSubtotals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7542">
      <pivotArea dataOnly="0" labelOnly="1" fieldPosition="0">
        <references count="2">
          <reference field="0" count="1" selected="0">
            <x v="58"/>
          </reference>
          <reference field="2" count="1">
            <x v="27"/>
          </reference>
        </references>
      </pivotArea>
    </format>
    <format dxfId="7543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7544">
      <pivotArea dataOnly="0" labelOnly="1" fieldPosition="0">
        <references count="3">
          <reference field="0" count="1" selected="0">
            <x v="58"/>
          </reference>
          <reference field="1" count="2">
            <x v="62"/>
            <x v="255"/>
          </reference>
          <reference field="2" count="1" selected="0">
            <x v="27"/>
          </reference>
        </references>
      </pivotArea>
    </format>
    <format dxfId="7545">
      <pivotArea dataOnly="0" labelOnly="1" fieldPosition="0">
        <references count="4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>
            <x v="3"/>
          </reference>
        </references>
      </pivotArea>
    </format>
    <format dxfId="7546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7547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548">
      <pivotArea collapsedLevelsAreSubtotals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7549">
      <pivotArea collapsedLevelsAreSubtotals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550">
      <pivotArea collapsedLevelsAreSubtotals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551">
      <pivotArea collapsedLevelsAreSubtotals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7552">
      <pivotArea collapsedLevelsAreSubtotals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7553">
      <pivotArea collapsedLevelsAreSubtotals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7554">
      <pivotArea collapsedLevelsAreSubtotals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7555">
      <pivotArea collapsedLevelsAreSubtotals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7556">
      <pivotArea collapsedLevelsAreSubtotals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557">
      <pivotArea collapsedLevelsAreSubtotals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7558">
      <pivotArea collapsedLevelsAreSubtotals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7559">
      <pivotArea collapsedLevelsAreSubtotals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7560">
      <pivotArea collapsedLevelsAreSubtotals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7561">
      <pivotArea collapsedLevelsAreSubtotals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7562">
      <pivotArea dataOnly="0" labelOnly="1" fieldPosition="0">
        <references count="2">
          <reference field="0" count="1" selected="0">
            <x v="59"/>
          </reference>
          <reference field="2" count="1">
            <x v="1"/>
          </reference>
        </references>
      </pivotArea>
    </format>
    <format dxfId="7563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7564">
      <pivotArea dataOnly="0" labelOnly="1" fieldPosition="0">
        <references count="3">
          <reference field="0" count="1" selected="0">
            <x v="59"/>
          </reference>
          <reference field="1" count="13">
            <x v="68"/>
            <x v="79"/>
            <x v="80"/>
            <x v="148"/>
            <x v="187"/>
            <x v="233"/>
            <x v="281"/>
            <x v="315"/>
            <x v="335"/>
            <x v="363"/>
            <x v="377"/>
            <x v="527"/>
            <x v="528"/>
          </reference>
          <reference field="2" count="1" selected="0">
            <x v="1"/>
          </reference>
        </references>
      </pivotArea>
    </format>
    <format dxfId="7565">
      <pivotArea dataOnly="0" labelOnly="1" fieldPosition="0">
        <references count="4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566">
      <pivotArea dataOnly="0" labelOnly="1" fieldPosition="0">
        <references count="4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7567">
      <pivotArea dataOnly="0" labelOnly="1" fieldPosition="0">
        <references count="4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568">
      <pivotArea dataOnly="0" labelOnly="1" fieldPosition="0">
        <references count="4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>
            <x v="0"/>
          </reference>
        </references>
      </pivotArea>
    </format>
    <format dxfId="7569">
      <pivotArea dataOnly="0" labelOnly="1" fieldPosition="0">
        <references count="4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570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7571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572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7573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7574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7575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7576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7577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7578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579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7580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7581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7582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7583">
      <pivotArea collapsedLevelsAreSubtotals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7584">
      <pivotArea collapsedLevelsAreSubtotals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7585">
      <pivotArea dataOnly="0" labelOnly="1" fieldPosition="0">
        <references count="2">
          <reference field="0" count="1" selected="0">
            <x v="60"/>
          </reference>
          <reference field="2" count="1">
            <x v="59"/>
          </reference>
        </references>
      </pivotArea>
    </format>
    <format dxfId="7586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7587">
      <pivotArea dataOnly="0" labelOnly="1" fieldPosition="0">
        <references count="3">
          <reference field="0" count="1" selected="0">
            <x v="60"/>
          </reference>
          <reference field="1" count="1">
            <x v="71"/>
          </reference>
          <reference field="2" count="1" selected="0">
            <x v="59"/>
          </reference>
        </references>
      </pivotArea>
    </format>
    <format dxfId="7588">
      <pivotArea dataOnly="0" labelOnly="1" fieldPosition="0">
        <references count="4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>
            <x v="0"/>
          </reference>
        </references>
      </pivotArea>
    </format>
    <format dxfId="7589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7590">
      <pivotArea collapsedLevelsAreSubtotals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7591">
      <pivotArea collapsedLevelsAreSubtotals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7592">
      <pivotArea collapsedLevelsAreSubtotals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593">
      <pivotArea collapsedLevelsAreSubtotals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7594">
      <pivotArea dataOnly="0" labelOnly="1" fieldPosition="0">
        <references count="2">
          <reference field="0" count="1" selected="0">
            <x v="61"/>
          </reference>
          <reference field="2" count="1">
            <x v="21"/>
          </reference>
        </references>
      </pivotArea>
    </format>
    <format dxfId="7595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7596">
      <pivotArea dataOnly="0" labelOnly="1" fieldPosition="0">
        <references count="3">
          <reference field="0" count="1" selected="0">
            <x v="61"/>
          </reference>
          <reference field="1" count="3">
            <x v="94"/>
            <x v="294"/>
            <x v="295"/>
          </reference>
          <reference field="2" count="1" selected="0">
            <x v="21"/>
          </reference>
        </references>
      </pivotArea>
    </format>
    <format dxfId="7597">
      <pivotArea dataOnly="0" labelOnly="1" fieldPosition="0">
        <references count="4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>
            <x v="4"/>
          </reference>
        </references>
      </pivotArea>
    </format>
    <format dxfId="7598">
      <pivotArea dataOnly="0" labelOnly="1" fieldPosition="0">
        <references count="4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>
            <x v="3"/>
          </reference>
        </references>
      </pivotArea>
    </format>
    <format dxfId="7599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7600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7601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602">
      <pivotArea collapsedLevelsAreSubtotals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7603">
      <pivotArea collapsedLevelsAreSubtotals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7604">
      <pivotArea dataOnly="0" labelOnly="1" fieldPosition="0">
        <references count="2">
          <reference field="0" count="1" selected="0">
            <x v="63"/>
          </reference>
          <reference field="2" count="1">
            <x v="11"/>
          </reference>
        </references>
      </pivotArea>
    </format>
    <format dxfId="7605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7606">
      <pivotArea dataOnly="0" labelOnly="1" fieldPosition="0">
        <references count="3">
          <reference field="0" count="1" selected="0">
            <x v="63"/>
          </reference>
          <reference field="1" count="1">
            <x v="183"/>
          </reference>
          <reference field="2" count="1" selected="0">
            <x v="11"/>
          </reference>
        </references>
      </pivotArea>
    </format>
    <format dxfId="7607">
      <pivotArea dataOnly="0" labelOnly="1" fieldPosition="0">
        <references count="4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7608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7609">
      <pivotArea collapsedLevelsAreSubtotals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7610">
      <pivotArea collapsedLevelsAreSubtotals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7611">
      <pivotArea collapsedLevelsAreSubtotals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7612">
      <pivotArea collapsedLevelsAreSubtotals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7613">
      <pivotArea collapsedLevelsAreSubtotals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7614">
      <pivotArea dataOnly="0" labelOnly="1" fieldPosition="0">
        <references count="2">
          <reference field="0" count="1" selected="0">
            <x v="65"/>
          </reference>
          <reference field="2" count="1">
            <x v="56"/>
          </reference>
        </references>
      </pivotArea>
    </format>
    <format dxfId="7615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7616">
      <pivotArea dataOnly="0" labelOnly="1" fieldPosition="0">
        <references count="3">
          <reference field="0" count="1" selected="0">
            <x v="65"/>
          </reference>
          <reference field="1" count="4">
            <x v="25"/>
            <x v="56"/>
            <x v="275"/>
            <x v="529"/>
          </reference>
          <reference field="2" count="1" selected="0">
            <x v="56"/>
          </reference>
        </references>
      </pivotArea>
    </format>
    <format dxfId="7617">
      <pivotArea dataOnly="0" labelOnly="1" fieldPosition="0">
        <references count="4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>
            <x v="0"/>
          </reference>
        </references>
      </pivotArea>
    </format>
    <format dxfId="7618">
      <pivotArea dataOnly="0" labelOnly="1" fieldPosition="0">
        <references count="4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7619">
      <pivotArea dataOnly="0" labelOnly="1" fieldPosition="0">
        <references count="4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>
            <x v="3"/>
          </reference>
        </references>
      </pivotArea>
    </format>
    <format dxfId="7620">
      <pivotArea dataOnly="0" labelOnly="1" fieldPosition="0">
        <references count="4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7621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7622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7623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7624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95">
      <pivotArea collapsedLevelsAreSubtotals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94">
      <pivotArea collapsedLevelsAreSubtotals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93">
      <pivotArea dataOnly="0" labelOnly="1" fieldPosition="0">
        <references count="3">
          <reference field="0" count="1" selected="0">
            <x v="56"/>
          </reference>
          <reference field="1" count="2">
            <x v="3"/>
            <x v="7"/>
          </reference>
          <reference field="2" count="1" selected="0">
            <x v="15"/>
          </reference>
        </references>
      </pivotArea>
    </format>
    <format dxfId="92">
      <pivotArea dataOnly="0" labelOnly="1" fieldPosition="0">
        <references count="4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>
            <x v="3"/>
          </reference>
        </references>
      </pivotArea>
    </format>
    <format dxfId="91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90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89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88">
      <pivotArea collapsedLevelsAreSubtotals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7">
      <pivotArea collapsedLevelsAreSubtotals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86">
      <pivotArea collapsedLevelsAreSubtotals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85">
      <pivotArea dataOnly="0" labelOnly="1" fieldPosition="0">
        <references count="3">
          <reference field="0" count="1" selected="0">
            <x v="57"/>
          </reference>
          <reference field="1" count="3">
            <x v="51"/>
            <x v="271"/>
            <x v="324"/>
          </reference>
          <reference field="2" count="1" selected="0">
            <x v="30"/>
          </reference>
        </references>
      </pivotArea>
    </format>
    <format dxfId="84">
      <pivotArea dataOnly="0" labelOnly="1" fieldPosition="0">
        <references count="4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>
            <x v="3"/>
          </reference>
        </references>
      </pivotArea>
    </format>
    <format dxfId="83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2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81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80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79">
      <pivotArea collapsedLevelsAreSubtotals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78">
      <pivotArea collapsedLevelsAreSubtotals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7">
      <pivotArea dataOnly="0" labelOnly="1" fieldPosition="0">
        <references count="3">
          <reference field="0" count="1" selected="0">
            <x v="58"/>
          </reference>
          <reference field="1" count="2">
            <x v="62"/>
            <x v="255"/>
          </reference>
          <reference field="2" count="1" selected="0">
            <x v="27"/>
          </reference>
        </references>
      </pivotArea>
    </format>
    <format dxfId="76">
      <pivotArea dataOnly="0" labelOnly="1" fieldPosition="0">
        <references count="4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>
            <x v="3"/>
          </reference>
        </references>
      </pivotArea>
    </format>
    <format dxfId="75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74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73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72">
      <pivotArea collapsedLevelsAreSubtotals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71">
      <pivotArea collapsedLevelsAreSubtotals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0">
      <pivotArea collapsedLevelsAreSubtotals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69">
      <pivotArea collapsedLevelsAreSubtotals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68">
      <pivotArea collapsedLevelsAreSubtotals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67">
      <pivotArea collapsedLevelsAreSubtotals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66">
      <pivotArea collapsedLevelsAreSubtotals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65">
      <pivotArea collapsedLevelsAreSubtotals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64">
      <pivotArea collapsedLevelsAreSubtotals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3">
      <pivotArea collapsedLevelsAreSubtotals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62">
      <pivotArea collapsedLevelsAreSubtotals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61">
      <pivotArea collapsedLevelsAreSubtotals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60">
      <pivotArea collapsedLevelsAreSubtotals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59">
      <pivotArea dataOnly="0" labelOnly="1" fieldPosition="0">
        <references count="3">
          <reference field="0" count="1" selected="0">
            <x v="59"/>
          </reference>
          <reference field="1" count="13">
            <x v="68"/>
            <x v="79"/>
            <x v="80"/>
            <x v="148"/>
            <x v="187"/>
            <x v="233"/>
            <x v="281"/>
            <x v="315"/>
            <x v="335"/>
            <x v="363"/>
            <x v="377"/>
            <x v="527"/>
            <x v="528"/>
          </reference>
          <reference field="2" count="1" selected="0">
            <x v="1"/>
          </reference>
        </references>
      </pivotArea>
    </format>
    <format dxfId="58">
      <pivotArea dataOnly="0" labelOnly="1" fieldPosition="0">
        <references count="4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57">
      <pivotArea dataOnly="0" labelOnly="1" fieldPosition="0">
        <references count="4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56">
      <pivotArea dataOnly="0" labelOnly="1" fieldPosition="0">
        <references count="4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55">
      <pivotArea dataOnly="0" labelOnly="1" fieldPosition="0">
        <references count="4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>
            <x v="0"/>
          </reference>
        </references>
      </pivotArea>
    </format>
    <format dxfId="54">
      <pivotArea dataOnly="0" labelOnly="1" fieldPosition="0">
        <references count="4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53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52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1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50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49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8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6"/>
          </reference>
        </references>
      </pivotArea>
    </format>
    <format dxfId="47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69"/>
          </reference>
        </references>
      </pivotArea>
    </format>
    <format dxfId="46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7"/>
          </reference>
        </references>
      </pivotArea>
    </format>
    <format dxfId="45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338"/>
          </reference>
        </references>
      </pivotArea>
    </format>
    <format dxfId="43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42">
      <pivotArea dataOnly="0" labelOnly="1" fieldPosition="0">
        <references count="5">
          <reference field="0" count="1" selected="0">
            <x v="59"/>
          </reference>
          <reference field="1" count="1" selected="0">
            <x v="52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39"/>
          </reference>
        </references>
      </pivotArea>
    </format>
    <format dxfId="41">
      <pivotArea dataOnly="0" labelOnly="1" fieldPosition="0">
        <references count="5">
          <reference field="0" count="1" selected="0">
            <x v="59"/>
          </reference>
          <reference field="1" count="1" selected="0">
            <x v="52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40"/>
          </reference>
        </references>
      </pivotArea>
    </format>
    <format dxfId="40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39">
      <pivotArea collapsedLevelsAreSubtotals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8">
      <pivotArea dataOnly="0" labelOnly="1" fieldPosition="0">
        <references count="3">
          <reference field="0" count="1" selected="0">
            <x v="60"/>
          </reference>
          <reference field="1" count="1">
            <x v="71"/>
          </reference>
          <reference field="2" count="1" selected="0">
            <x v="59"/>
          </reference>
        </references>
      </pivotArea>
    </format>
    <format dxfId="37">
      <pivotArea dataOnly="0" labelOnly="1" fieldPosition="0">
        <references count="4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>
            <x v="0"/>
          </reference>
        </references>
      </pivotArea>
    </format>
    <format dxfId="36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35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34">
      <pivotArea collapsedLevelsAreSubtotals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33">
      <pivotArea collapsedLevelsAreSubtotals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32">
      <pivotArea collapsedLevelsAreSubtotals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1">
      <pivotArea dataOnly="0" labelOnly="1" fieldPosition="0">
        <references count="3">
          <reference field="0" count="1" selected="0">
            <x v="61"/>
          </reference>
          <reference field="1" count="3">
            <x v="94"/>
            <x v="294"/>
            <x v="295"/>
          </reference>
          <reference field="2" count="1" selected="0">
            <x v="21"/>
          </reference>
        </references>
      </pivotArea>
    </format>
    <format dxfId="30">
      <pivotArea dataOnly="0" labelOnly="1" fieldPosition="0">
        <references count="4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>
            <x v="4"/>
          </reference>
        </references>
      </pivotArea>
    </format>
    <format dxfId="29">
      <pivotArea dataOnly="0" labelOnly="1" fieldPosition="0">
        <references count="4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>
            <x v="3"/>
          </reference>
        </references>
      </pivotArea>
    </format>
    <format dxfId="28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27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341"/>
          </reference>
        </references>
      </pivotArea>
    </format>
    <format dxfId="26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5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24">
      <pivotArea collapsedLevelsAreSubtotals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23">
      <pivotArea dataOnly="0" labelOnly="1" fieldPosition="0">
        <references count="3">
          <reference field="0" count="1" selected="0">
            <x v="63"/>
          </reference>
          <reference field="1" count="1">
            <x v="183"/>
          </reference>
          <reference field="2" count="1" selected="0">
            <x v="11"/>
          </reference>
        </references>
      </pivotArea>
    </format>
    <format dxfId="22">
      <pivotArea dataOnly="0" labelOnly="1" fieldPosition="0">
        <references count="4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21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342"/>
          </reference>
        </references>
      </pivotArea>
    </format>
    <format dxfId="20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19">
      <pivotArea collapsedLevelsAreSubtotals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18">
      <pivotArea collapsedLevelsAreSubtotals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17">
      <pivotArea collapsedLevelsAreSubtotals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16">
      <pivotArea collapsedLevelsAreSubtotals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15">
      <pivotArea dataOnly="0" labelOnly="1" fieldPosition="0">
        <references count="3">
          <reference field="0" count="1" selected="0">
            <x v="65"/>
          </reference>
          <reference field="1" count="4">
            <x v="25"/>
            <x v="56"/>
            <x v="275"/>
            <x v="529"/>
          </reference>
          <reference field="2" count="1" selected="0">
            <x v="56"/>
          </reference>
        </references>
      </pivotArea>
    </format>
    <format dxfId="14">
      <pivotArea dataOnly="0" labelOnly="1" fieldPosition="0">
        <references count="4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>
            <x v="0"/>
          </reference>
        </references>
      </pivotArea>
    </format>
    <format dxfId="13">
      <pivotArea dataOnly="0" labelOnly="1" fieldPosition="0">
        <references count="4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12">
      <pivotArea dataOnly="0" labelOnly="1" fieldPosition="0">
        <references count="4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>
            <x v="3"/>
          </reference>
        </references>
      </pivotArea>
    </format>
    <format dxfId="11">
      <pivotArea dataOnly="0" labelOnly="1" fieldPosition="0">
        <references count="4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10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9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332"/>
          </reference>
        </references>
      </pivotArea>
    </format>
    <format dxfId="8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7">
      <pivotArea dataOnly="0" labelOnly="1" fieldPosition="0">
        <references count="5">
          <reference field="0" count="1" selected="0">
            <x v="65"/>
          </reference>
          <reference field="1" count="1" selected="0">
            <x v="529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11"/>
          </reference>
        </references>
      </pivotArea>
    </format>
    <format dxfId="6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5">
      <pivotArea collapsedLevelsAreSubtotals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4">
      <pivotArea dataOnly="0" labelOnly="1" fieldPosition="0">
        <references count="3">
          <reference field="0" count="1" selected="0">
            <x v="66"/>
          </reference>
          <reference field="1" count="1">
            <x v="195"/>
          </reference>
          <reference field="2" count="1" selected="0">
            <x v="66"/>
          </reference>
        </references>
      </pivotArea>
    </format>
    <format dxfId="3">
      <pivotArea dataOnly="0" labelOnly="1" fieldPosition="0">
        <references count="4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>
            <x v="3"/>
          </reference>
        </references>
      </pivotArea>
    </format>
    <format dxfId="2">
      <pivotArea dataOnly="0" labelOnly="1" fieldPosition="0">
        <references count="5">
          <reference field="0" count="1" selected="0">
            <x v="66"/>
          </reference>
          <reference field="1" count="1" selected="0">
            <x v="195"/>
          </reference>
          <reference field="2" count="1" selected="0">
            <x v="66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1">
      <pivotArea dataOnly="0" labelOnly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  <format dxfId="0">
      <pivotArea collapsedLevelsAreSubtotals="1" fieldPosition="0">
        <references count="2">
          <reference field="0" count="1" selected="0">
            <x v="66"/>
          </reference>
          <reference field="2" count="1" defaultSubtotal="1">
            <x v="6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02"/>
  <sheetViews>
    <sheetView tabSelected="1" zoomScale="90" zoomScaleNormal="90" workbookViewId="0">
      <pane ySplit="3" topLeftCell="A4" activePane="bottomLeft" state="frozen"/>
      <selection pane="bottomLeft" activeCell="M11" sqref="M11"/>
    </sheetView>
  </sheetViews>
  <sheetFormatPr defaultRowHeight="15" x14ac:dyDescent="0.25"/>
  <cols>
    <col min="1" max="1" width="5.28515625" customWidth="1"/>
    <col min="2" max="2" width="21.28515625" customWidth="1"/>
    <col min="3" max="3" width="25.28515625" customWidth="1"/>
    <col min="4" max="4" width="47.140625" customWidth="1"/>
    <col min="5" max="5" width="17.42578125" customWidth="1"/>
    <col min="6" max="6" width="30.5703125" style="14" customWidth="1"/>
    <col min="7" max="7" width="11.42578125" style="14" customWidth="1"/>
    <col min="8" max="8" width="18" style="14" customWidth="1"/>
    <col min="9" max="9" width="35.5703125" style="14" customWidth="1"/>
    <col min="10" max="10" width="5.85546875" customWidth="1"/>
    <col min="20" max="20" width="5.140625" customWidth="1"/>
  </cols>
  <sheetData>
    <row r="1" spans="2:9" ht="11.25" customHeight="1" thickBot="1" x14ac:dyDescent="0.3"/>
    <row r="2" spans="2:9" ht="28.5" customHeight="1" thickBot="1" x14ac:dyDescent="0.3">
      <c r="B2" s="217" t="s">
        <v>650</v>
      </c>
      <c r="C2" s="218"/>
      <c r="D2" s="218"/>
      <c r="E2" s="218"/>
      <c r="F2" s="218"/>
      <c r="G2" s="218"/>
      <c r="H2" s="218"/>
      <c r="I2" s="219"/>
    </row>
    <row r="3" spans="2:9" ht="15.75" thickBot="1" x14ac:dyDescent="0.3">
      <c r="B3" s="74" t="s">
        <v>646</v>
      </c>
      <c r="C3" s="73" t="s">
        <v>65</v>
      </c>
      <c r="D3" s="73" t="s">
        <v>142</v>
      </c>
      <c r="E3" s="73" t="s">
        <v>66</v>
      </c>
      <c r="F3" s="77" t="s">
        <v>67</v>
      </c>
      <c r="G3" s="258" t="s">
        <v>647</v>
      </c>
      <c r="H3" s="75" t="s">
        <v>648</v>
      </c>
      <c r="I3" s="76" t="s">
        <v>649</v>
      </c>
    </row>
    <row r="4" spans="2:9" x14ac:dyDescent="0.25">
      <c r="B4" s="15" t="s">
        <v>76</v>
      </c>
      <c r="C4" s="261" t="s">
        <v>11</v>
      </c>
      <c r="D4" s="228" t="s">
        <v>411</v>
      </c>
      <c r="E4" s="236" t="s">
        <v>69</v>
      </c>
      <c r="F4" s="237">
        <v>2006</v>
      </c>
      <c r="G4" s="238">
        <v>1</v>
      </c>
      <c r="H4" s="239">
        <v>4.5999999999999996</v>
      </c>
      <c r="I4" s="240">
        <v>20.66</v>
      </c>
    </row>
    <row r="5" spans="2:9" ht="15.75" thickBot="1" x14ac:dyDescent="0.3">
      <c r="B5" s="16"/>
      <c r="C5" s="262"/>
      <c r="D5" s="255" t="s">
        <v>386</v>
      </c>
      <c r="E5" s="250" t="s">
        <v>69</v>
      </c>
      <c r="F5" s="251">
        <v>1998</v>
      </c>
      <c r="G5" s="252">
        <v>1</v>
      </c>
      <c r="H5" s="253">
        <v>10.6</v>
      </c>
      <c r="I5" s="254">
        <v>47</v>
      </c>
    </row>
    <row r="6" spans="2:9" ht="15.75" thickBot="1" x14ac:dyDescent="0.3">
      <c r="B6" s="17"/>
      <c r="C6" s="243" t="s">
        <v>582</v>
      </c>
      <c r="D6" s="243"/>
      <c r="E6" s="243"/>
      <c r="F6" s="243"/>
      <c r="G6" s="248">
        <v>2</v>
      </c>
      <c r="H6" s="245">
        <v>15.2</v>
      </c>
      <c r="I6" s="246">
        <v>67.66</v>
      </c>
    </row>
    <row r="7" spans="2:9" x14ac:dyDescent="0.25">
      <c r="B7" s="15" t="s">
        <v>77</v>
      </c>
      <c r="C7" s="261" t="s">
        <v>10</v>
      </c>
      <c r="D7" s="236" t="s">
        <v>203</v>
      </c>
      <c r="E7" s="236" t="s">
        <v>72</v>
      </c>
      <c r="F7" s="237">
        <v>2009</v>
      </c>
      <c r="G7" s="238">
        <v>1</v>
      </c>
      <c r="H7" s="239">
        <v>28.78</v>
      </c>
      <c r="I7" s="240">
        <v>94.88</v>
      </c>
    </row>
    <row r="8" spans="2:9" x14ac:dyDescent="0.25">
      <c r="B8" s="16"/>
      <c r="C8" s="234"/>
      <c r="D8" s="230" t="s">
        <v>215</v>
      </c>
      <c r="E8" s="230" t="s">
        <v>72</v>
      </c>
      <c r="F8" s="231">
        <v>2006</v>
      </c>
      <c r="G8" s="232">
        <v>1</v>
      </c>
      <c r="H8" s="233">
        <v>0.55000000000000004</v>
      </c>
      <c r="I8" s="242">
        <v>4.2699999999999996</v>
      </c>
    </row>
    <row r="9" spans="2:9" x14ac:dyDescent="0.25">
      <c r="B9" s="16"/>
      <c r="C9" s="234"/>
      <c r="D9" s="230" t="s">
        <v>264</v>
      </c>
      <c r="E9" s="230" t="s">
        <v>72</v>
      </c>
      <c r="F9" s="231">
        <v>2004</v>
      </c>
      <c r="G9" s="232">
        <v>1</v>
      </c>
      <c r="H9" s="233">
        <v>8.84</v>
      </c>
      <c r="I9" s="242">
        <v>41</v>
      </c>
    </row>
    <row r="10" spans="2:9" ht="15.75" thickBot="1" x14ac:dyDescent="0.3">
      <c r="B10" s="16"/>
      <c r="C10" s="234"/>
      <c r="D10" s="230" t="s">
        <v>351</v>
      </c>
      <c r="E10" s="230" t="s">
        <v>72</v>
      </c>
      <c r="F10" s="231">
        <v>2009</v>
      </c>
      <c r="G10" s="232">
        <v>1</v>
      </c>
      <c r="H10" s="233">
        <v>5.85</v>
      </c>
      <c r="I10" s="242">
        <v>23.2</v>
      </c>
    </row>
    <row r="11" spans="2:9" ht="15.75" thickBot="1" x14ac:dyDescent="0.3">
      <c r="B11" s="17"/>
      <c r="C11" s="256" t="s">
        <v>583</v>
      </c>
      <c r="D11" s="256"/>
      <c r="E11" s="256"/>
      <c r="F11" s="256"/>
      <c r="G11" s="257">
        <v>4</v>
      </c>
      <c r="H11" s="84">
        <v>44.02</v>
      </c>
      <c r="I11" s="247">
        <v>163.34999999999997</v>
      </c>
    </row>
    <row r="12" spans="2:9" x14ac:dyDescent="0.25">
      <c r="B12" s="15" t="s">
        <v>78</v>
      </c>
      <c r="C12" s="261" t="s">
        <v>22</v>
      </c>
      <c r="D12" s="228" t="s">
        <v>202</v>
      </c>
      <c r="E12" s="236" t="s">
        <v>72</v>
      </c>
      <c r="F12" s="266">
        <v>41556</v>
      </c>
      <c r="G12" s="238">
        <v>1</v>
      </c>
      <c r="H12" s="239">
        <v>12.502000000000001</v>
      </c>
      <c r="I12" s="240">
        <v>45.5</v>
      </c>
    </row>
    <row r="13" spans="2:9" x14ac:dyDescent="0.25">
      <c r="B13" s="16"/>
      <c r="C13" s="234"/>
      <c r="D13" s="263" t="s">
        <v>205</v>
      </c>
      <c r="E13" s="230" t="s">
        <v>72</v>
      </c>
      <c r="F13" s="235">
        <v>41556</v>
      </c>
      <c r="G13" s="232">
        <v>1</v>
      </c>
      <c r="H13" s="233">
        <v>13.81</v>
      </c>
      <c r="I13" s="242">
        <v>39.89</v>
      </c>
    </row>
    <row r="14" spans="2:9" x14ac:dyDescent="0.25">
      <c r="B14" s="16"/>
      <c r="C14" s="234"/>
      <c r="D14" s="263" t="s">
        <v>219</v>
      </c>
      <c r="E14" s="230" t="s">
        <v>72</v>
      </c>
      <c r="F14" s="231">
        <v>1997</v>
      </c>
      <c r="G14" s="232">
        <v>1</v>
      </c>
      <c r="H14" s="233">
        <v>3.15</v>
      </c>
      <c r="I14" s="242">
        <v>16</v>
      </c>
    </row>
    <row r="15" spans="2:9" x14ac:dyDescent="0.25">
      <c r="B15" s="16"/>
      <c r="C15" s="234"/>
      <c r="D15" s="263" t="s">
        <v>493</v>
      </c>
      <c r="E15" s="230" t="s">
        <v>72</v>
      </c>
      <c r="F15" s="231">
        <v>1997</v>
      </c>
      <c r="G15" s="232">
        <v>1</v>
      </c>
      <c r="H15" s="233"/>
      <c r="I15" s="242"/>
    </row>
    <row r="16" spans="2:9" x14ac:dyDescent="0.25">
      <c r="B16" s="16"/>
      <c r="C16" s="234"/>
      <c r="D16" s="263" t="s">
        <v>404</v>
      </c>
      <c r="E16" s="230" t="s">
        <v>69</v>
      </c>
      <c r="F16" s="231">
        <v>2010</v>
      </c>
      <c r="G16" s="232">
        <v>1</v>
      </c>
      <c r="H16" s="233">
        <v>28.72</v>
      </c>
      <c r="I16" s="242">
        <v>88.1</v>
      </c>
    </row>
    <row r="17" spans="2:9" x14ac:dyDescent="0.25">
      <c r="B17" s="16"/>
      <c r="C17" s="234"/>
      <c r="D17" s="263" t="s">
        <v>194</v>
      </c>
      <c r="E17" s="230" t="s">
        <v>72</v>
      </c>
      <c r="F17" s="231">
        <v>2001</v>
      </c>
      <c r="G17" s="232">
        <v>1</v>
      </c>
      <c r="H17" s="233">
        <v>2.2000000000000002</v>
      </c>
      <c r="I17" s="242">
        <v>11.75</v>
      </c>
    </row>
    <row r="18" spans="2:9" x14ac:dyDescent="0.25">
      <c r="B18" s="16"/>
      <c r="C18" s="234"/>
      <c r="D18" s="263" t="s">
        <v>244</v>
      </c>
      <c r="E18" s="230" t="s">
        <v>72</v>
      </c>
      <c r="F18" s="235">
        <v>41537</v>
      </c>
      <c r="G18" s="232">
        <v>1</v>
      </c>
      <c r="H18" s="233">
        <v>3.0649999999999999</v>
      </c>
      <c r="I18" s="242">
        <v>5.64</v>
      </c>
    </row>
    <row r="19" spans="2:9" x14ac:dyDescent="0.25">
      <c r="B19" s="16"/>
      <c r="C19" s="234"/>
      <c r="D19" s="263" t="s">
        <v>248</v>
      </c>
      <c r="E19" s="230" t="s">
        <v>72</v>
      </c>
      <c r="F19" s="235">
        <v>41124</v>
      </c>
      <c r="G19" s="232">
        <v>1</v>
      </c>
      <c r="H19" s="233">
        <v>8.44</v>
      </c>
      <c r="I19" s="242">
        <v>30.5</v>
      </c>
    </row>
    <row r="20" spans="2:9" x14ac:dyDescent="0.25">
      <c r="B20" s="16"/>
      <c r="C20" s="234"/>
      <c r="D20" s="263" t="s">
        <v>250</v>
      </c>
      <c r="E20" s="230" t="s">
        <v>72</v>
      </c>
      <c r="F20" s="231">
        <v>2010</v>
      </c>
      <c r="G20" s="232">
        <v>1</v>
      </c>
      <c r="H20" s="233">
        <v>3.66</v>
      </c>
      <c r="I20" s="242">
        <v>14.904</v>
      </c>
    </row>
    <row r="21" spans="2:9" x14ac:dyDescent="0.25">
      <c r="B21" s="16"/>
      <c r="C21" s="234"/>
      <c r="D21" s="263" t="s">
        <v>253</v>
      </c>
      <c r="E21" s="230" t="s">
        <v>72</v>
      </c>
      <c r="F21" s="231">
        <v>2009</v>
      </c>
      <c r="G21" s="232">
        <v>1</v>
      </c>
      <c r="H21" s="233">
        <v>0.92</v>
      </c>
      <c r="I21" s="242">
        <v>4.38</v>
      </c>
    </row>
    <row r="22" spans="2:9" ht="15.75" thickBot="1" x14ac:dyDescent="0.3">
      <c r="B22" s="16"/>
      <c r="C22" s="234"/>
      <c r="D22" s="255" t="s">
        <v>652</v>
      </c>
      <c r="E22" s="250" t="s">
        <v>69</v>
      </c>
      <c r="F22" s="271">
        <v>42028</v>
      </c>
      <c r="G22" s="252">
        <v>1</v>
      </c>
      <c r="H22" s="253">
        <v>30.09</v>
      </c>
      <c r="I22" s="254">
        <v>71.180000000000007</v>
      </c>
    </row>
    <row r="23" spans="2:9" ht="15.75" thickBot="1" x14ac:dyDescent="0.3">
      <c r="B23" s="17"/>
      <c r="C23" s="82" t="s">
        <v>584</v>
      </c>
      <c r="D23" s="256"/>
      <c r="E23" s="256"/>
      <c r="F23" s="256"/>
      <c r="G23" s="79">
        <v>11</v>
      </c>
      <c r="H23" s="84">
        <v>106.557</v>
      </c>
      <c r="I23" s="247">
        <v>327.84399999999999</v>
      </c>
    </row>
    <row r="24" spans="2:9" x14ac:dyDescent="0.25">
      <c r="B24" s="264" t="s">
        <v>79</v>
      </c>
      <c r="C24" s="229" t="s">
        <v>48</v>
      </c>
      <c r="D24" s="228" t="s">
        <v>481</v>
      </c>
      <c r="E24" s="236" t="s">
        <v>72</v>
      </c>
      <c r="F24" s="237">
        <v>2000</v>
      </c>
      <c r="G24" s="238">
        <v>1</v>
      </c>
      <c r="H24" s="239">
        <v>7.5</v>
      </c>
      <c r="I24" s="240">
        <v>30</v>
      </c>
    </row>
    <row r="25" spans="2:9" x14ac:dyDescent="0.25">
      <c r="B25" s="16"/>
      <c r="C25" s="234"/>
      <c r="D25" s="263" t="s">
        <v>482</v>
      </c>
      <c r="E25" s="230" t="s">
        <v>72</v>
      </c>
      <c r="F25" s="231">
        <v>2001</v>
      </c>
      <c r="G25" s="232">
        <v>1</v>
      </c>
      <c r="H25" s="233">
        <v>7.5</v>
      </c>
      <c r="I25" s="242">
        <v>30</v>
      </c>
    </row>
    <row r="26" spans="2:9" x14ac:dyDescent="0.25">
      <c r="B26" s="16"/>
      <c r="C26" s="234"/>
      <c r="D26" s="263" t="s">
        <v>483</v>
      </c>
      <c r="E26" s="230" t="s">
        <v>72</v>
      </c>
      <c r="F26" s="231">
        <v>2002</v>
      </c>
      <c r="G26" s="232">
        <v>1</v>
      </c>
      <c r="H26" s="233">
        <v>7.5</v>
      </c>
      <c r="I26" s="242">
        <v>30</v>
      </c>
    </row>
    <row r="27" spans="2:9" x14ac:dyDescent="0.25">
      <c r="B27" s="16"/>
      <c r="C27" s="234"/>
      <c r="D27" s="263" t="s">
        <v>484</v>
      </c>
      <c r="E27" s="230" t="s">
        <v>72</v>
      </c>
      <c r="F27" s="231">
        <v>2002</v>
      </c>
      <c r="G27" s="232">
        <v>1</v>
      </c>
      <c r="H27" s="233">
        <v>7.5</v>
      </c>
      <c r="I27" s="242">
        <v>30</v>
      </c>
    </row>
    <row r="28" spans="2:9" x14ac:dyDescent="0.25">
      <c r="B28" s="16"/>
      <c r="C28" s="234"/>
      <c r="D28" s="263" t="s">
        <v>485</v>
      </c>
      <c r="E28" s="230" t="s">
        <v>72</v>
      </c>
      <c r="F28" s="231">
        <v>2003</v>
      </c>
      <c r="G28" s="232">
        <v>1</v>
      </c>
      <c r="H28" s="233">
        <v>7.5</v>
      </c>
      <c r="I28" s="242">
        <v>30</v>
      </c>
    </row>
    <row r="29" spans="2:9" x14ac:dyDescent="0.25">
      <c r="B29" s="16"/>
      <c r="C29" s="234"/>
      <c r="D29" s="263" t="s">
        <v>488</v>
      </c>
      <c r="E29" s="230" t="s">
        <v>72</v>
      </c>
      <c r="F29" s="231">
        <v>1998</v>
      </c>
      <c r="G29" s="232">
        <v>1</v>
      </c>
      <c r="H29" s="233">
        <v>0.34</v>
      </c>
      <c r="I29" s="242">
        <v>1.7</v>
      </c>
    </row>
    <row r="30" spans="2:9" x14ac:dyDescent="0.25">
      <c r="B30" s="16"/>
      <c r="C30" s="234"/>
      <c r="D30" s="263" t="s">
        <v>230</v>
      </c>
      <c r="E30" s="230" t="s">
        <v>72</v>
      </c>
      <c r="F30" s="231">
        <v>2008</v>
      </c>
      <c r="G30" s="232">
        <v>1</v>
      </c>
      <c r="H30" s="233">
        <v>8.74</v>
      </c>
      <c r="I30" s="242">
        <v>35</v>
      </c>
    </row>
    <row r="31" spans="2:9" x14ac:dyDescent="0.25">
      <c r="B31" s="16"/>
      <c r="C31" s="234"/>
      <c r="D31" s="263" t="s">
        <v>503</v>
      </c>
      <c r="E31" s="230" t="s">
        <v>72</v>
      </c>
      <c r="F31" s="231">
        <v>2002</v>
      </c>
      <c r="G31" s="232">
        <v>1</v>
      </c>
      <c r="H31" s="233">
        <v>42</v>
      </c>
      <c r="I31" s="242">
        <v>187.5</v>
      </c>
    </row>
    <row r="32" spans="2:9" x14ac:dyDescent="0.25">
      <c r="B32" s="16"/>
      <c r="C32" s="234"/>
      <c r="D32" s="263" t="s">
        <v>262</v>
      </c>
      <c r="E32" s="230" t="s">
        <v>69</v>
      </c>
      <c r="F32" s="235">
        <v>40657</v>
      </c>
      <c r="G32" s="232">
        <v>1</v>
      </c>
      <c r="H32" s="233">
        <v>60</v>
      </c>
      <c r="I32" s="242">
        <v>216.3</v>
      </c>
    </row>
    <row r="33" spans="2:9" x14ac:dyDescent="0.25">
      <c r="B33" s="16"/>
      <c r="C33" s="234"/>
      <c r="D33" s="263" t="s">
        <v>195</v>
      </c>
      <c r="E33" s="230" t="s">
        <v>72</v>
      </c>
      <c r="F33" s="231">
        <v>1999</v>
      </c>
      <c r="G33" s="232">
        <v>1</v>
      </c>
      <c r="H33" s="233">
        <v>16.5</v>
      </c>
      <c r="I33" s="242">
        <v>90</v>
      </c>
    </row>
    <row r="34" spans="2:9" x14ac:dyDescent="0.25">
      <c r="B34" s="16"/>
      <c r="C34" s="234"/>
      <c r="D34" s="263" t="s">
        <v>272</v>
      </c>
      <c r="E34" s="230" t="s">
        <v>72</v>
      </c>
      <c r="F34" s="231">
        <v>2006</v>
      </c>
      <c r="G34" s="232">
        <v>1</v>
      </c>
      <c r="H34" s="233">
        <v>10.95</v>
      </c>
      <c r="I34" s="242">
        <v>46</v>
      </c>
    </row>
    <row r="35" spans="2:9" x14ac:dyDescent="0.25">
      <c r="B35" s="16"/>
      <c r="C35" s="234"/>
      <c r="D35" s="263" t="s">
        <v>301</v>
      </c>
      <c r="E35" s="230" t="s">
        <v>72</v>
      </c>
      <c r="F35" s="235">
        <v>41348</v>
      </c>
      <c r="G35" s="232">
        <v>1</v>
      </c>
      <c r="H35" s="233">
        <v>11.143000000000001</v>
      </c>
      <c r="I35" s="242">
        <v>49.2</v>
      </c>
    </row>
    <row r="36" spans="2:9" ht="15.75" thickBot="1" x14ac:dyDescent="0.3">
      <c r="B36" s="16"/>
      <c r="C36" s="234"/>
      <c r="D36" s="255" t="s">
        <v>653</v>
      </c>
      <c r="E36" s="250" t="s">
        <v>72</v>
      </c>
      <c r="F36" s="271">
        <v>41656</v>
      </c>
      <c r="G36" s="252">
        <v>1</v>
      </c>
      <c r="H36" s="253">
        <v>3.39</v>
      </c>
      <c r="I36" s="254">
        <v>22</v>
      </c>
    </row>
    <row r="37" spans="2:9" ht="15.75" thickBot="1" x14ac:dyDescent="0.3">
      <c r="B37" s="16"/>
      <c r="C37" s="82" t="s">
        <v>585</v>
      </c>
      <c r="D37" s="256"/>
      <c r="E37" s="256"/>
      <c r="F37" s="256"/>
      <c r="G37" s="79">
        <v>13</v>
      </c>
      <c r="H37" s="84">
        <v>190.56299999999999</v>
      </c>
      <c r="I37" s="247">
        <v>797.7</v>
      </c>
    </row>
    <row r="38" spans="2:9" ht="15.75" thickBot="1" x14ac:dyDescent="0.3">
      <c r="B38" s="15" t="s">
        <v>80</v>
      </c>
      <c r="C38" s="229" t="s">
        <v>81</v>
      </c>
      <c r="D38" s="272" t="s">
        <v>189</v>
      </c>
      <c r="E38" s="273" t="s">
        <v>72</v>
      </c>
      <c r="F38" s="274">
        <v>2001</v>
      </c>
      <c r="G38" s="260">
        <v>1</v>
      </c>
      <c r="H38" s="83">
        <v>3</v>
      </c>
      <c r="I38" s="275">
        <v>22.3</v>
      </c>
    </row>
    <row r="39" spans="2:9" ht="15.75" thickBot="1" x14ac:dyDescent="0.3">
      <c r="B39" s="17"/>
      <c r="C39" s="82" t="s">
        <v>586</v>
      </c>
      <c r="D39" s="256"/>
      <c r="E39" s="256"/>
      <c r="F39" s="256"/>
      <c r="G39" s="79">
        <v>1</v>
      </c>
      <c r="H39" s="84">
        <v>3</v>
      </c>
      <c r="I39" s="247">
        <v>22.3</v>
      </c>
    </row>
    <row r="40" spans="2:9" x14ac:dyDescent="0.25">
      <c r="B40" s="15" t="s">
        <v>82</v>
      </c>
      <c r="C40" s="81" t="s">
        <v>45</v>
      </c>
      <c r="D40" s="228" t="s">
        <v>254</v>
      </c>
      <c r="E40" s="236" t="s">
        <v>72</v>
      </c>
      <c r="F40" s="266">
        <v>40927</v>
      </c>
      <c r="G40" s="238">
        <v>1</v>
      </c>
      <c r="H40" s="239">
        <v>1.92</v>
      </c>
      <c r="I40" s="240">
        <v>10</v>
      </c>
    </row>
    <row r="41" spans="2:9" x14ac:dyDescent="0.25">
      <c r="B41" s="16"/>
      <c r="C41" s="241"/>
      <c r="D41" s="263" t="s">
        <v>181</v>
      </c>
      <c r="E41" s="230" t="s">
        <v>72</v>
      </c>
      <c r="F41" s="231">
        <v>1960</v>
      </c>
      <c r="G41" s="232">
        <v>1</v>
      </c>
      <c r="H41" s="233">
        <v>2.56</v>
      </c>
      <c r="I41" s="242">
        <v>8</v>
      </c>
    </row>
    <row r="42" spans="2:9" ht="15.75" thickBot="1" x14ac:dyDescent="0.3">
      <c r="B42" s="16"/>
      <c r="C42" s="241"/>
      <c r="D42" s="255" t="s">
        <v>654</v>
      </c>
      <c r="E42" s="250" t="s">
        <v>72</v>
      </c>
      <c r="F42" s="271">
        <v>42306</v>
      </c>
      <c r="G42" s="252">
        <v>1</v>
      </c>
      <c r="H42" s="253">
        <v>12.1</v>
      </c>
      <c r="I42" s="254">
        <v>49.91</v>
      </c>
    </row>
    <row r="43" spans="2:9" ht="15.75" thickBot="1" x14ac:dyDescent="0.3">
      <c r="B43" s="17"/>
      <c r="C43" s="82" t="s">
        <v>587</v>
      </c>
      <c r="D43" s="256"/>
      <c r="E43" s="256"/>
      <c r="F43" s="256"/>
      <c r="G43" s="79">
        <v>3</v>
      </c>
      <c r="H43" s="84">
        <v>16.579999999999998</v>
      </c>
      <c r="I43" s="247">
        <v>67.91</v>
      </c>
    </row>
    <row r="44" spans="2:9" x14ac:dyDescent="0.25">
      <c r="B44" s="15" t="s">
        <v>83</v>
      </c>
      <c r="C44" s="81" t="s">
        <v>19</v>
      </c>
      <c r="D44" s="228" t="s">
        <v>538</v>
      </c>
      <c r="E44" s="236" t="s">
        <v>576</v>
      </c>
      <c r="F44" s="266">
        <v>41832</v>
      </c>
      <c r="G44" s="238">
        <v>1</v>
      </c>
      <c r="H44" s="239">
        <v>7.48</v>
      </c>
      <c r="I44" s="240">
        <v>23.16</v>
      </c>
    </row>
    <row r="45" spans="2:9" x14ac:dyDescent="0.25">
      <c r="B45" s="16"/>
      <c r="C45" s="241"/>
      <c r="D45" s="263" t="s">
        <v>545</v>
      </c>
      <c r="E45" s="230" t="s">
        <v>69</v>
      </c>
      <c r="F45" s="235">
        <v>41717</v>
      </c>
      <c r="G45" s="232">
        <v>1</v>
      </c>
      <c r="H45" s="233">
        <v>10</v>
      </c>
      <c r="I45" s="242">
        <v>20</v>
      </c>
    </row>
    <row r="46" spans="2:9" x14ac:dyDescent="0.25">
      <c r="B46" s="16"/>
      <c r="C46" s="241"/>
      <c r="D46" s="263" t="s">
        <v>416</v>
      </c>
      <c r="E46" s="230" t="s">
        <v>69</v>
      </c>
      <c r="F46" s="235">
        <v>41506</v>
      </c>
      <c r="G46" s="232">
        <v>1</v>
      </c>
      <c r="H46" s="233">
        <v>28.03</v>
      </c>
      <c r="I46" s="242">
        <v>56.06</v>
      </c>
    </row>
    <row r="47" spans="2:9" x14ac:dyDescent="0.25">
      <c r="B47" s="16"/>
      <c r="C47" s="241"/>
      <c r="D47" s="263" t="s">
        <v>501</v>
      </c>
      <c r="E47" s="230" t="s">
        <v>72</v>
      </c>
      <c r="F47" s="231">
        <v>2009</v>
      </c>
      <c r="G47" s="232">
        <v>1</v>
      </c>
      <c r="H47" s="233">
        <v>19.920000000000002</v>
      </c>
      <c r="I47" s="242">
        <v>72</v>
      </c>
    </row>
    <row r="48" spans="2:9" x14ac:dyDescent="0.25">
      <c r="B48" s="16"/>
      <c r="C48" s="241"/>
      <c r="D48" s="263" t="s">
        <v>273</v>
      </c>
      <c r="E48" s="230" t="s">
        <v>72</v>
      </c>
      <c r="F48" s="231">
        <v>2008</v>
      </c>
      <c r="G48" s="232">
        <v>1</v>
      </c>
      <c r="H48" s="233">
        <v>2.4</v>
      </c>
      <c r="I48" s="242">
        <v>4.28</v>
      </c>
    </row>
    <row r="49" spans="2:9" x14ac:dyDescent="0.25">
      <c r="B49" s="16"/>
      <c r="C49" s="241"/>
      <c r="D49" s="263" t="s">
        <v>505</v>
      </c>
      <c r="E49" s="230" t="s">
        <v>72</v>
      </c>
      <c r="F49" s="235">
        <v>41319</v>
      </c>
      <c r="G49" s="232">
        <v>1</v>
      </c>
      <c r="H49" s="233">
        <v>4</v>
      </c>
      <c r="I49" s="242">
        <v>12</v>
      </c>
    </row>
    <row r="50" spans="2:9" x14ac:dyDescent="0.25">
      <c r="B50" s="16"/>
      <c r="C50" s="241"/>
      <c r="D50" s="263" t="s">
        <v>179</v>
      </c>
      <c r="E50" s="230" t="s">
        <v>72</v>
      </c>
      <c r="F50" s="231">
        <v>1952</v>
      </c>
      <c r="G50" s="232">
        <v>1</v>
      </c>
      <c r="H50" s="233">
        <v>1.181</v>
      </c>
      <c r="I50" s="242">
        <v>4</v>
      </c>
    </row>
    <row r="51" spans="2:9" x14ac:dyDescent="0.25">
      <c r="B51" s="16"/>
      <c r="C51" s="241"/>
      <c r="D51" s="263" t="s">
        <v>180</v>
      </c>
      <c r="E51" s="230" t="s">
        <v>72</v>
      </c>
      <c r="F51" s="231">
        <v>1952</v>
      </c>
      <c r="G51" s="232">
        <v>1</v>
      </c>
      <c r="H51" s="233">
        <v>0.71499999999999997</v>
      </c>
      <c r="I51" s="242">
        <v>3</v>
      </c>
    </row>
    <row r="52" spans="2:9" x14ac:dyDescent="0.25">
      <c r="B52" s="16"/>
      <c r="C52" s="241"/>
      <c r="D52" s="263" t="s">
        <v>331</v>
      </c>
      <c r="E52" s="230" t="s">
        <v>72</v>
      </c>
      <c r="F52" s="235">
        <v>41522</v>
      </c>
      <c r="G52" s="232">
        <v>1</v>
      </c>
      <c r="H52" s="233">
        <v>1.9</v>
      </c>
      <c r="I52" s="242">
        <v>8.08</v>
      </c>
    </row>
    <row r="53" spans="2:9" x14ac:dyDescent="0.25">
      <c r="B53" s="16"/>
      <c r="C53" s="241"/>
      <c r="D53" s="263" t="s">
        <v>354</v>
      </c>
      <c r="E53" s="230" t="s">
        <v>72</v>
      </c>
      <c r="F53" s="235">
        <v>40984</v>
      </c>
      <c r="G53" s="232">
        <v>1</v>
      </c>
      <c r="H53" s="233">
        <v>6.9240000000000004</v>
      </c>
      <c r="I53" s="242">
        <v>20</v>
      </c>
    </row>
    <row r="54" spans="2:9" x14ac:dyDescent="0.25">
      <c r="B54" s="16"/>
      <c r="C54" s="241"/>
      <c r="D54" s="263" t="s">
        <v>156</v>
      </c>
      <c r="E54" s="230" t="s">
        <v>72</v>
      </c>
      <c r="F54" s="231">
        <v>1952</v>
      </c>
      <c r="G54" s="232">
        <v>1</v>
      </c>
      <c r="H54" s="233">
        <v>2.3039999999999998</v>
      </c>
      <c r="I54" s="242">
        <v>8</v>
      </c>
    </row>
    <row r="55" spans="2:9" x14ac:dyDescent="0.25">
      <c r="B55" s="16"/>
      <c r="C55" s="241"/>
      <c r="D55" s="263" t="s">
        <v>452</v>
      </c>
      <c r="E55" s="230" t="s">
        <v>74</v>
      </c>
      <c r="F55" s="235">
        <v>40478</v>
      </c>
      <c r="G55" s="232">
        <v>1</v>
      </c>
      <c r="H55" s="233">
        <v>100</v>
      </c>
      <c r="I55" s="242">
        <v>423</v>
      </c>
    </row>
    <row r="56" spans="2:9" ht="15.75" thickBot="1" x14ac:dyDescent="0.3">
      <c r="B56" s="16"/>
      <c r="C56" s="241"/>
      <c r="D56" s="255" t="s">
        <v>655</v>
      </c>
      <c r="E56" s="250" t="s">
        <v>69</v>
      </c>
      <c r="F56" s="271">
        <v>42314</v>
      </c>
      <c r="G56" s="252">
        <v>1</v>
      </c>
      <c r="H56" s="253">
        <v>5.18</v>
      </c>
      <c r="I56" s="254">
        <v>14.96</v>
      </c>
    </row>
    <row r="57" spans="2:9" ht="15.75" thickBot="1" x14ac:dyDescent="0.3">
      <c r="B57" s="17"/>
      <c r="C57" s="82" t="s">
        <v>588</v>
      </c>
      <c r="D57" s="256"/>
      <c r="E57" s="256"/>
      <c r="F57" s="256"/>
      <c r="G57" s="79">
        <v>13</v>
      </c>
      <c r="H57" s="84">
        <v>190.03400000000005</v>
      </c>
      <c r="I57" s="247">
        <v>668.54000000000008</v>
      </c>
    </row>
    <row r="58" spans="2:9" ht="15.75" thickBot="1" x14ac:dyDescent="0.3">
      <c r="B58" s="15" t="s">
        <v>84</v>
      </c>
      <c r="C58" s="81" t="s">
        <v>28</v>
      </c>
      <c r="D58" s="228" t="s">
        <v>656</v>
      </c>
      <c r="E58" s="236" t="s">
        <v>69</v>
      </c>
      <c r="F58" s="237">
        <v>1956</v>
      </c>
      <c r="G58" s="238">
        <v>1</v>
      </c>
      <c r="H58" s="239">
        <v>160</v>
      </c>
      <c r="I58" s="240">
        <v>400</v>
      </c>
    </row>
    <row r="59" spans="2:9" ht="15.75" thickBot="1" x14ac:dyDescent="0.3">
      <c r="B59" s="17"/>
      <c r="C59" s="82" t="s">
        <v>589</v>
      </c>
      <c r="D59" s="256"/>
      <c r="E59" s="256"/>
      <c r="F59" s="256"/>
      <c r="G59" s="79">
        <v>1</v>
      </c>
      <c r="H59" s="84">
        <v>160</v>
      </c>
      <c r="I59" s="247">
        <v>400</v>
      </c>
    </row>
    <row r="60" spans="2:9" x14ac:dyDescent="0.25">
      <c r="B60" s="15" t="s">
        <v>85</v>
      </c>
      <c r="C60" s="81" t="s">
        <v>15</v>
      </c>
      <c r="D60" s="228" t="s">
        <v>146</v>
      </c>
      <c r="E60" s="236" t="s">
        <v>72</v>
      </c>
      <c r="F60" s="237">
        <v>1938</v>
      </c>
      <c r="G60" s="238">
        <v>1</v>
      </c>
      <c r="H60" s="239">
        <v>0.36</v>
      </c>
      <c r="I60" s="240">
        <v>1</v>
      </c>
    </row>
    <row r="61" spans="2:9" x14ac:dyDescent="0.25">
      <c r="B61" s="16"/>
      <c r="C61" s="241"/>
      <c r="D61" s="263" t="s">
        <v>494</v>
      </c>
      <c r="E61" s="230" t="s">
        <v>72</v>
      </c>
      <c r="F61" s="235">
        <v>41424</v>
      </c>
      <c r="G61" s="232">
        <v>1</v>
      </c>
      <c r="H61" s="233">
        <v>12.597</v>
      </c>
      <c r="I61" s="242">
        <v>58.11</v>
      </c>
    </row>
    <row r="62" spans="2:9" ht="15.75" thickBot="1" x14ac:dyDescent="0.3">
      <c r="B62" s="16"/>
      <c r="C62" s="241"/>
      <c r="D62" s="255" t="s">
        <v>243</v>
      </c>
      <c r="E62" s="250" t="s">
        <v>0</v>
      </c>
      <c r="F62" s="271">
        <v>40689</v>
      </c>
      <c r="G62" s="252">
        <v>1</v>
      </c>
      <c r="H62" s="253">
        <v>8.92</v>
      </c>
      <c r="I62" s="254">
        <v>63</v>
      </c>
    </row>
    <row r="63" spans="2:9" ht="15.75" thickBot="1" x14ac:dyDescent="0.3">
      <c r="B63" s="17"/>
      <c r="C63" s="82" t="s">
        <v>590</v>
      </c>
      <c r="D63" s="256"/>
      <c r="E63" s="256"/>
      <c r="F63" s="256"/>
      <c r="G63" s="79">
        <v>3</v>
      </c>
      <c r="H63" s="84">
        <v>21.876999999999999</v>
      </c>
      <c r="I63" s="247">
        <v>122.11</v>
      </c>
    </row>
    <row r="64" spans="2:9" ht="15.75" thickBot="1" x14ac:dyDescent="0.3">
      <c r="B64" s="15" t="s">
        <v>129</v>
      </c>
      <c r="C64" s="81" t="s">
        <v>43</v>
      </c>
      <c r="D64" s="272" t="s">
        <v>515</v>
      </c>
      <c r="E64" s="273" t="s">
        <v>72</v>
      </c>
      <c r="F64" s="274">
        <v>1938</v>
      </c>
      <c r="G64" s="260">
        <v>1</v>
      </c>
      <c r="H64" s="83">
        <v>0.38</v>
      </c>
      <c r="I64" s="275">
        <v>1.44</v>
      </c>
    </row>
    <row r="65" spans="2:9" ht="15.75" thickBot="1" x14ac:dyDescent="0.3">
      <c r="B65" s="17"/>
      <c r="C65" s="82" t="s">
        <v>591</v>
      </c>
      <c r="D65" s="256"/>
      <c r="E65" s="256"/>
      <c r="F65" s="256"/>
      <c r="G65" s="79">
        <v>1</v>
      </c>
      <c r="H65" s="84">
        <v>0.38</v>
      </c>
      <c r="I65" s="247">
        <v>1.44</v>
      </c>
    </row>
    <row r="66" spans="2:9" x14ac:dyDescent="0.25">
      <c r="B66" s="15" t="s">
        <v>130</v>
      </c>
      <c r="C66" s="81" t="s">
        <v>55</v>
      </c>
      <c r="D66" s="228" t="s">
        <v>200</v>
      </c>
      <c r="E66" s="236" t="s">
        <v>72</v>
      </c>
      <c r="F66" s="266">
        <v>41606</v>
      </c>
      <c r="G66" s="238">
        <v>1</v>
      </c>
      <c r="H66" s="239">
        <v>9.6</v>
      </c>
      <c r="I66" s="240">
        <v>49.21</v>
      </c>
    </row>
    <row r="67" spans="2:9" x14ac:dyDescent="0.25">
      <c r="B67" s="16"/>
      <c r="C67" s="241"/>
      <c r="D67" s="263" t="s">
        <v>550</v>
      </c>
      <c r="E67" s="230" t="s">
        <v>576</v>
      </c>
      <c r="F67" s="235">
        <v>41880</v>
      </c>
      <c r="G67" s="232">
        <v>1</v>
      </c>
      <c r="H67" s="233">
        <v>30.24</v>
      </c>
      <c r="I67" s="242">
        <v>171.68</v>
      </c>
    </row>
    <row r="68" spans="2:9" x14ac:dyDescent="0.25">
      <c r="B68" s="16"/>
      <c r="C68" s="241"/>
      <c r="D68" s="263" t="s">
        <v>145</v>
      </c>
      <c r="E68" s="230" t="s">
        <v>72</v>
      </c>
      <c r="F68" s="231">
        <v>1953</v>
      </c>
      <c r="G68" s="232">
        <v>1</v>
      </c>
      <c r="H68" s="233">
        <v>0.26400000000000001</v>
      </c>
      <c r="I68" s="242">
        <v>1</v>
      </c>
    </row>
    <row r="69" spans="2:9" x14ac:dyDescent="0.25">
      <c r="B69" s="16"/>
      <c r="C69" s="241"/>
      <c r="D69" s="263" t="s">
        <v>334</v>
      </c>
      <c r="E69" s="230" t="s">
        <v>72</v>
      </c>
      <c r="F69" s="231">
        <v>2000</v>
      </c>
      <c r="G69" s="232">
        <v>1</v>
      </c>
      <c r="H69" s="233">
        <v>9.3000000000000007</v>
      </c>
      <c r="I69" s="242">
        <v>55</v>
      </c>
    </row>
    <row r="70" spans="2:9" ht="15.75" thickBot="1" x14ac:dyDescent="0.3">
      <c r="B70" s="16"/>
      <c r="C70" s="241"/>
      <c r="D70" s="255" t="s">
        <v>144</v>
      </c>
      <c r="E70" s="250" t="s">
        <v>72</v>
      </c>
      <c r="F70" s="251">
        <v>1953</v>
      </c>
      <c r="G70" s="252">
        <v>1</v>
      </c>
      <c r="H70" s="253">
        <v>0.18</v>
      </c>
      <c r="I70" s="254">
        <v>0.5</v>
      </c>
    </row>
    <row r="71" spans="2:9" ht="15.75" thickBot="1" x14ac:dyDescent="0.3">
      <c r="B71" s="17"/>
      <c r="C71" s="82" t="s">
        <v>592</v>
      </c>
      <c r="D71" s="256"/>
      <c r="E71" s="256"/>
      <c r="F71" s="265"/>
      <c r="G71" s="79">
        <v>5</v>
      </c>
      <c r="H71" s="84">
        <v>49.583999999999996</v>
      </c>
      <c r="I71" s="247">
        <v>277.39</v>
      </c>
    </row>
    <row r="72" spans="2:9" x14ac:dyDescent="0.25">
      <c r="B72" s="264" t="s">
        <v>131</v>
      </c>
      <c r="C72" s="81" t="s">
        <v>24</v>
      </c>
      <c r="D72" s="228" t="s">
        <v>236</v>
      </c>
      <c r="E72" s="236" t="s">
        <v>72</v>
      </c>
      <c r="F72" s="266">
        <v>40991</v>
      </c>
      <c r="G72" s="238">
        <v>1</v>
      </c>
      <c r="H72" s="239">
        <v>9.26</v>
      </c>
      <c r="I72" s="240">
        <v>35</v>
      </c>
    </row>
    <row r="73" spans="2:9" x14ac:dyDescent="0.25">
      <c r="B73" s="16"/>
      <c r="C73" s="241"/>
      <c r="D73" s="263" t="s">
        <v>245</v>
      </c>
      <c r="E73" s="230" t="s">
        <v>72</v>
      </c>
      <c r="F73" s="231">
        <v>1991</v>
      </c>
      <c r="G73" s="232">
        <v>1</v>
      </c>
      <c r="H73" s="233">
        <v>7.23</v>
      </c>
      <c r="I73" s="242">
        <v>22</v>
      </c>
    </row>
    <row r="74" spans="2:9" x14ac:dyDescent="0.25">
      <c r="B74" s="16"/>
      <c r="C74" s="241"/>
      <c r="D74" s="263" t="s">
        <v>579</v>
      </c>
      <c r="E74" s="230" t="s">
        <v>576</v>
      </c>
      <c r="F74" s="235">
        <v>41754</v>
      </c>
      <c r="G74" s="232">
        <v>1</v>
      </c>
      <c r="H74" s="233">
        <v>46.2</v>
      </c>
      <c r="I74" s="242">
        <v>141.37</v>
      </c>
    </row>
    <row r="75" spans="2:9" x14ac:dyDescent="0.25">
      <c r="B75" s="16"/>
      <c r="C75" s="241"/>
      <c r="D75" s="263" t="s">
        <v>176</v>
      </c>
      <c r="E75" s="230" t="s">
        <v>69</v>
      </c>
      <c r="F75" s="231">
        <v>1991</v>
      </c>
      <c r="G75" s="232">
        <v>1</v>
      </c>
      <c r="H75" s="233">
        <v>9.35</v>
      </c>
      <c r="I75" s="242">
        <v>41.6</v>
      </c>
    </row>
    <row r="76" spans="2:9" x14ac:dyDescent="0.25">
      <c r="B76" s="16"/>
      <c r="C76" s="241"/>
      <c r="D76" s="263" t="s">
        <v>280</v>
      </c>
      <c r="E76" s="230" t="s">
        <v>72</v>
      </c>
      <c r="F76" s="235">
        <v>40879</v>
      </c>
      <c r="G76" s="232">
        <v>1</v>
      </c>
      <c r="H76" s="233">
        <v>4.67</v>
      </c>
      <c r="I76" s="242">
        <v>21</v>
      </c>
    </row>
    <row r="77" spans="2:9" ht="15.75" thickBot="1" x14ac:dyDescent="0.3">
      <c r="B77" s="16"/>
      <c r="C77" s="241"/>
      <c r="D77" s="255" t="s">
        <v>316</v>
      </c>
      <c r="E77" s="250" t="s">
        <v>72</v>
      </c>
      <c r="F77" s="271">
        <v>41003</v>
      </c>
      <c r="G77" s="252">
        <v>1</v>
      </c>
      <c r="H77" s="253">
        <v>8.0239999999999991</v>
      </c>
      <c r="I77" s="254">
        <v>30</v>
      </c>
    </row>
    <row r="78" spans="2:9" ht="15.75" thickBot="1" x14ac:dyDescent="0.3">
      <c r="B78" s="17"/>
      <c r="C78" s="82" t="s">
        <v>593</v>
      </c>
      <c r="D78" s="256"/>
      <c r="E78" s="256"/>
      <c r="F78" s="265"/>
      <c r="G78" s="79">
        <v>6</v>
      </c>
      <c r="H78" s="84">
        <v>84.734000000000009</v>
      </c>
      <c r="I78" s="247">
        <v>290.97000000000003</v>
      </c>
    </row>
    <row r="79" spans="2:9" x14ac:dyDescent="0.25">
      <c r="B79" s="15" t="s">
        <v>86</v>
      </c>
      <c r="C79" s="81" t="s">
        <v>18</v>
      </c>
      <c r="D79" s="228" t="s">
        <v>227</v>
      </c>
      <c r="E79" s="236" t="s">
        <v>72</v>
      </c>
      <c r="F79" s="266">
        <v>41302</v>
      </c>
      <c r="G79" s="238">
        <v>1</v>
      </c>
      <c r="H79" s="239">
        <v>3.4</v>
      </c>
      <c r="I79" s="240">
        <v>10.351000000000001</v>
      </c>
    </row>
    <row r="80" spans="2:9" x14ac:dyDescent="0.25">
      <c r="B80" s="16"/>
      <c r="C80" s="241"/>
      <c r="D80" s="263" t="s">
        <v>234</v>
      </c>
      <c r="E80" s="230" t="s">
        <v>72</v>
      </c>
      <c r="F80" s="235">
        <v>41198</v>
      </c>
      <c r="G80" s="232">
        <v>1</v>
      </c>
      <c r="H80" s="233">
        <v>2.15</v>
      </c>
      <c r="I80" s="242">
        <v>6.2590000000000003</v>
      </c>
    </row>
    <row r="81" spans="2:9" x14ac:dyDescent="0.25">
      <c r="B81" s="16"/>
      <c r="C81" s="241"/>
      <c r="D81" s="263" t="s">
        <v>149</v>
      </c>
      <c r="E81" s="230" t="s">
        <v>72</v>
      </c>
      <c r="F81" s="235">
        <v>42210</v>
      </c>
      <c r="G81" s="232">
        <v>1</v>
      </c>
      <c r="H81" s="233">
        <v>17.177</v>
      </c>
      <c r="I81" s="242">
        <v>51</v>
      </c>
    </row>
    <row r="82" spans="2:9" x14ac:dyDescent="0.25">
      <c r="B82" s="16"/>
      <c r="C82" s="241"/>
      <c r="D82" s="263" t="s">
        <v>294</v>
      </c>
      <c r="E82" s="230" t="s">
        <v>72</v>
      </c>
      <c r="F82" s="235">
        <v>41338</v>
      </c>
      <c r="G82" s="232">
        <v>1</v>
      </c>
      <c r="H82" s="233">
        <v>4.0469999999999997</v>
      </c>
      <c r="I82" s="242">
        <v>12.56</v>
      </c>
    </row>
    <row r="83" spans="2:9" x14ac:dyDescent="0.25">
      <c r="B83" s="16"/>
      <c r="C83" s="241"/>
      <c r="D83" s="263" t="s">
        <v>303</v>
      </c>
      <c r="E83" s="230" t="s">
        <v>72</v>
      </c>
      <c r="F83" s="231">
        <v>2005</v>
      </c>
      <c r="G83" s="232">
        <v>1</v>
      </c>
      <c r="H83" s="233">
        <v>14.61</v>
      </c>
      <c r="I83" s="242">
        <v>50</v>
      </c>
    </row>
    <row r="84" spans="2:9" x14ac:dyDescent="0.25">
      <c r="B84" s="16"/>
      <c r="C84" s="241"/>
      <c r="D84" s="263" t="s">
        <v>432</v>
      </c>
      <c r="E84" s="230" t="s">
        <v>69</v>
      </c>
      <c r="F84" s="235">
        <v>41586</v>
      </c>
      <c r="G84" s="232">
        <v>1</v>
      </c>
      <c r="H84" s="233">
        <v>74</v>
      </c>
      <c r="I84" s="242">
        <v>203</v>
      </c>
    </row>
    <row r="85" spans="2:9" ht="15.75" thickBot="1" x14ac:dyDescent="0.3">
      <c r="B85" s="16"/>
      <c r="C85" s="241"/>
      <c r="D85" s="255" t="s">
        <v>440</v>
      </c>
      <c r="E85" s="250" t="s">
        <v>72</v>
      </c>
      <c r="F85" s="271">
        <v>40340</v>
      </c>
      <c r="G85" s="252">
        <v>1</v>
      </c>
      <c r="H85" s="253">
        <v>8.68</v>
      </c>
      <c r="I85" s="254">
        <v>34</v>
      </c>
    </row>
    <row r="86" spans="2:9" ht="15.75" thickBot="1" x14ac:dyDescent="0.3">
      <c r="B86" s="16"/>
      <c r="C86" s="82" t="s">
        <v>594</v>
      </c>
      <c r="D86" s="256"/>
      <c r="E86" s="256"/>
      <c r="F86" s="265"/>
      <c r="G86" s="79">
        <v>7</v>
      </c>
      <c r="H86" s="84">
        <v>124.06399999999999</v>
      </c>
      <c r="I86" s="247">
        <v>367.17</v>
      </c>
    </row>
    <row r="87" spans="2:9" x14ac:dyDescent="0.25">
      <c r="B87" s="15" t="s">
        <v>87</v>
      </c>
      <c r="C87" s="81" t="s">
        <v>6</v>
      </c>
      <c r="D87" s="228" t="s">
        <v>235</v>
      </c>
      <c r="E87" s="236" t="s">
        <v>72</v>
      </c>
      <c r="F87" s="266">
        <v>40555</v>
      </c>
      <c r="G87" s="238">
        <v>1</v>
      </c>
      <c r="H87" s="239">
        <v>8.1999999999999993</v>
      </c>
      <c r="I87" s="240">
        <v>60</v>
      </c>
    </row>
    <row r="88" spans="2:9" ht="15.75" thickBot="1" x14ac:dyDescent="0.3">
      <c r="B88" s="16"/>
      <c r="C88" s="241"/>
      <c r="D88" s="255" t="s">
        <v>509</v>
      </c>
      <c r="E88" s="250" t="s">
        <v>72</v>
      </c>
      <c r="F88" s="271">
        <v>41337</v>
      </c>
      <c r="G88" s="252">
        <v>1</v>
      </c>
      <c r="H88" s="253">
        <v>19.109000000000002</v>
      </c>
      <c r="I88" s="254">
        <v>111</v>
      </c>
    </row>
    <row r="89" spans="2:9" ht="15.75" thickBot="1" x14ac:dyDescent="0.3">
      <c r="B89" s="17"/>
      <c r="C89" s="82" t="s">
        <v>595</v>
      </c>
      <c r="D89" s="256"/>
      <c r="E89" s="256"/>
      <c r="F89" s="265"/>
      <c r="G89" s="79">
        <v>2</v>
      </c>
      <c r="H89" s="84">
        <v>27.309000000000001</v>
      </c>
      <c r="I89" s="247">
        <v>171</v>
      </c>
    </row>
    <row r="90" spans="2:9" x14ac:dyDescent="0.25">
      <c r="B90" s="264" t="s">
        <v>88</v>
      </c>
      <c r="C90" s="81" t="s">
        <v>44</v>
      </c>
      <c r="D90" s="228" t="s">
        <v>154</v>
      </c>
      <c r="E90" s="236" t="s">
        <v>72</v>
      </c>
      <c r="F90" s="237">
        <v>1952</v>
      </c>
      <c r="G90" s="238">
        <v>1</v>
      </c>
      <c r="H90" s="239">
        <v>7.4999999999999997E-2</v>
      </c>
      <c r="I90" s="240">
        <v>0.4</v>
      </c>
    </row>
    <row r="91" spans="2:9" x14ac:dyDescent="0.25">
      <c r="B91" s="16"/>
      <c r="C91" s="241"/>
      <c r="D91" s="263" t="s">
        <v>148</v>
      </c>
      <c r="E91" s="230" t="s">
        <v>72</v>
      </c>
      <c r="F91" s="231">
        <v>1972</v>
      </c>
      <c r="G91" s="232">
        <v>1</v>
      </c>
      <c r="H91" s="233">
        <v>0.6</v>
      </c>
      <c r="I91" s="242">
        <v>1</v>
      </c>
    </row>
    <row r="92" spans="2:9" x14ac:dyDescent="0.25">
      <c r="B92" s="16"/>
      <c r="C92" s="241"/>
      <c r="D92" s="263" t="s">
        <v>149</v>
      </c>
      <c r="E92" s="230" t="s">
        <v>72</v>
      </c>
      <c r="F92" s="231">
        <v>1959</v>
      </c>
      <c r="G92" s="232">
        <v>1</v>
      </c>
      <c r="H92" s="233">
        <v>10.8</v>
      </c>
      <c r="I92" s="242">
        <v>70</v>
      </c>
    </row>
    <row r="93" spans="2:9" x14ac:dyDescent="0.25">
      <c r="B93" s="16"/>
      <c r="C93" s="241"/>
      <c r="D93" s="263" t="s">
        <v>147</v>
      </c>
      <c r="E93" s="230" t="s">
        <v>72</v>
      </c>
      <c r="F93" s="231">
        <v>1986</v>
      </c>
      <c r="G93" s="232">
        <v>1</v>
      </c>
      <c r="H93" s="233">
        <v>1.04</v>
      </c>
      <c r="I93" s="242">
        <v>2</v>
      </c>
    </row>
    <row r="94" spans="2:9" ht="15.75" thickBot="1" x14ac:dyDescent="0.3">
      <c r="B94" s="16"/>
      <c r="C94" s="241"/>
      <c r="D94" s="255" t="s">
        <v>657</v>
      </c>
      <c r="E94" s="250" t="s">
        <v>72</v>
      </c>
      <c r="F94" s="271">
        <v>42145</v>
      </c>
      <c r="G94" s="252">
        <v>1</v>
      </c>
      <c r="H94" s="253">
        <v>6.63</v>
      </c>
      <c r="I94" s="254">
        <v>13</v>
      </c>
    </row>
    <row r="95" spans="2:9" ht="15.75" thickBot="1" x14ac:dyDescent="0.3">
      <c r="B95" s="17"/>
      <c r="C95" s="82" t="s">
        <v>596</v>
      </c>
      <c r="D95" s="256"/>
      <c r="E95" s="256"/>
      <c r="F95" s="265"/>
      <c r="G95" s="79">
        <v>5</v>
      </c>
      <c r="H95" s="84">
        <v>19.145</v>
      </c>
      <c r="I95" s="247">
        <v>86.4</v>
      </c>
    </row>
    <row r="96" spans="2:9" x14ac:dyDescent="0.25">
      <c r="B96" s="15" t="s">
        <v>89</v>
      </c>
      <c r="C96" s="261" t="s">
        <v>38</v>
      </c>
      <c r="D96" s="228" t="s">
        <v>396</v>
      </c>
      <c r="E96" s="236" t="s">
        <v>69</v>
      </c>
      <c r="F96" s="266">
        <v>41125</v>
      </c>
      <c r="G96" s="238">
        <v>1</v>
      </c>
      <c r="H96" s="239">
        <v>38</v>
      </c>
      <c r="I96" s="240">
        <v>120.5</v>
      </c>
    </row>
    <row r="97" spans="2:9" x14ac:dyDescent="0.25">
      <c r="B97" s="16"/>
      <c r="C97" s="234"/>
      <c r="D97" s="263" t="s">
        <v>241</v>
      </c>
      <c r="E97" s="230" t="s">
        <v>72</v>
      </c>
      <c r="F97" s="235">
        <v>40367</v>
      </c>
      <c r="G97" s="232">
        <v>1</v>
      </c>
      <c r="H97" s="233">
        <v>16.425000000000001</v>
      </c>
      <c r="I97" s="242">
        <v>92.2</v>
      </c>
    </row>
    <row r="98" spans="2:9" x14ac:dyDescent="0.25">
      <c r="B98" s="16"/>
      <c r="C98" s="234"/>
      <c r="D98" s="263" t="s">
        <v>242</v>
      </c>
      <c r="E98" s="230" t="s">
        <v>72</v>
      </c>
      <c r="F98" s="235">
        <v>41297</v>
      </c>
      <c r="G98" s="232">
        <v>1</v>
      </c>
      <c r="H98" s="233">
        <v>67.16</v>
      </c>
      <c r="I98" s="242">
        <v>185</v>
      </c>
    </row>
    <row r="99" spans="2:9" x14ac:dyDescent="0.25">
      <c r="B99" s="16"/>
      <c r="C99" s="234"/>
      <c r="D99" s="263" t="s">
        <v>155</v>
      </c>
      <c r="E99" s="230" t="s">
        <v>72</v>
      </c>
      <c r="F99" s="231">
        <v>1934</v>
      </c>
      <c r="G99" s="232">
        <v>1</v>
      </c>
      <c r="H99" s="233">
        <v>1.1200000000000001</v>
      </c>
      <c r="I99" s="242">
        <v>1.25</v>
      </c>
    </row>
    <row r="100" spans="2:9" x14ac:dyDescent="0.25">
      <c r="B100" s="16"/>
      <c r="C100" s="234"/>
      <c r="D100" s="263" t="s">
        <v>424</v>
      </c>
      <c r="E100" s="230" t="s">
        <v>69</v>
      </c>
      <c r="F100" s="235">
        <v>41060</v>
      </c>
      <c r="G100" s="232">
        <v>1</v>
      </c>
      <c r="H100" s="233">
        <v>28.22</v>
      </c>
      <c r="I100" s="242">
        <v>71.55</v>
      </c>
    </row>
    <row r="101" spans="2:9" x14ac:dyDescent="0.25">
      <c r="B101" s="16"/>
      <c r="C101" s="234"/>
      <c r="D101" s="263" t="s">
        <v>307</v>
      </c>
      <c r="E101" s="230" t="s">
        <v>72</v>
      </c>
      <c r="F101" s="231">
        <v>2008</v>
      </c>
      <c r="G101" s="232">
        <v>1</v>
      </c>
      <c r="H101" s="233">
        <v>28</v>
      </c>
      <c r="I101" s="242">
        <v>123</v>
      </c>
    </row>
    <row r="102" spans="2:9" x14ac:dyDescent="0.25">
      <c r="B102" s="16"/>
      <c r="C102" s="234"/>
      <c r="D102" s="263" t="s">
        <v>658</v>
      </c>
      <c r="E102" s="230" t="s">
        <v>72</v>
      </c>
      <c r="F102" s="235">
        <v>41060</v>
      </c>
      <c r="G102" s="232">
        <v>1</v>
      </c>
      <c r="H102" s="233">
        <v>41</v>
      </c>
      <c r="I102" s="242">
        <v>150.69999999999999</v>
      </c>
    </row>
    <row r="103" spans="2:9" ht="15.75" thickBot="1" x14ac:dyDescent="0.3">
      <c r="B103" s="16"/>
      <c r="C103" s="234"/>
      <c r="D103" s="255" t="s">
        <v>659</v>
      </c>
      <c r="E103" s="250" t="s">
        <v>72</v>
      </c>
      <c r="F103" s="271">
        <v>41166</v>
      </c>
      <c r="G103" s="252">
        <v>1</v>
      </c>
      <c r="H103" s="253">
        <v>6.08</v>
      </c>
      <c r="I103" s="254">
        <v>33.700000000000003</v>
      </c>
    </row>
    <row r="104" spans="2:9" ht="15.75" thickBot="1" x14ac:dyDescent="0.3">
      <c r="B104" s="17"/>
      <c r="C104" s="82" t="s">
        <v>597</v>
      </c>
      <c r="D104" s="256"/>
      <c r="E104" s="256"/>
      <c r="F104" s="256"/>
      <c r="G104" s="79">
        <v>8</v>
      </c>
      <c r="H104" s="84">
        <v>226.00500000000002</v>
      </c>
      <c r="I104" s="247">
        <v>777.90000000000009</v>
      </c>
    </row>
    <row r="105" spans="2:9" x14ac:dyDescent="0.25">
      <c r="B105" s="15" t="s">
        <v>90</v>
      </c>
      <c r="C105" s="261" t="s">
        <v>7</v>
      </c>
      <c r="D105" s="228" t="s">
        <v>387</v>
      </c>
      <c r="E105" s="236" t="s">
        <v>72</v>
      </c>
      <c r="F105" s="237">
        <v>2006</v>
      </c>
      <c r="G105" s="238">
        <v>1</v>
      </c>
      <c r="H105" s="239">
        <v>14</v>
      </c>
      <c r="I105" s="240">
        <v>55.61</v>
      </c>
    </row>
    <row r="106" spans="2:9" x14ac:dyDescent="0.25">
      <c r="B106" s="16"/>
      <c r="C106" s="234"/>
      <c r="D106" s="263" t="s">
        <v>208</v>
      </c>
      <c r="E106" s="230" t="s">
        <v>72</v>
      </c>
      <c r="F106" s="231">
        <v>2010</v>
      </c>
      <c r="G106" s="232">
        <v>1</v>
      </c>
      <c r="H106" s="233">
        <v>2.06</v>
      </c>
      <c r="I106" s="242">
        <v>14.06</v>
      </c>
    </row>
    <row r="107" spans="2:9" x14ac:dyDescent="0.25">
      <c r="B107" s="16"/>
      <c r="C107" s="234"/>
      <c r="D107" s="263" t="s">
        <v>209</v>
      </c>
      <c r="E107" s="230" t="s">
        <v>72</v>
      </c>
      <c r="F107" s="235">
        <v>41026</v>
      </c>
      <c r="G107" s="232">
        <v>1</v>
      </c>
      <c r="H107" s="233">
        <v>3.75</v>
      </c>
      <c r="I107" s="242">
        <v>15.07</v>
      </c>
    </row>
    <row r="108" spans="2:9" x14ac:dyDescent="0.25">
      <c r="B108" s="16"/>
      <c r="C108" s="234"/>
      <c r="D108" s="263" t="s">
        <v>222</v>
      </c>
      <c r="E108" s="230" t="s">
        <v>72</v>
      </c>
      <c r="F108" s="235">
        <v>41264</v>
      </c>
      <c r="G108" s="232">
        <v>1</v>
      </c>
      <c r="H108" s="233">
        <v>9.6</v>
      </c>
      <c r="I108" s="242">
        <v>44</v>
      </c>
    </row>
    <row r="109" spans="2:9" x14ac:dyDescent="0.25">
      <c r="B109" s="16"/>
      <c r="C109" s="234"/>
      <c r="D109" s="263" t="s">
        <v>412</v>
      </c>
      <c r="E109" s="230" t="s">
        <v>72</v>
      </c>
      <c r="F109" s="235">
        <v>41299</v>
      </c>
      <c r="G109" s="232">
        <v>1</v>
      </c>
      <c r="H109" s="233">
        <v>20.12</v>
      </c>
      <c r="I109" s="242">
        <v>32.29</v>
      </c>
    </row>
    <row r="110" spans="2:9" x14ac:dyDescent="0.25">
      <c r="B110" s="16"/>
      <c r="C110" s="234"/>
      <c r="D110" s="263" t="s">
        <v>246</v>
      </c>
      <c r="E110" s="230" t="s">
        <v>576</v>
      </c>
      <c r="F110" s="235">
        <v>41711</v>
      </c>
      <c r="G110" s="232">
        <v>1</v>
      </c>
      <c r="H110" s="233">
        <v>6.84</v>
      </c>
      <c r="I110" s="242">
        <v>20</v>
      </c>
    </row>
    <row r="111" spans="2:9" x14ac:dyDescent="0.25">
      <c r="B111" s="16"/>
      <c r="C111" s="234"/>
      <c r="D111" s="263" t="s">
        <v>417</v>
      </c>
      <c r="E111" s="230" t="s">
        <v>69</v>
      </c>
      <c r="F111" s="231">
        <v>2010</v>
      </c>
      <c r="G111" s="232">
        <v>1</v>
      </c>
      <c r="H111" s="233">
        <v>38.25</v>
      </c>
      <c r="I111" s="242">
        <v>122.89</v>
      </c>
    </row>
    <row r="112" spans="2:9" x14ac:dyDescent="0.25">
      <c r="B112" s="16"/>
      <c r="C112" s="234"/>
      <c r="D112" s="263" t="s">
        <v>261</v>
      </c>
      <c r="E112" s="230" t="s">
        <v>72</v>
      </c>
      <c r="F112" s="235">
        <v>41438</v>
      </c>
      <c r="G112" s="232">
        <v>1</v>
      </c>
      <c r="H112" s="233">
        <v>2.63</v>
      </c>
      <c r="I112" s="242">
        <v>9.4499999999999993</v>
      </c>
    </row>
    <row r="113" spans="2:9" x14ac:dyDescent="0.25">
      <c r="B113" s="16"/>
      <c r="C113" s="234"/>
      <c r="D113" s="263" t="s">
        <v>315</v>
      </c>
      <c r="E113" s="230" t="s">
        <v>72</v>
      </c>
      <c r="F113" s="235">
        <v>40824</v>
      </c>
      <c r="G113" s="232">
        <v>1</v>
      </c>
      <c r="H113" s="233">
        <v>9.2650000000000006</v>
      </c>
      <c r="I113" s="242">
        <v>40.69</v>
      </c>
    </row>
    <row r="114" spans="2:9" x14ac:dyDescent="0.25">
      <c r="B114" s="16"/>
      <c r="C114" s="234"/>
      <c r="D114" s="263" t="s">
        <v>321</v>
      </c>
      <c r="E114" s="230" t="s">
        <v>72</v>
      </c>
      <c r="F114" s="235">
        <v>40954</v>
      </c>
      <c r="G114" s="232">
        <v>1</v>
      </c>
      <c r="H114" s="233">
        <v>12.045999999999999</v>
      </c>
      <c r="I114" s="242">
        <v>47.56</v>
      </c>
    </row>
    <row r="115" spans="2:9" x14ac:dyDescent="0.25">
      <c r="B115" s="16"/>
      <c r="C115" s="234"/>
      <c r="D115" s="263" t="s">
        <v>446</v>
      </c>
      <c r="E115" s="230" t="s">
        <v>72</v>
      </c>
      <c r="F115" s="231">
        <v>2006</v>
      </c>
      <c r="G115" s="232">
        <v>1</v>
      </c>
      <c r="H115" s="233">
        <v>16</v>
      </c>
      <c r="I115" s="242">
        <v>50.879999999999995</v>
      </c>
    </row>
    <row r="116" spans="2:9" x14ac:dyDescent="0.25">
      <c r="B116" s="16"/>
      <c r="C116" s="234"/>
      <c r="D116" s="263" t="s">
        <v>361</v>
      </c>
      <c r="E116" s="230" t="s">
        <v>72</v>
      </c>
      <c r="F116" s="231">
        <v>2008</v>
      </c>
      <c r="G116" s="232">
        <v>1</v>
      </c>
      <c r="H116" s="233">
        <v>7.5</v>
      </c>
      <c r="I116" s="242">
        <v>35</v>
      </c>
    </row>
    <row r="117" spans="2:9" x14ac:dyDescent="0.25">
      <c r="B117" s="16"/>
      <c r="C117" s="234"/>
      <c r="D117" s="263" t="s">
        <v>362</v>
      </c>
      <c r="E117" s="230" t="s">
        <v>69</v>
      </c>
      <c r="F117" s="231">
        <v>2009</v>
      </c>
      <c r="G117" s="232">
        <v>1</v>
      </c>
      <c r="H117" s="233">
        <v>4.76</v>
      </c>
      <c r="I117" s="242">
        <v>14.93</v>
      </c>
    </row>
    <row r="118" spans="2:9" x14ac:dyDescent="0.25">
      <c r="B118" s="16"/>
      <c r="C118" s="234"/>
      <c r="D118" s="263" t="s">
        <v>166</v>
      </c>
      <c r="E118" s="230" t="s">
        <v>72</v>
      </c>
      <c r="F118" s="231">
        <v>1962</v>
      </c>
      <c r="G118" s="232">
        <v>1</v>
      </c>
      <c r="H118" s="233">
        <v>0.55200000000000005</v>
      </c>
      <c r="I118" s="242">
        <v>1</v>
      </c>
    </row>
    <row r="119" spans="2:9" x14ac:dyDescent="0.25">
      <c r="B119" s="16"/>
      <c r="C119" s="234"/>
      <c r="D119" s="263" t="s">
        <v>373</v>
      </c>
      <c r="E119" s="230" t="s">
        <v>72</v>
      </c>
      <c r="F119" s="235">
        <v>41481</v>
      </c>
      <c r="G119" s="232">
        <v>1</v>
      </c>
      <c r="H119" s="233">
        <v>8.9700000000000006</v>
      </c>
      <c r="I119" s="242">
        <v>24.84</v>
      </c>
    </row>
    <row r="120" spans="2:9" x14ac:dyDescent="0.25">
      <c r="B120" s="16"/>
      <c r="C120" s="234"/>
      <c r="D120" s="263" t="s">
        <v>661</v>
      </c>
      <c r="E120" s="230" t="s">
        <v>69</v>
      </c>
      <c r="F120" s="235">
        <v>42132</v>
      </c>
      <c r="G120" s="232">
        <v>1</v>
      </c>
      <c r="H120" s="233">
        <v>32.380000000000003</v>
      </c>
      <c r="I120" s="242">
        <v>68.72999999999999</v>
      </c>
    </row>
    <row r="121" spans="2:9" x14ac:dyDescent="0.25">
      <c r="B121" s="16"/>
      <c r="C121" s="234"/>
      <c r="D121" s="263" t="s">
        <v>662</v>
      </c>
      <c r="E121" s="230" t="s">
        <v>69</v>
      </c>
      <c r="F121" s="231">
        <v>1993</v>
      </c>
      <c r="G121" s="232">
        <v>1</v>
      </c>
      <c r="H121" s="233">
        <v>46.4</v>
      </c>
      <c r="I121" s="242">
        <v>206</v>
      </c>
    </row>
    <row r="122" spans="2:9" x14ac:dyDescent="0.25">
      <c r="B122" s="16"/>
      <c r="C122" s="234"/>
      <c r="D122" s="263" t="s">
        <v>663</v>
      </c>
      <c r="E122" s="230" t="s">
        <v>72</v>
      </c>
      <c r="F122" s="231">
        <v>2015</v>
      </c>
      <c r="G122" s="232">
        <v>1</v>
      </c>
      <c r="H122" s="233">
        <v>1.71</v>
      </c>
      <c r="I122" s="242">
        <v>6.5</v>
      </c>
    </row>
    <row r="123" spans="2:9" x14ac:dyDescent="0.25">
      <c r="B123" s="16"/>
      <c r="C123" s="234"/>
      <c r="D123" s="263" t="s">
        <v>664</v>
      </c>
      <c r="E123" s="230" t="s">
        <v>72</v>
      </c>
      <c r="F123" s="231">
        <v>1956</v>
      </c>
      <c r="G123" s="232">
        <v>1</v>
      </c>
      <c r="H123" s="233">
        <v>26.4</v>
      </c>
      <c r="I123" s="242">
        <v>150</v>
      </c>
    </row>
    <row r="124" spans="2:9" x14ac:dyDescent="0.25">
      <c r="B124" s="16"/>
      <c r="C124" s="234"/>
      <c r="D124" s="263" t="s">
        <v>665</v>
      </c>
      <c r="E124" s="230" t="s">
        <v>72</v>
      </c>
      <c r="F124" s="231">
        <v>1986</v>
      </c>
      <c r="G124" s="232">
        <v>1</v>
      </c>
      <c r="H124" s="233">
        <v>6</v>
      </c>
      <c r="I124" s="242">
        <v>20</v>
      </c>
    </row>
    <row r="125" spans="2:9" ht="15.75" thickBot="1" x14ac:dyDescent="0.3">
      <c r="B125" s="16"/>
      <c r="C125" s="234"/>
      <c r="D125" s="263" t="s">
        <v>666</v>
      </c>
      <c r="E125" s="230" t="s">
        <v>72</v>
      </c>
      <c r="F125" s="231">
        <v>1987</v>
      </c>
      <c r="G125" s="232">
        <v>1</v>
      </c>
      <c r="H125" s="233">
        <v>48</v>
      </c>
      <c r="I125" s="242">
        <v>220</v>
      </c>
    </row>
    <row r="126" spans="2:9" ht="15.75" thickBot="1" x14ac:dyDescent="0.3">
      <c r="B126" s="17"/>
      <c r="C126" s="82" t="s">
        <v>598</v>
      </c>
      <c r="D126" s="256"/>
      <c r="E126" s="256"/>
      <c r="F126" s="256"/>
      <c r="G126" s="79">
        <v>21</v>
      </c>
      <c r="H126" s="84">
        <v>317.233</v>
      </c>
      <c r="I126" s="247">
        <v>1199.5</v>
      </c>
    </row>
    <row r="127" spans="2:9" x14ac:dyDescent="0.25">
      <c r="B127" s="264" t="s">
        <v>91</v>
      </c>
      <c r="C127" s="81" t="s">
        <v>35</v>
      </c>
      <c r="D127" s="228" t="s">
        <v>188</v>
      </c>
      <c r="E127" s="236" t="s">
        <v>72</v>
      </c>
      <c r="F127" s="237">
        <v>1989</v>
      </c>
      <c r="G127" s="232">
        <v>1</v>
      </c>
      <c r="H127" s="233">
        <v>13</v>
      </c>
      <c r="I127" s="242">
        <v>36</v>
      </c>
    </row>
    <row r="128" spans="2:9" x14ac:dyDescent="0.25">
      <c r="B128" s="16"/>
      <c r="C128" s="241"/>
      <c r="D128" s="263" t="s">
        <v>240</v>
      </c>
      <c r="E128" s="230" t="s">
        <v>72</v>
      </c>
      <c r="F128" s="235">
        <v>40850</v>
      </c>
      <c r="G128" s="232">
        <v>1</v>
      </c>
      <c r="H128" s="233">
        <v>3.6</v>
      </c>
      <c r="I128" s="242">
        <v>16.510000000000002</v>
      </c>
    </row>
    <row r="129" spans="2:9" x14ac:dyDescent="0.25">
      <c r="B129" s="16"/>
      <c r="C129" s="241"/>
      <c r="D129" s="263" t="s">
        <v>555</v>
      </c>
      <c r="E129" s="230" t="s">
        <v>576</v>
      </c>
      <c r="F129" s="235">
        <v>41747</v>
      </c>
      <c r="G129" s="232">
        <v>1</v>
      </c>
      <c r="H129" s="233">
        <v>18.77</v>
      </c>
      <c r="I129" s="242">
        <v>83.36</v>
      </c>
    </row>
    <row r="130" spans="2:9" x14ac:dyDescent="0.25">
      <c r="B130" s="16"/>
      <c r="C130" s="241"/>
      <c r="D130" s="263" t="s">
        <v>172</v>
      </c>
      <c r="E130" s="230" t="s">
        <v>70</v>
      </c>
      <c r="F130" s="231">
        <v>1960</v>
      </c>
      <c r="G130" s="232">
        <v>1</v>
      </c>
      <c r="H130" s="233">
        <v>8.25</v>
      </c>
      <c r="I130" s="242">
        <v>3</v>
      </c>
    </row>
    <row r="131" spans="2:9" x14ac:dyDescent="0.25">
      <c r="B131" s="16"/>
      <c r="C131" s="241"/>
      <c r="D131" s="263" t="s">
        <v>190</v>
      </c>
      <c r="E131" s="230" t="s">
        <v>72</v>
      </c>
      <c r="F131" s="231">
        <v>1998</v>
      </c>
      <c r="G131" s="232">
        <v>1</v>
      </c>
      <c r="H131" s="233">
        <v>2.2000000000000002</v>
      </c>
      <c r="I131" s="242">
        <v>12.22</v>
      </c>
    </row>
    <row r="132" spans="2:9" ht="15.75" thickBot="1" x14ac:dyDescent="0.3">
      <c r="B132" s="16"/>
      <c r="C132" s="241"/>
      <c r="D132" s="263" t="s">
        <v>378</v>
      </c>
      <c r="E132" s="230" t="s">
        <v>72</v>
      </c>
      <c r="F132" s="231">
        <v>2009</v>
      </c>
      <c r="G132" s="252">
        <v>1</v>
      </c>
      <c r="H132" s="253">
        <v>5.0999999999999996</v>
      </c>
      <c r="I132" s="254">
        <v>20</v>
      </c>
    </row>
    <row r="133" spans="2:9" ht="15.75" thickBot="1" x14ac:dyDescent="0.3">
      <c r="B133" s="17"/>
      <c r="C133" s="82" t="s">
        <v>599</v>
      </c>
      <c r="D133" s="256"/>
      <c r="E133" s="256"/>
      <c r="F133" s="265"/>
      <c r="G133" s="244">
        <v>6</v>
      </c>
      <c r="H133" s="245">
        <v>50.920000000000009</v>
      </c>
      <c r="I133" s="246">
        <v>171.09</v>
      </c>
    </row>
    <row r="134" spans="2:9" x14ac:dyDescent="0.25">
      <c r="B134" s="80" t="s">
        <v>92</v>
      </c>
      <c r="C134" s="81" t="s">
        <v>3</v>
      </c>
      <c r="D134" s="228" t="s">
        <v>239</v>
      </c>
      <c r="E134" s="236" t="s">
        <v>72</v>
      </c>
      <c r="F134" s="266">
        <v>41592</v>
      </c>
      <c r="G134" s="238">
        <v>1</v>
      </c>
      <c r="H134" s="239">
        <v>2.6</v>
      </c>
      <c r="I134" s="240">
        <v>12</v>
      </c>
    </row>
    <row r="135" spans="2:9" x14ac:dyDescent="0.25">
      <c r="B135" s="16"/>
      <c r="C135" s="241"/>
      <c r="D135" s="263" t="s">
        <v>255</v>
      </c>
      <c r="E135" s="230" t="s">
        <v>72</v>
      </c>
      <c r="F135" s="235">
        <v>41421</v>
      </c>
      <c r="G135" s="232">
        <v>1</v>
      </c>
      <c r="H135" s="233">
        <v>42.65</v>
      </c>
      <c r="I135" s="242">
        <v>130</v>
      </c>
    </row>
    <row r="136" spans="2:9" x14ac:dyDescent="0.25">
      <c r="B136" s="16"/>
      <c r="C136" s="241"/>
      <c r="D136" s="263" t="s">
        <v>502</v>
      </c>
      <c r="E136" s="230" t="s">
        <v>72</v>
      </c>
      <c r="F136" s="235">
        <v>41375</v>
      </c>
      <c r="G136" s="232">
        <v>1</v>
      </c>
      <c r="H136" s="233">
        <v>26</v>
      </c>
      <c r="I136" s="242">
        <v>85</v>
      </c>
    </row>
    <row r="137" spans="2:9" x14ac:dyDescent="0.25">
      <c r="B137" s="16"/>
      <c r="C137" s="241"/>
      <c r="D137" s="263" t="s">
        <v>263</v>
      </c>
      <c r="E137" s="230" t="s">
        <v>72</v>
      </c>
      <c r="F137" s="235">
        <v>41087</v>
      </c>
      <c r="G137" s="232">
        <v>1</v>
      </c>
      <c r="H137" s="233">
        <v>29.4</v>
      </c>
      <c r="I137" s="242">
        <v>117</v>
      </c>
    </row>
    <row r="138" spans="2:9" x14ac:dyDescent="0.25">
      <c r="B138" s="16"/>
      <c r="C138" s="241"/>
      <c r="D138" s="263" t="s">
        <v>504</v>
      </c>
      <c r="E138" s="230" t="s">
        <v>69</v>
      </c>
      <c r="F138" s="231">
        <v>2010</v>
      </c>
      <c r="G138" s="232">
        <v>1</v>
      </c>
      <c r="H138" s="233">
        <v>69.349999999999994</v>
      </c>
      <c r="I138" s="242">
        <v>223</v>
      </c>
    </row>
    <row r="139" spans="2:9" x14ac:dyDescent="0.25">
      <c r="B139" s="16"/>
      <c r="C139" s="241"/>
      <c r="D139" s="263" t="s">
        <v>302</v>
      </c>
      <c r="E139" s="230" t="s">
        <v>69</v>
      </c>
      <c r="F139" s="235">
        <v>41627</v>
      </c>
      <c r="G139" s="232">
        <v>1</v>
      </c>
      <c r="H139" s="233">
        <v>191.28</v>
      </c>
      <c r="I139" s="242">
        <v>766</v>
      </c>
    </row>
    <row r="140" spans="2:9" x14ac:dyDescent="0.25">
      <c r="B140" s="16"/>
      <c r="C140" s="241"/>
      <c r="D140" s="263" t="s">
        <v>310</v>
      </c>
      <c r="E140" s="230" t="s">
        <v>72</v>
      </c>
      <c r="F140" s="235">
        <v>41389</v>
      </c>
      <c r="G140" s="232">
        <v>1</v>
      </c>
      <c r="H140" s="233">
        <v>23.8</v>
      </c>
      <c r="I140" s="242">
        <v>72.293999999999997</v>
      </c>
    </row>
    <row r="141" spans="2:9" x14ac:dyDescent="0.25">
      <c r="B141" s="16"/>
      <c r="C141" s="241"/>
      <c r="D141" s="263" t="s">
        <v>314</v>
      </c>
      <c r="E141" s="230" t="s">
        <v>72</v>
      </c>
      <c r="F141" s="231">
        <v>2009</v>
      </c>
      <c r="G141" s="232">
        <v>1</v>
      </c>
      <c r="H141" s="233">
        <v>4.6760000000000002</v>
      </c>
      <c r="I141" s="242">
        <v>10</v>
      </c>
    </row>
    <row r="142" spans="2:9" x14ac:dyDescent="0.25">
      <c r="B142" s="16"/>
      <c r="C142" s="241"/>
      <c r="D142" s="263" t="s">
        <v>431</v>
      </c>
      <c r="E142" s="230" t="s">
        <v>69</v>
      </c>
      <c r="F142" s="235">
        <v>41324</v>
      </c>
      <c r="G142" s="232">
        <v>1</v>
      </c>
      <c r="H142" s="233">
        <v>155.85</v>
      </c>
      <c r="I142" s="242">
        <v>378.38</v>
      </c>
    </row>
    <row r="143" spans="2:9" x14ac:dyDescent="0.25">
      <c r="B143" s="16"/>
      <c r="C143" s="241"/>
      <c r="D143" s="263" t="s">
        <v>433</v>
      </c>
      <c r="E143" s="230" t="s">
        <v>69</v>
      </c>
      <c r="F143" s="235">
        <v>41487</v>
      </c>
      <c r="G143" s="232">
        <v>1</v>
      </c>
      <c r="H143" s="233">
        <v>20</v>
      </c>
      <c r="I143" s="242">
        <v>120.215</v>
      </c>
    </row>
    <row r="144" spans="2:9" x14ac:dyDescent="0.25">
      <c r="B144" s="16"/>
      <c r="C144" s="241"/>
      <c r="D144" s="263" t="s">
        <v>434</v>
      </c>
      <c r="E144" s="230" t="s">
        <v>69</v>
      </c>
      <c r="F144" s="235">
        <v>40899</v>
      </c>
      <c r="G144" s="232">
        <v>1</v>
      </c>
      <c r="H144" s="233">
        <v>89.42</v>
      </c>
      <c r="I144" s="242">
        <v>203.14</v>
      </c>
    </row>
    <row r="145" spans="2:9" x14ac:dyDescent="0.25">
      <c r="B145" s="16"/>
      <c r="C145" s="241"/>
      <c r="D145" s="263" t="s">
        <v>435</v>
      </c>
      <c r="E145" s="230" t="s">
        <v>72</v>
      </c>
      <c r="F145" s="231">
        <v>2006</v>
      </c>
      <c r="G145" s="232">
        <v>1</v>
      </c>
      <c r="H145" s="233">
        <v>49.6</v>
      </c>
      <c r="I145" s="242">
        <v>179</v>
      </c>
    </row>
    <row r="146" spans="2:9" x14ac:dyDescent="0.25">
      <c r="B146" s="16"/>
      <c r="C146" s="241"/>
      <c r="D146" s="263" t="s">
        <v>364</v>
      </c>
      <c r="E146" s="230" t="s">
        <v>72</v>
      </c>
      <c r="F146" s="235">
        <v>41331</v>
      </c>
      <c r="G146" s="232">
        <v>1</v>
      </c>
      <c r="H146" s="233">
        <v>49.99</v>
      </c>
      <c r="I146" s="242">
        <v>208</v>
      </c>
    </row>
    <row r="147" spans="2:9" x14ac:dyDescent="0.25">
      <c r="B147" s="16"/>
      <c r="C147" s="241"/>
      <c r="D147" s="263" t="s">
        <v>465</v>
      </c>
      <c r="E147" s="230" t="s">
        <v>69</v>
      </c>
      <c r="F147" s="235">
        <v>41166</v>
      </c>
      <c r="G147" s="232">
        <v>1</v>
      </c>
      <c r="H147" s="233">
        <v>28.54</v>
      </c>
      <c r="I147" s="242">
        <v>95.26</v>
      </c>
    </row>
    <row r="148" spans="2:9" x14ac:dyDescent="0.25">
      <c r="B148" s="16"/>
      <c r="C148" s="241"/>
      <c r="D148" s="263" t="s">
        <v>466</v>
      </c>
      <c r="E148" s="230" t="s">
        <v>73</v>
      </c>
      <c r="F148" s="235">
        <v>41041</v>
      </c>
      <c r="G148" s="232">
        <v>1</v>
      </c>
      <c r="H148" s="233">
        <v>26.98</v>
      </c>
      <c r="I148" s="242">
        <v>110</v>
      </c>
    </row>
    <row r="149" spans="2:9" x14ac:dyDescent="0.25">
      <c r="B149" s="16"/>
      <c r="C149" s="241"/>
      <c r="D149" s="263" t="s">
        <v>456</v>
      </c>
      <c r="E149" s="230" t="s">
        <v>69</v>
      </c>
      <c r="F149" s="231">
        <v>2010</v>
      </c>
      <c r="G149" s="232">
        <v>1</v>
      </c>
      <c r="H149" s="233">
        <v>310.66000000000003</v>
      </c>
      <c r="I149" s="242">
        <v>1141</v>
      </c>
    </row>
    <row r="150" spans="2:9" x14ac:dyDescent="0.25">
      <c r="B150" s="16"/>
      <c r="C150" s="241"/>
      <c r="D150" s="263" t="s">
        <v>667</v>
      </c>
      <c r="E150" s="230" t="s">
        <v>69</v>
      </c>
      <c r="F150" s="235">
        <v>42193</v>
      </c>
      <c r="G150" s="232">
        <v>1</v>
      </c>
      <c r="H150" s="233">
        <v>76</v>
      </c>
      <c r="I150" s="242">
        <v>345</v>
      </c>
    </row>
    <row r="151" spans="2:9" x14ac:dyDescent="0.25">
      <c r="B151" s="16"/>
      <c r="C151" s="241"/>
      <c r="D151" s="263" t="s">
        <v>668</v>
      </c>
      <c r="E151" s="230" t="s">
        <v>72</v>
      </c>
      <c r="F151" s="235">
        <v>42035</v>
      </c>
      <c r="G151" s="232">
        <v>1</v>
      </c>
      <c r="H151" s="233">
        <v>81.852999999999994</v>
      </c>
      <c r="I151" s="242">
        <v>234</v>
      </c>
    </row>
    <row r="152" spans="2:9" ht="15.75" thickBot="1" x14ac:dyDescent="0.3">
      <c r="B152" s="16"/>
      <c r="C152" s="241"/>
      <c r="D152" s="263" t="s">
        <v>669</v>
      </c>
      <c r="E152" s="230" t="s">
        <v>72</v>
      </c>
      <c r="F152" s="231">
        <v>1991</v>
      </c>
      <c r="G152" s="252">
        <v>1</v>
      </c>
      <c r="H152" s="253">
        <v>7.5</v>
      </c>
      <c r="I152" s="254">
        <v>33</v>
      </c>
    </row>
    <row r="153" spans="2:9" ht="15.75" thickBot="1" x14ac:dyDescent="0.3">
      <c r="B153" s="17"/>
      <c r="C153" s="82" t="s">
        <v>600</v>
      </c>
      <c r="D153" s="256"/>
      <c r="E153" s="256"/>
      <c r="F153" s="265"/>
      <c r="G153" s="244">
        <v>19</v>
      </c>
      <c r="H153" s="245">
        <v>1286.1490000000001</v>
      </c>
      <c r="I153" s="246">
        <v>4462.2890000000007</v>
      </c>
    </row>
    <row r="154" spans="2:9" x14ac:dyDescent="0.25">
      <c r="B154" s="15" t="s">
        <v>93</v>
      </c>
      <c r="C154" s="261" t="s">
        <v>47</v>
      </c>
      <c r="D154" s="228" t="s">
        <v>486</v>
      </c>
      <c r="E154" s="236" t="s">
        <v>72</v>
      </c>
      <c r="F154" s="237">
        <v>2009</v>
      </c>
      <c r="G154" s="238">
        <v>1</v>
      </c>
      <c r="H154" s="239">
        <v>24.407</v>
      </c>
      <c r="I154" s="240">
        <v>90.5</v>
      </c>
    </row>
    <row r="155" spans="2:9" x14ac:dyDescent="0.25">
      <c r="B155" s="16"/>
      <c r="C155" s="234"/>
      <c r="D155" s="263" t="s">
        <v>177</v>
      </c>
      <c r="E155" s="230" t="s">
        <v>69</v>
      </c>
      <c r="F155" s="231">
        <v>1996</v>
      </c>
      <c r="G155" s="232">
        <v>1</v>
      </c>
      <c r="H155" s="233">
        <v>10.199999999999999</v>
      </c>
      <c r="I155" s="242">
        <v>47</v>
      </c>
    </row>
    <row r="156" spans="2:9" x14ac:dyDescent="0.25">
      <c r="B156" s="16"/>
      <c r="C156" s="234"/>
      <c r="D156" s="263" t="s">
        <v>221</v>
      </c>
      <c r="E156" s="230" t="s">
        <v>72</v>
      </c>
      <c r="F156" s="231">
        <v>2004</v>
      </c>
      <c r="G156" s="232">
        <v>1</v>
      </c>
      <c r="H156" s="233">
        <v>48.5</v>
      </c>
      <c r="I156" s="242">
        <v>74.8</v>
      </c>
    </row>
    <row r="157" spans="2:9" x14ac:dyDescent="0.25">
      <c r="B157" s="16"/>
      <c r="C157" s="234"/>
      <c r="D157" s="263" t="s">
        <v>229</v>
      </c>
      <c r="E157" s="230" t="s">
        <v>72</v>
      </c>
      <c r="F157" s="235">
        <v>40330</v>
      </c>
      <c r="G157" s="232">
        <v>1</v>
      </c>
      <c r="H157" s="233">
        <v>20.21</v>
      </c>
      <c r="I157" s="242">
        <v>95</v>
      </c>
    </row>
    <row r="158" spans="2:9" x14ac:dyDescent="0.25">
      <c r="B158" s="16"/>
      <c r="C158" s="234"/>
      <c r="D158" s="263" t="s">
        <v>548</v>
      </c>
      <c r="E158" s="230" t="s">
        <v>576</v>
      </c>
      <c r="F158" s="235">
        <v>41740</v>
      </c>
      <c r="G158" s="232">
        <v>1</v>
      </c>
      <c r="H158" s="233">
        <v>10.433</v>
      </c>
      <c r="I158" s="242">
        <v>38</v>
      </c>
    </row>
    <row r="159" spans="2:9" x14ac:dyDescent="0.25">
      <c r="B159" s="16"/>
      <c r="C159" s="234"/>
      <c r="D159" s="263" t="s">
        <v>498</v>
      </c>
      <c r="E159" s="230" t="s">
        <v>72</v>
      </c>
      <c r="F159" s="235">
        <v>41306</v>
      </c>
      <c r="G159" s="232">
        <v>1</v>
      </c>
      <c r="H159" s="233">
        <v>1.97</v>
      </c>
      <c r="I159" s="242">
        <v>11</v>
      </c>
    </row>
    <row r="160" spans="2:9" x14ac:dyDescent="0.25">
      <c r="B160" s="16"/>
      <c r="C160" s="234"/>
      <c r="D160" s="263" t="s">
        <v>269</v>
      </c>
      <c r="E160" s="230" t="s">
        <v>72</v>
      </c>
      <c r="F160" s="231">
        <v>2010</v>
      </c>
      <c r="G160" s="232">
        <v>1</v>
      </c>
      <c r="H160" s="233">
        <v>10.01</v>
      </c>
      <c r="I160" s="242">
        <v>43</v>
      </c>
    </row>
    <row r="161" spans="2:9" x14ac:dyDescent="0.25">
      <c r="B161" s="16"/>
      <c r="C161" s="234"/>
      <c r="D161" s="263" t="s">
        <v>517</v>
      </c>
      <c r="E161" s="230" t="s">
        <v>72</v>
      </c>
      <c r="F161" s="231">
        <v>2009</v>
      </c>
      <c r="G161" s="232">
        <v>1</v>
      </c>
      <c r="H161" s="233">
        <v>35.258000000000003</v>
      </c>
      <c r="I161" s="242">
        <v>120</v>
      </c>
    </row>
    <row r="162" spans="2:9" x14ac:dyDescent="0.25">
      <c r="B162" s="16"/>
      <c r="C162" s="234"/>
      <c r="D162" s="263" t="s">
        <v>330</v>
      </c>
      <c r="E162" s="230" t="s">
        <v>72</v>
      </c>
      <c r="F162" s="235">
        <v>40737</v>
      </c>
      <c r="G162" s="232">
        <v>1</v>
      </c>
      <c r="H162" s="233">
        <v>47.7</v>
      </c>
      <c r="I162" s="242">
        <v>224</v>
      </c>
    </row>
    <row r="163" spans="2:9" x14ac:dyDescent="0.25">
      <c r="B163" s="16"/>
      <c r="C163" s="234"/>
      <c r="D163" s="263" t="s">
        <v>439</v>
      </c>
      <c r="E163" s="230" t="s">
        <v>72</v>
      </c>
      <c r="F163" s="231">
        <v>2004</v>
      </c>
      <c r="G163" s="232">
        <v>1</v>
      </c>
      <c r="H163" s="233">
        <v>23.73</v>
      </c>
      <c r="I163" s="242">
        <v>96.34</v>
      </c>
    </row>
    <row r="164" spans="2:9" x14ac:dyDescent="0.25">
      <c r="B164" s="16"/>
      <c r="C164" s="234"/>
      <c r="D164" s="263" t="s">
        <v>339</v>
      </c>
      <c r="E164" s="230" t="s">
        <v>72</v>
      </c>
      <c r="F164" s="235">
        <v>41306</v>
      </c>
      <c r="G164" s="232">
        <v>1</v>
      </c>
      <c r="H164" s="233">
        <v>1.958</v>
      </c>
      <c r="I164" s="242">
        <v>7.1</v>
      </c>
    </row>
    <row r="165" spans="2:9" x14ac:dyDescent="0.25">
      <c r="B165" s="16"/>
      <c r="C165" s="234"/>
      <c r="D165" s="263" t="s">
        <v>344</v>
      </c>
      <c r="E165" s="230" t="s">
        <v>72</v>
      </c>
      <c r="F165" s="235">
        <v>40872</v>
      </c>
      <c r="G165" s="232">
        <v>1</v>
      </c>
      <c r="H165" s="233">
        <v>8.06</v>
      </c>
      <c r="I165" s="242">
        <v>42.6</v>
      </c>
    </row>
    <row r="166" spans="2:9" x14ac:dyDescent="0.25">
      <c r="B166" s="16"/>
      <c r="C166" s="234"/>
      <c r="D166" s="263" t="s">
        <v>569</v>
      </c>
      <c r="E166" s="230" t="s">
        <v>576</v>
      </c>
      <c r="F166" s="235">
        <v>42003</v>
      </c>
      <c r="G166" s="232">
        <v>1</v>
      </c>
      <c r="H166" s="233">
        <v>6.62</v>
      </c>
      <c r="I166" s="242">
        <v>23</v>
      </c>
    </row>
    <row r="167" spans="2:9" x14ac:dyDescent="0.25">
      <c r="B167" s="16"/>
      <c r="C167" s="234"/>
      <c r="D167" s="263" t="s">
        <v>670</v>
      </c>
      <c r="E167" s="230" t="s">
        <v>72</v>
      </c>
      <c r="F167" s="231">
        <v>1974</v>
      </c>
      <c r="G167" s="232">
        <v>1</v>
      </c>
      <c r="H167" s="233">
        <v>0.42399999999999999</v>
      </c>
      <c r="I167" s="242">
        <v>1</v>
      </c>
    </row>
    <row r="168" spans="2:9" x14ac:dyDescent="0.25">
      <c r="B168" s="16"/>
      <c r="C168" s="234"/>
      <c r="D168" s="263" t="s">
        <v>671</v>
      </c>
      <c r="E168" s="230" t="s">
        <v>72</v>
      </c>
      <c r="F168" s="231">
        <v>1971</v>
      </c>
      <c r="G168" s="232">
        <v>1</v>
      </c>
      <c r="H168" s="233">
        <v>70</v>
      </c>
      <c r="I168" s="242">
        <v>315</v>
      </c>
    </row>
    <row r="169" spans="2:9" x14ac:dyDescent="0.25">
      <c r="B169" s="16"/>
      <c r="C169" s="234"/>
      <c r="D169" s="263" t="s">
        <v>672</v>
      </c>
      <c r="E169" s="230" t="s">
        <v>72</v>
      </c>
      <c r="F169" s="231">
        <v>1974</v>
      </c>
      <c r="G169" s="232">
        <v>1</v>
      </c>
      <c r="H169" s="233">
        <v>56</v>
      </c>
      <c r="I169" s="242">
        <v>307</v>
      </c>
    </row>
    <row r="170" spans="2:9" x14ac:dyDescent="0.25">
      <c r="B170" s="16"/>
      <c r="C170" s="234"/>
      <c r="D170" s="263" t="s">
        <v>673</v>
      </c>
      <c r="E170" s="230" t="s">
        <v>72</v>
      </c>
      <c r="F170" s="231">
        <v>1967</v>
      </c>
      <c r="G170" s="232">
        <v>1</v>
      </c>
      <c r="H170" s="233">
        <v>0.88</v>
      </c>
      <c r="I170" s="242">
        <v>3.6</v>
      </c>
    </row>
    <row r="171" spans="2:9" x14ac:dyDescent="0.25">
      <c r="B171" s="16"/>
      <c r="C171" s="234"/>
      <c r="D171" s="263" t="s">
        <v>674</v>
      </c>
      <c r="E171" s="230" t="s">
        <v>72</v>
      </c>
      <c r="F171" s="231">
        <v>1971</v>
      </c>
      <c r="G171" s="232">
        <v>1</v>
      </c>
      <c r="H171" s="233">
        <v>0.32800000000000001</v>
      </c>
      <c r="I171" s="242">
        <v>1</v>
      </c>
    </row>
    <row r="172" spans="2:9" x14ac:dyDescent="0.25">
      <c r="B172" s="16"/>
      <c r="C172" s="234"/>
      <c r="D172" s="263" t="s">
        <v>675</v>
      </c>
      <c r="E172" s="230" t="s">
        <v>69</v>
      </c>
      <c r="F172" s="235">
        <v>42081</v>
      </c>
      <c r="G172" s="232">
        <v>1</v>
      </c>
      <c r="H172" s="233">
        <v>31.57</v>
      </c>
      <c r="I172" s="242">
        <v>99.09</v>
      </c>
    </row>
    <row r="173" spans="2:9" ht="15.75" thickBot="1" x14ac:dyDescent="0.3">
      <c r="B173" s="16"/>
      <c r="C173" s="234"/>
      <c r="D173" s="255" t="s">
        <v>676</v>
      </c>
      <c r="E173" s="250" t="s">
        <v>72</v>
      </c>
      <c r="F173" s="271">
        <v>42301</v>
      </c>
      <c r="G173" s="252">
        <v>1</v>
      </c>
      <c r="H173" s="253">
        <v>22.635999999999999</v>
      </c>
      <c r="I173" s="254">
        <v>75.03</v>
      </c>
    </row>
    <row r="174" spans="2:9" ht="15.75" thickBot="1" x14ac:dyDescent="0.3">
      <c r="B174" s="17"/>
      <c r="C174" s="82" t="s">
        <v>601</v>
      </c>
      <c r="D174" s="256"/>
      <c r="E174" s="256"/>
      <c r="F174" s="265"/>
      <c r="G174" s="257">
        <v>20</v>
      </c>
      <c r="H174" s="84">
        <v>430.89400000000001</v>
      </c>
      <c r="I174" s="247">
        <v>1714.06</v>
      </c>
    </row>
    <row r="175" spans="2:9" x14ac:dyDescent="0.25">
      <c r="B175" s="15" t="s">
        <v>94</v>
      </c>
      <c r="C175" s="261" t="s">
        <v>33</v>
      </c>
      <c r="D175" s="228" t="s">
        <v>159</v>
      </c>
      <c r="E175" s="236" t="s">
        <v>72</v>
      </c>
      <c r="F175" s="237">
        <v>1954</v>
      </c>
      <c r="G175" s="238">
        <v>1</v>
      </c>
      <c r="H175" s="239">
        <v>4.0919999999999996</v>
      </c>
      <c r="I175" s="240">
        <v>15</v>
      </c>
    </row>
    <row r="176" spans="2:9" ht="15.75" thickBot="1" x14ac:dyDescent="0.3">
      <c r="B176" s="16"/>
      <c r="C176" s="234"/>
      <c r="D176" s="255" t="s">
        <v>382</v>
      </c>
      <c r="E176" s="250" t="s">
        <v>72</v>
      </c>
      <c r="F176" s="271">
        <v>41412</v>
      </c>
      <c r="G176" s="252">
        <v>1</v>
      </c>
      <c r="H176" s="253">
        <v>9.98</v>
      </c>
      <c r="I176" s="254">
        <v>35.67</v>
      </c>
    </row>
    <row r="177" spans="2:9" ht="15.75" thickBot="1" x14ac:dyDescent="0.3">
      <c r="B177" s="17"/>
      <c r="C177" s="82" t="s">
        <v>602</v>
      </c>
      <c r="D177" s="256"/>
      <c r="E177" s="256"/>
      <c r="F177" s="265"/>
      <c r="G177" s="257">
        <v>2</v>
      </c>
      <c r="H177" s="84">
        <v>14.071999999999999</v>
      </c>
      <c r="I177" s="247">
        <v>50.67</v>
      </c>
    </row>
    <row r="178" spans="2:9" x14ac:dyDescent="0.25">
      <c r="B178" s="264" t="s">
        <v>95</v>
      </c>
      <c r="C178" s="81" t="s">
        <v>36</v>
      </c>
      <c r="D178" s="228" t="s">
        <v>210</v>
      </c>
      <c r="E178" s="236" t="s">
        <v>72</v>
      </c>
      <c r="F178" s="237">
        <v>2007</v>
      </c>
      <c r="G178" s="238">
        <v>1</v>
      </c>
      <c r="H178" s="239">
        <v>40.5</v>
      </c>
      <c r="I178" s="240">
        <v>105</v>
      </c>
    </row>
    <row r="179" spans="2:9" x14ac:dyDescent="0.25">
      <c r="B179" s="16"/>
      <c r="C179" s="241"/>
      <c r="D179" s="263" t="s">
        <v>393</v>
      </c>
      <c r="E179" s="230" t="s">
        <v>72</v>
      </c>
      <c r="F179" s="235">
        <v>41003</v>
      </c>
      <c r="G179" s="232">
        <v>1</v>
      </c>
      <c r="H179" s="233">
        <v>16.742999999999999</v>
      </c>
      <c r="I179" s="242">
        <v>46.395000000000003</v>
      </c>
    </row>
    <row r="180" spans="2:9" x14ac:dyDescent="0.25">
      <c r="B180" s="16"/>
      <c r="C180" s="241"/>
      <c r="D180" s="263" t="s">
        <v>233</v>
      </c>
      <c r="E180" s="230" t="s">
        <v>72</v>
      </c>
      <c r="F180" s="235">
        <v>40275</v>
      </c>
      <c r="G180" s="232">
        <v>1</v>
      </c>
      <c r="H180" s="233">
        <v>9.5399999999999991</v>
      </c>
      <c r="I180" s="242">
        <v>32</v>
      </c>
    </row>
    <row r="181" spans="2:9" x14ac:dyDescent="0.25">
      <c r="B181" s="16"/>
      <c r="C181" s="241"/>
      <c r="D181" s="263" t="s">
        <v>247</v>
      </c>
      <c r="E181" s="230" t="s">
        <v>72</v>
      </c>
      <c r="F181" s="231">
        <v>2008</v>
      </c>
      <c r="G181" s="232">
        <v>1</v>
      </c>
      <c r="H181" s="233">
        <v>38.72</v>
      </c>
      <c r="I181" s="242">
        <v>114.26</v>
      </c>
    </row>
    <row r="182" spans="2:9" x14ac:dyDescent="0.25">
      <c r="B182" s="16"/>
      <c r="C182" s="241"/>
      <c r="D182" s="263" t="s">
        <v>266</v>
      </c>
      <c r="E182" s="230" t="s">
        <v>72</v>
      </c>
      <c r="F182" s="231">
        <v>2008</v>
      </c>
      <c r="G182" s="232">
        <v>1</v>
      </c>
      <c r="H182" s="233">
        <v>9.26</v>
      </c>
      <c r="I182" s="242">
        <v>36</v>
      </c>
    </row>
    <row r="183" spans="2:9" x14ac:dyDescent="0.25">
      <c r="B183" s="16"/>
      <c r="C183" s="241"/>
      <c r="D183" s="263" t="s">
        <v>270</v>
      </c>
      <c r="E183" s="230" t="s">
        <v>72</v>
      </c>
      <c r="F183" s="235">
        <v>40998</v>
      </c>
      <c r="G183" s="232">
        <v>1</v>
      </c>
      <c r="H183" s="233">
        <v>24.265999999999998</v>
      </c>
      <c r="I183" s="242">
        <v>60.26</v>
      </c>
    </row>
    <row r="184" spans="2:9" x14ac:dyDescent="0.25">
      <c r="B184" s="16"/>
      <c r="C184" s="241"/>
      <c r="D184" s="263" t="s">
        <v>274</v>
      </c>
      <c r="E184" s="230" t="s">
        <v>72</v>
      </c>
      <c r="F184" s="231">
        <v>2009</v>
      </c>
      <c r="G184" s="232">
        <v>1</v>
      </c>
      <c r="H184" s="233">
        <v>1.8</v>
      </c>
      <c r="I184" s="242">
        <v>4.28</v>
      </c>
    </row>
    <row r="185" spans="2:9" x14ac:dyDescent="0.25">
      <c r="B185" s="16"/>
      <c r="C185" s="241"/>
      <c r="D185" s="263" t="s">
        <v>277</v>
      </c>
      <c r="E185" s="230" t="s">
        <v>72</v>
      </c>
      <c r="F185" s="235">
        <v>40619</v>
      </c>
      <c r="G185" s="232">
        <v>1</v>
      </c>
      <c r="H185" s="233">
        <v>142.28</v>
      </c>
      <c r="I185" s="242">
        <v>334.02100000000002</v>
      </c>
    </row>
    <row r="186" spans="2:9" x14ac:dyDescent="0.25">
      <c r="B186" s="16"/>
      <c r="C186" s="241"/>
      <c r="D186" s="263" t="s">
        <v>287</v>
      </c>
      <c r="E186" s="230" t="s">
        <v>72</v>
      </c>
      <c r="F186" s="231">
        <v>2009</v>
      </c>
      <c r="G186" s="232">
        <v>1</v>
      </c>
      <c r="H186" s="233">
        <v>34.130000000000003</v>
      </c>
      <c r="I186" s="242">
        <v>107</v>
      </c>
    </row>
    <row r="187" spans="2:9" x14ac:dyDescent="0.25">
      <c r="B187" s="16"/>
      <c r="C187" s="241"/>
      <c r="D187" s="263" t="s">
        <v>427</v>
      </c>
      <c r="E187" s="230" t="s">
        <v>69</v>
      </c>
      <c r="F187" s="235">
        <v>41569</v>
      </c>
      <c r="G187" s="232">
        <v>1</v>
      </c>
      <c r="H187" s="233">
        <v>207.92</v>
      </c>
      <c r="I187" s="242">
        <v>502</v>
      </c>
    </row>
    <row r="188" spans="2:9" x14ac:dyDescent="0.25">
      <c r="B188" s="16"/>
      <c r="C188" s="241"/>
      <c r="D188" s="263" t="s">
        <v>293</v>
      </c>
      <c r="E188" s="230" t="s">
        <v>72</v>
      </c>
      <c r="F188" s="235">
        <v>41405</v>
      </c>
      <c r="G188" s="232">
        <v>1</v>
      </c>
      <c r="H188" s="233">
        <v>8</v>
      </c>
      <c r="I188" s="242">
        <v>24</v>
      </c>
    </row>
    <row r="189" spans="2:9" x14ac:dyDescent="0.25">
      <c r="B189" s="16"/>
      <c r="C189" s="241"/>
      <c r="D189" s="263" t="s">
        <v>442</v>
      </c>
      <c r="E189" s="230" t="s">
        <v>69</v>
      </c>
      <c r="F189" s="235">
        <v>41537</v>
      </c>
      <c r="G189" s="232">
        <v>1</v>
      </c>
      <c r="H189" s="233">
        <v>102.54</v>
      </c>
      <c r="I189" s="242">
        <v>282</v>
      </c>
    </row>
    <row r="190" spans="2:9" x14ac:dyDescent="0.25">
      <c r="B190" s="16"/>
      <c r="C190" s="241"/>
      <c r="D190" s="263" t="s">
        <v>295</v>
      </c>
      <c r="E190" s="230" t="s">
        <v>72</v>
      </c>
      <c r="F190" s="231">
        <v>2007</v>
      </c>
      <c r="G190" s="232">
        <v>1</v>
      </c>
      <c r="H190" s="233">
        <v>2.4</v>
      </c>
      <c r="I190" s="242">
        <v>18.72</v>
      </c>
    </row>
    <row r="191" spans="2:9" x14ac:dyDescent="0.25">
      <c r="B191" s="16"/>
      <c r="C191" s="241"/>
      <c r="D191" s="263" t="s">
        <v>298</v>
      </c>
      <c r="E191" s="230" t="s">
        <v>72</v>
      </c>
      <c r="F191" s="231">
        <v>2005</v>
      </c>
      <c r="G191" s="232">
        <v>1</v>
      </c>
      <c r="H191" s="233">
        <v>23.9</v>
      </c>
      <c r="I191" s="242">
        <v>71</v>
      </c>
    </row>
    <row r="192" spans="2:9" x14ac:dyDescent="0.25">
      <c r="B192" s="16"/>
      <c r="C192" s="241"/>
      <c r="D192" s="263" t="s">
        <v>300</v>
      </c>
      <c r="E192" s="230" t="s">
        <v>69</v>
      </c>
      <c r="F192" s="235">
        <v>41088</v>
      </c>
      <c r="G192" s="232">
        <v>1</v>
      </c>
      <c r="H192" s="233">
        <v>8</v>
      </c>
      <c r="I192" s="242">
        <v>26.51</v>
      </c>
    </row>
    <row r="193" spans="2:9" x14ac:dyDescent="0.25">
      <c r="B193" s="16"/>
      <c r="C193" s="241"/>
      <c r="D193" s="263" t="s">
        <v>429</v>
      </c>
      <c r="E193" s="230" t="s">
        <v>72</v>
      </c>
      <c r="F193" s="235">
        <v>40647</v>
      </c>
      <c r="G193" s="232">
        <v>1</v>
      </c>
      <c r="H193" s="233">
        <v>4.6093999999999999</v>
      </c>
      <c r="I193" s="242">
        <v>16.100000000000001</v>
      </c>
    </row>
    <row r="194" spans="2:9" x14ac:dyDescent="0.25">
      <c r="B194" s="16"/>
      <c r="C194" s="241"/>
      <c r="D194" s="263" t="s">
        <v>151</v>
      </c>
      <c r="E194" s="230" t="s">
        <v>72</v>
      </c>
      <c r="F194" s="231">
        <v>1993</v>
      </c>
      <c r="G194" s="232">
        <v>1</v>
      </c>
      <c r="H194" s="233">
        <v>9.2639999999999993</v>
      </c>
      <c r="I194" s="242">
        <v>35</v>
      </c>
    </row>
    <row r="195" spans="2:9" x14ac:dyDescent="0.25">
      <c r="B195" s="16"/>
      <c r="C195" s="241"/>
      <c r="D195" s="263" t="s">
        <v>430</v>
      </c>
      <c r="E195" s="230" t="s">
        <v>72</v>
      </c>
      <c r="F195" s="231">
        <v>2009</v>
      </c>
      <c r="G195" s="232">
        <v>1</v>
      </c>
      <c r="H195" s="233">
        <v>4.4000000000000004</v>
      </c>
      <c r="I195" s="242">
        <v>13.34</v>
      </c>
    </row>
    <row r="196" spans="2:9" x14ac:dyDescent="0.25">
      <c r="B196" s="16"/>
      <c r="C196" s="241"/>
      <c r="D196" s="263" t="s">
        <v>318</v>
      </c>
      <c r="E196" s="230" t="s">
        <v>72</v>
      </c>
      <c r="F196" s="235">
        <v>40724</v>
      </c>
      <c r="G196" s="232">
        <v>1</v>
      </c>
      <c r="H196" s="233">
        <v>1.07</v>
      </c>
      <c r="I196" s="242">
        <v>4.5999999999999996</v>
      </c>
    </row>
    <row r="197" spans="2:9" x14ac:dyDescent="0.25">
      <c r="B197" s="16"/>
      <c r="C197" s="241"/>
      <c r="D197" s="263" t="s">
        <v>338</v>
      </c>
      <c r="E197" s="230" t="s">
        <v>72</v>
      </c>
      <c r="F197" s="235">
        <v>40802</v>
      </c>
      <c r="G197" s="232">
        <v>1</v>
      </c>
      <c r="H197" s="233">
        <v>2.66</v>
      </c>
      <c r="I197" s="242">
        <v>9.98</v>
      </c>
    </row>
    <row r="198" spans="2:9" x14ac:dyDescent="0.25">
      <c r="B198" s="16"/>
      <c r="C198" s="241"/>
      <c r="D198" s="263" t="s">
        <v>193</v>
      </c>
      <c r="E198" s="230" t="s">
        <v>69</v>
      </c>
      <c r="F198" s="231">
        <v>2000</v>
      </c>
      <c r="G198" s="232">
        <v>1</v>
      </c>
      <c r="H198" s="233">
        <v>7</v>
      </c>
      <c r="I198" s="242">
        <v>28.04</v>
      </c>
    </row>
    <row r="199" spans="2:9" x14ac:dyDescent="0.25">
      <c r="B199" s="16"/>
      <c r="C199" s="241"/>
      <c r="D199" s="263" t="s">
        <v>490</v>
      </c>
      <c r="E199" s="230" t="s">
        <v>72</v>
      </c>
      <c r="F199" s="231">
        <v>2004</v>
      </c>
      <c r="G199" s="232">
        <v>1</v>
      </c>
      <c r="H199" s="233">
        <v>4.5</v>
      </c>
      <c r="I199" s="242">
        <v>18.88</v>
      </c>
    </row>
    <row r="200" spans="2:9" x14ac:dyDescent="0.25">
      <c r="B200" s="16"/>
      <c r="C200" s="241"/>
      <c r="D200" s="263" t="s">
        <v>447</v>
      </c>
      <c r="E200" s="230" t="s">
        <v>72</v>
      </c>
      <c r="F200" s="231">
        <v>2007</v>
      </c>
      <c r="G200" s="232">
        <v>1</v>
      </c>
      <c r="H200" s="233">
        <v>12.3</v>
      </c>
      <c r="I200" s="242">
        <v>48.292999999999999</v>
      </c>
    </row>
    <row r="201" spans="2:9" x14ac:dyDescent="0.25">
      <c r="B201" s="16"/>
      <c r="C201" s="241"/>
      <c r="D201" s="263" t="s">
        <v>358</v>
      </c>
      <c r="E201" s="230" t="s">
        <v>72</v>
      </c>
      <c r="F201" s="231">
        <v>2008</v>
      </c>
      <c r="G201" s="232">
        <v>1</v>
      </c>
      <c r="H201" s="233">
        <v>0.82</v>
      </c>
      <c r="I201" s="242">
        <v>5.28</v>
      </c>
    </row>
    <row r="202" spans="2:9" x14ac:dyDescent="0.25">
      <c r="B202" s="16"/>
      <c r="C202" s="241"/>
      <c r="D202" s="263" t="s">
        <v>449</v>
      </c>
      <c r="E202" s="230" t="s">
        <v>72</v>
      </c>
      <c r="F202" s="235">
        <v>41121</v>
      </c>
      <c r="G202" s="232">
        <v>1</v>
      </c>
      <c r="H202" s="233">
        <v>1.57</v>
      </c>
      <c r="I202" s="242">
        <v>10.86</v>
      </c>
    </row>
    <row r="203" spans="2:9" x14ac:dyDescent="0.25">
      <c r="B203" s="16"/>
      <c r="C203" s="241"/>
      <c r="D203" s="263" t="s">
        <v>363</v>
      </c>
      <c r="E203" s="230" t="s">
        <v>72</v>
      </c>
      <c r="F203" s="235">
        <v>41314</v>
      </c>
      <c r="G203" s="232">
        <v>1</v>
      </c>
      <c r="H203" s="233">
        <v>14.834</v>
      </c>
      <c r="I203" s="242">
        <v>35</v>
      </c>
    </row>
    <row r="204" spans="2:9" x14ac:dyDescent="0.25">
      <c r="B204" s="16"/>
      <c r="C204" s="241"/>
      <c r="D204" s="263" t="s">
        <v>368</v>
      </c>
      <c r="E204" s="230" t="s">
        <v>72</v>
      </c>
      <c r="F204" s="235">
        <v>41104</v>
      </c>
      <c r="G204" s="232">
        <v>1</v>
      </c>
      <c r="H204" s="233">
        <v>1.05</v>
      </c>
      <c r="I204" s="242">
        <v>4.59</v>
      </c>
    </row>
    <row r="205" spans="2:9" x14ac:dyDescent="0.25">
      <c r="B205" s="16"/>
      <c r="C205" s="241"/>
      <c r="D205" s="263" t="s">
        <v>374</v>
      </c>
      <c r="E205" s="230" t="s">
        <v>72</v>
      </c>
      <c r="F205" s="235">
        <v>40723</v>
      </c>
      <c r="G205" s="232">
        <v>1</v>
      </c>
      <c r="H205" s="233">
        <v>3.794</v>
      </c>
      <c r="I205" s="242">
        <v>14.92</v>
      </c>
    </row>
    <row r="206" spans="2:9" x14ac:dyDescent="0.25">
      <c r="B206" s="16"/>
      <c r="C206" s="241"/>
      <c r="D206" s="263" t="s">
        <v>463</v>
      </c>
      <c r="E206" s="230" t="s">
        <v>72</v>
      </c>
      <c r="F206" s="235">
        <v>41026</v>
      </c>
      <c r="G206" s="232">
        <v>1</v>
      </c>
      <c r="H206" s="233">
        <v>5.2</v>
      </c>
      <c r="I206" s="242">
        <v>18.280999999999999</v>
      </c>
    </row>
    <row r="207" spans="2:9" x14ac:dyDescent="0.25">
      <c r="B207" s="16"/>
      <c r="C207" s="241"/>
      <c r="D207" s="263" t="s">
        <v>677</v>
      </c>
      <c r="E207" s="230" t="s">
        <v>72</v>
      </c>
      <c r="F207" s="235">
        <v>42073</v>
      </c>
      <c r="G207" s="232">
        <v>1</v>
      </c>
      <c r="H207" s="233">
        <v>27.38</v>
      </c>
      <c r="I207" s="242">
        <v>113</v>
      </c>
    </row>
    <row r="208" spans="2:9" x14ac:dyDescent="0.25">
      <c r="B208" s="16"/>
      <c r="C208" s="241"/>
      <c r="D208" s="263" t="s">
        <v>678</v>
      </c>
      <c r="E208" s="230" t="s">
        <v>72</v>
      </c>
      <c r="F208" s="235">
        <v>42075</v>
      </c>
      <c r="G208" s="232">
        <v>1</v>
      </c>
      <c r="H208" s="233">
        <v>18.32</v>
      </c>
      <c r="I208" s="242">
        <v>30.01</v>
      </c>
    </row>
    <row r="209" spans="2:9" ht="15.75" thickBot="1" x14ac:dyDescent="0.3">
      <c r="B209" s="16"/>
      <c r="C209" s="241"/>
      <c r="D209" s="263" t="s">
        <v>679</v>
      </c>
      <c r="E209" s="230" t="s">
        <v>72</v>
      </c>
      <c r="F209" s="231">
        <v>1991</v>
      </c>
      <c r="G209" s="252">
        <v>1</v>
      </c>
      <c r="H209" s="253">
        <v>283.5</v>
      </c>
      <c r="I209" s="254">
        <v>725</v>
      </c>
    </row>
    <row r="210" spans="2:9" ht="15.75" thickBot="1" x14ac:dyDescent="0.3">
      <c r="B210" s="17"/>
      <c r="C210" s="82" t="s">
        <v>603</v>
      </c>
      <c r="D210" s="256"/>
      <c r="E210" s="256"/>
      <c r="F210" s="265"/>
      <c r="G210" s="244">
        <v>32</v>
      </c>
      <c r="H210" s="245">
        <v>1072.2703999999999</v>
      </c>
      <c r="I210" s="246">
        <v>2894.62</v>
      </c>
    </row>
    <row r="211" spans="2:9" x14ac:dyDescent="0.25">
      <c r="B211" s="80" t="s">
        <v>96</v>
      </c>
      <c r="C211" s="229" t="s">
        <v>53</v>
      </c>
      <c r="D211" s="228" t="s">
        <v>403</v>
      </c>
      <c r="E211" s="236" t="s">
        <v>69</v>
      </c>
      <c r="F211" s="237">
        <v>2010</v>
      </c>
      <c r="G211" s="238">
        <v>1</v>
      </c>
      <c r="H211" s="239">
        <v>60</v>
      </c>
      <c r="I211" s="240">
        <v>250</v>
      </c>
    </row>
    <row r="212" spans="2:9" x14ac:dyDescent="0.25">
      <c r="B212" s="16"/>
      <c r="C212" s="234"/>
      <c r="D212" s="263" t="s">
        <v>157</v>
      </c>
      <c r="E212" s="230" t="s">
        <v>72</v>
      </c>
      <c r="F212" s="231">
        <v>1987</v>
      </c>
      <c r="G212" s="232">
        <v>1</v>
      </c>
      <c r="H212" s="233">
        <v>0.5</v>
      </c>
      <c r="I212" s="242">
        <v>1</v>
      </c>
    </row>
    <row r="213" spans="2:9" x14ac:dyDescent="0.25">
      <c r="B213" s="16"/>
      <c r="C213" s="234"/>
      <c r="D213" s="263" t="s">
        <v>256</v>
      </c>
      <c r="E213" s="230" t="s">
        <v>72</v>
      </c>
      <c r="F213" s="235">
        <v>41520</v>
      </c>
      <c r="G213" s="232">
        <v>1</v>
      </c>
      <c r="H213" s="233">
        <v>3.05</v>
      </c>
      <c r="I213" s="242">
        <v>12.5</v>
      </c>
    </row>
    <row r="214" spans="2:9" x14ac:dyDescent="0.25">
      <c r="B214" s="16"/>
      <c r="C214" s="234"/>
      <c r="D214" s="263" t="s">
        <v>573</v>
      </c>
      <c r="E214" s="230" t="s">
        <v>576</v>
      </c>
      <c r="F214" s="235">
        <v>41932</v>
      </c>
      <c r="G214" s="232">
        <v>1</v>
      </c>
      <c r="H214" s="233">
        <v>5</v>
      </c>
      <c r="I214" s="242">
        <v>12.57</v>
      </c>
    </row>
    <row r="215" spans="2:9" x14ac:dyDescent="0.25">
      <c r="B215" s="16"/>
      <c r="C215" s="234"/>
      <c r="D215" s="263" t="s">
        <v>281</v>
      </c>
      <c r="E215" s="230" t="s">
        <v>72</v>
      </c>
      <c r="F215" s="231" t="s">
        <v>2</v>
      </c>
      <c r="G215" s="232">
        <v>1</v>
      </c>
      <c r="H215" s="233">
        <v>8.48</v>
      </c>
      <c r="I215" s="242">
        <v>30</v>
      </c>
    </row>
    <row r="216" spans="2:9" x14ac:dyDescent="0.25">
      <c r="B216" s="16"/>
      <c r="C216" s="234"/>
      <c r="D216" s="263" t="s">
        <v>289</v>
      </c>
      <c r="E216" s="230" t="s">
        <v>72</v>
      </c>
      <c r="F216" s="231">
        <v>2006</v>
      </c>
      <c r="G216" s="232">
        <v>1</v>
      </c>
      <c r="H216" s="233">
        <v>28.81</v>
      </c>
      <c r="I216" s="242">
        <v>51.64</v>
      </c>
    </row>
    <row r="217" spans="2:9" x14ac:dyDescent="0.25">
      <c r="B217" s="16"/>
      <c r="C217" s="234"/>
      <c r="D217" s="263" t="s">
        <v>158</v>
      </c>
      <c r="E217" s="230" t="s">
        <v>72</v>
      </c>
      <c r="F217" s="231">
        <v>1955</v>
      </c>
      <c r="G217" s="232">
        <v>1</v>
      </c>
      <c r="H217" s="233">
        <v>0.4</v>
      </c>
      <c r="I217" s="242">
        <v>1.5</v>
      </c>
    </row>
    <row r="218" spans="2:9" x14ac:dyDescent="0.25">
      <c r="B218" s="16"/>
      <c r="C218" s="234"/>
      <c r="D218" s="263" t="s">
        <v>559</v>
      </c>
      <c r="E218" s="230" t="s">
        <v>576</v>
      </c>
      <c r="F218" s="235">
        <v>41810</v>
      </c>
      <c r="G218" s="232">
        <v>1</v>
      </c>
      <c r="H218" s="233">
        <v>9.06</v>
      </c>
      <c r="I218" s="242">
        <v>26.13</v>
      </c>
    </row>
    <row r="219" spans="2:9" x14ac:dyDescent="0.25">
      <c r="B219" s="16"/>
      <c r="C219" s="234"/>
      <c r="D219" s="263" t="s">
        <v>523</v>
      </c>
      <c r="E219" s="230" t="s">
        <v>72</v>
      </c>
      <c r="F219" s="231">
        <v>2006</v>
      </c>
      <c r="G219" s="232">
        <v>1</v>
      </c>
      <c r="H219" s="233">
        <v>7.35</v>
      </c>
      <c r="I219" s="242">
        <v>25</v>
      </c>
    </row>
    <row r="220" spans="2:9" x14ac:dyDescent="0.25">
      <c r="B220" s="16"/>
      <c r="C220" s="234"/>
      <c r="D220" s="263" t="s">
        <v>346</v>
      </c>
      <c r="E220" s="230" t="s">
        <v>72</v>
      </c>
      <c r="F220" s="231">
        <v>2009</v>
      </c>
      <c r="G220" s="232">
        <v>1</v>
      </c>
      <c r="H220" s="233">
        <v>4.9000000000000004</v>
      </c>
      <c r="I220" s="242">
        <v>17</v>
      </c>
    </row>
    <row r="221" spans="2:9" x14ac:dyDescent="0.25">
      <c r="B221" s="16"/>
      <c r="C221" s="234"/>
      <c r="D221" s="263" t="s">
        <v>348</v>
      </c>
      <c r="E221" s="230" t="s">
        <v>72</v>
      </c>
      <c r="F221" s="235">
        <v>40866</v>
      </c>
      <c r="G221" s="232">
        <v>1</v>
      </c>
      <c r="H221" s="233">
        <v>14.9</v>
      </c>
      <c r="I221" s="242">
        <v>48.3</v>
      </c>
    </row>
    <row r="222" spans="2:9" x14ac:dyDescent="0.25">
      <c r="B222" s="16"/>
      <c r="C222" s="234"/>
      <c r="D222" s="263" t="s">
        <v>567</v>
      </c>
      <c r="E222" s="230" t="s">
        <v>576</v>
      </c>
      <c r="F222" s="235">
        <v>41950</v>
      </c>
      <c r="G222" s="232">
        <v>1</v>
      </c>
      <c r="H222" s="233">
        <v>3.3879999999999999</v>
      </c>
      <c r="I222" s="242">
        <v>13.4</v>
      </c>
    </row>
    <row r="223" spans="2:9" x14ac:dyDescent="0.25">
      <c r="B223" s="16"/>
      <c r="C223" s="234"/>
      <c r="D223" s="263" t="s">
        <v>372</v>
      </c>
      <c r="E223" s="230" t="s">
        <v>69</v>
      </c>
      <c r="F223" s="235">
        <v>40744</v>
      </c>
      <c r="G223" s="232">
        <v>1</v>
      </c>
      <c r="H223" s="233">
        <v>5.46</v>
      </c>
      <c r="I223" s="242">
        <v>17</v>
      </c>
    </row>
    <row r="224" spans="2:9" x14ac:dyDescent="0.25">
      <c r="B224" s="16"/>
      <c r="C224" s="234"/>
      <c r="D224" s="263" t="s">
        <v>680</v>
      </c>
      <c r="E224" s="230" t="s">
        <v>72</v>
      </c>
      <c r="F224" s="235">
        <v>42222</v>
      </c>
      <c r="G224" s="232">
        <v>1</v>
      </c>
      <c r="H224" s="233">
        <v>6.79</v>
      </c>
      <c r="I224" s="242">
        <v>15.55</v>
      </c>
    </row>
    <row r="225" spans="2:9" x14ac:dyDescent="0.25">
      <c r="B225" s="16"/>
      <c r="C225" s="234"/>
      <c r="D225" s="263" t="s">
        <v>681</v>
      </c>
      <c r="E225" s="230" t="s">
        <v>72</v>
      </c>
      <c r="F225" s="235">
        <v>42279</v>
      </c>
      <c r="G225" s="232">
        <v>1</v>
      </c>
      <c r="H225" s="233">
        <v>153.4</v>
      </c>
      <c r="I225" s="242">
        <v>624</v>
      </c>
    </row>
    <row r="226" spans="2:9" ht="15.75" thickBot="1" x14ac:dyDescent="0.3">
      <c r="B226" s="16"/>
      <c r="C226" s="234"/>
      <c r="D226" s="263" t="s">
        <v>682</v>
      </c>
      <c r="E226" s="230" t="s">
        <v>72</v>
      </c>
      <c r="F226" s="235">
        <v>37288</v>
      </c>
      <c r="G226" s="232">
        <v>1</v>
      </c>
      <c r="H226" s="233">
        <v>510</v>
      </c>
      <c r="I226" s="242">
        <v>1669</v>
      </c>
    </row>
    <row r="227" spans="2:9" ht="15.75" thickBot="1" x14ac:dyDescent="0.3">
      <c r="B227" s="17"/>
      <c r="C227" s="82" t="s">
        <v>604</v>
      </c>
      <c r="D227" s="256"/>
      <c r="E227" s="256"/>
      <c r="F227" s="265"/>
      <c r="G227" s="257">
        <v>16</v>
      </c>
      <c r="H227" s="84">
        <v>821.48800000000006</v>
      </c>
      <c r="I227" s="247">
        <v>2814.59</v>
      </c>
    </row>
    <row r="228" spans="2:9" x14ac:dyDescent="0.25">
      <c r="B228" s="80" t="s">
        <v>97</v>
      </c>
      <c r="C228" s="81" t="s">
        <v>42</v>
      </c>
      <c r="D228" s="228" t="s">
        <v>278</v>
      </c>
      <c r="E228" s="236" t="s">
        <v>72</v>
      </c>
      <c r="F228" s="237">
        <v>2008</v>
      </c>
      <c r="G228" s="238">
        <v>1</v>
      </c>
      <c r="H228" s="239">
        <v>16.7</v>
      </c>
      <c r="I228" s="240">
        <v>90</v>
      </c>
    </row>
    <row r="229" spans="2:9" ht="15.75" thickBot="1" x14ac:dyDescent="0.3">
      <c r="B229" s="16"/>
      <c r="C229" s="249"/>
      <c r="D229" s="255" t="s">
        <v>683</v>
      </c>
      <c r="E229" s="250" t="s">
        <v>72</v>
      </c>
      <c r="F229" s="271">
        <v>42145</v>
      </c>
      <c r="G229" s="252">
        <v>1</v>
      </c>
      <c r="H229" s="253">
        <v>17</v>
      </c>
      <c r="I229" s="254">
        <v>56</v>
      </c>
    </row>
    <row r="230" spans="2:9" ht="15.75" thickBot="1" x14ac:dyDescent="0.3">
      <c r="B230" s="17"/>
      <c r="C230" s="82" t="s">
        <v>605</v>
      </c>
      <c r="D230" s="256"/>
      <c r="E230" s="256"/>
      <c r="F230" s="265"/>
      <c r="G230" s="244">
        <v>2</v>
      </c>
      <c r="H230" s="245">
        <v>33.700000000000003</v>
      </c>
      <c r="I230" s="246">
        <v>146</v>
      </c>
    </row>
    <row r="231" spans="2:9" ht="15.75" thickBot="1" x14ac:dyDescent="0.3">
      <c r="B231" s="80" t="s">
        <v>98</v>
      </c>
      <c r="C231" s="81" t="s">
        <v>51</v>
      </c>
      <c r="D231" s="228" t="s">
        <v>182</v>
      </c>
      <c r="E231" s="236" t="s">
        <v>72</v>
      </c>
      <c r="F231" s="237">
        <v>1965</v>
      </c>
      <c r="G231" s="260">
        <v>1</v>
      </c>
      <c r="H231" s="83">
        <v>6.88E-2</v>
      </c>
      <c r="I231" s="275">
        <v>0.6</v>
      </c>
    </row>
    <row r="232" spans="2:9" ht="15.75" thickBot="1" x14ac:dyDescent="0.3">
      <c r="B232" s="17"/>
      <c r="C232" s="82" t="s">
        <v>606</v>
      </c>
      <c r="D232" s="256"/>
      <c r="E232" s="256"/>
      <c r="F232" s="265"/>
      <c r="G232" s="244">
        <v>1</v>
      </c>
      <c r="H232" s="245">
        <v>6.88E-2</v>
      </c>
      <c r="I232" s="246">
        <v>0.6</v>
      </c>
    </row>
    <row r="233" spans="2:9" x14ac:dyDescent="0.25">
      <c r="B233" s="80" t="s">
        <v>99</v>
      </c>
      <c r="C233" s="81" t="s">
        <v>50</v>
      </c>
      <c r="D233" s="228" t="s">
        <v>392</v>
      </c>
      <c r="E233" s="236" t="s">
        <v>72</v>
      </c>
      <c r="F233" s="266">
        <v>41423</v>
      </c>
      <c r="G233" s="238">
        <v>1</v>
      </c>
      <c r="H233" s="239">
        <v>20.399999999999999</v>
      </c>
      <c r="I233" s="240">
        <v>80.260000000000005</v>
      </c>
    </row>
    <row r="234" spans="2:9" x14ac:dyDescent="0.25">
      <c r="B234" s="16"/>
      <c r="C234" s="241"/>
      <c r="D234" s="263" t="s">
        <v>397</v>
      </c>
      <c r="E234" s="230" t="s">
        <v>69</v>
      </c>
      <c r="F234" s="235">
        <v>40563</v>
      </c>
      <c r="G234" s="232">
        <v>1</v>
      </c>
      <c r="H234" s="233">
        <v>47</v>
      </c>
      <c r="I234" s="242">
        <v>166</v>
      </c>
    </row>
    <row r="235" spans="2:9" x14ac:dyDescent="0.25">
      <c r="B235" s="16"/>
      <c r="C235" s="241"/>
      <c r="D235" s="263" t="s">
        <v>279</v>
      </c>
      <c r="E235" s="230" t="s">
        <v>72</v>
      </c>
      <c r="F235" s="235">
        <v>41410</v>
      </c>
      <c r="G235" s="232">
        <v>1</v>
      </c>
      <c r="H235" s="233">
        <v>5.29</v>
      </c>
      <c r="I235" s="242">
        <v>36.380000000000003</v>
      </c>
    </row>
    <row r="236" spans="2:9" x14ac:dyDescent="0.25">
      <c r="B236" s="16"/>
      <c r="C236" s="241"/>
      <c r="D236" s="263" t="s">
        <v>343</v>
      </c>
      <c r="E236" s="230" t="s">
        <v>72</v>
      </c>
      <c r="F236" s="235">
        <v>40930</v>
      </c>
      <c r="G236" s="232">
        <v>1</v>
      </c>
      <c r="H236" s="233">
        <v>6</v>
      </c>
      <c r="I236" s="242">
        <v>23</v>
      </c>
    </row>
    <row r="237" spans="2:9" ht="15.75" thickBot="1" x14ac:dyDescent="0.3">
      <c r="B237" s="16"/>
      <c r="C237" s="241"/>
      <c r="D237" s="263" t="s">
        <v>451</v>
      </c>
      <c r="E237" s="230" t="s">
        <v>72</v>
      </c>
      <c r="F237" s="235">
        <v>41180</v>
      </c>
      <c r="G237" s="252">
        <v>1</v>
      </c>
      <c r="H237" s="253">
        <v>8.44</v>
      </c>
      <c r="I237" s="254">
        <v>71</v>
      </c>
    </row>
    <row r="238" spans="2:9" ht="15.75" thickBot="1" x14ac:dyDescent="0.3">
      <c r="B238" s="17"/>
      <c r="C238" s="82" t="s">
        <v>607</v>
      </c>
      <c r="D238" s="256"/>
      <c r="E238" s="256"/>
      <c r="F238" s="265"/>
      <c r="G238" s="244">
        <v>5</v>
      </c>
      <c r="H238" s="245">
        <v>87.13000000000001</v>
      </c>
      <c r="I238" s="246">
        <v>376.64</v>
      </c>
    </row>
    <row r="239" spans="2:9" x14ac:dyDescent="0.25">
      <c r="B239" s="80" t="s">
        <v>100</v>
      </c>
      <c r="C239" s="81" t="s">
        <v>41</v>
      </c>
      <c r="D239" s="228" t="s">
        <v>165</v>
      </c>
      <c r="E239" s="236" t="s">
        <v>72</v>
      </c>
      <c r="F239" s="237">
        <v>1928</v>
      </c>
      <c r="G239" s="238">
        <v>1</v>
      </c>
      <c r="H239" s="239">
        <v>1.36</v>
      </c>
      <c r="I239" s="240">
        <v>4</v>
      </c>
    </row>
    <row r="240" spans="2:9" x14ac:dyDescent="0.25">
      <c r="B240" s="16"/>
      <c r="C240" s="241"/>
      <c r="D240" s="263" t="s">
        <v>471</v>
      </c>
      <c r="E240" s="230" t="s">
        <v>72</v>
      </c>
      <c r="F240" s="231">
        <v>1998</v>
      </c>
      <c r="G240" s="232">
        <v>1</v>
      </c>
      <c r="H240" s="233">
        <v>84</v>
      </c>
      <c r="I240" s="242">
        <v>429</v>
      </c>
    </row>
    <row r="241" spans="2:9" x14ac:dyDescent="0.25">
      <c r="B241" s="16"/>
      <c r="C241" s="241"/>
      <c r="D241" s="263" t="s">
        <v>547</v>
      </c>
      <c r="E241" s="230" t="s">
        <v>576</v>
      </c>
      <c r="F241" s="235">
        <v>41761</v>
      </c>
      <c r="G241" s="232">
        <v>1</v>
      </c>
      <c r="H241" s="233">
        <v>17.579999999999998</v>
      </c>
      <c r="I241" s="242">
        <v>89.56</v>
      </c>
    </row>
    <row r="242" spans="2:9" x14ac:dyDescent="0.25">
      <c r="B242" s="16"/>
      <c r="C242" s="241"/>
      <c r="D242" s="263" t="s">
        <v>684</v>
      </c>
      <c r="E242" s="230" t="s">
        <v>69</v>
      </c>
      <c r="F242" s="235">
        <v>40634</v>
      </c>
      <c r="G242" s="232">
        <v>1</v>
      </c>
      <c r="H242" s="233">
        <v>27.617999999999999</v>
      </c>
      <c r="I242" s="242">
        <v>94.47</v>
      </c>
    </row>
    <row r="243" spans="2:9" x14ac:dyDescent="0.25">
      <c r="B243" s="16"/>
      <c r="C243" s="241"/>
      <c r="D243" s="263" t="s">
        <v>323</v>
      </c>
      <c r="E243" s="230" t="s">
        <v>72</v>
      </c>
      <c r="F243" s="231">
        <v>2001</v>
      </c>
      <c r="G243" s="232">
        <v>1</v>
      </c>
      <c r="H243" s="233">
        <v>3.33</v>
      </c>
      <c r="I243" s="242">
        <v>12.5</v>
      </c>
    </row>
    <row r="244" spans="2:9" x14ac:dyDescent="0.25">
      <c r="B244" s="16"/>
      <c r="C244" s="241"/>
      <c r="D244" s="263" t="s">
        <v>164</v>
      </c>
      <c r="E244" s="230" t="s">
        <v>72</v>
      </c>
      <c r="F244" s="231">
        <v>1924</v>
      </c>
      <c r="G244" s="232">
        <v>1</v>
      </c>
      <c r="H244" s="233">
        <v>9.9199999999999997E-2</v>
      </c>
      <c r="I244" s="242">
        <v>0.7</v>
      </c>
    </row>
    <row r="245" spans="2:9" x14ac:dyDescent="0.25">
      <c r="B245" s="16"/>
      <c r="C245" s="241"/>
      <c r="D245" s="263" t="s">
        <v>371</v>
      </c>
      <c r="E245" s="230" t="s">
        <v>72</v>
      </c>
      <c r="F245" s="235">
        <v>41663</v>
      </c>
      <c r="G245" s="232">
        <v>1</v>
      </c>
      <c r="H245" s="233">
        <v>0.31</v>
      </c>
      <c r="I245" s="242">
        <v>1</v>
      </c>
    </row>
    <row r="246" spans="2:9" x14ac:dyDescent="0.25">
      <c r="B246" s="16"/>
      <c r="C246" s="241"/>
      <c r="D246" s="263" t="s">
        <v>186</v>
      </c>
      <c r="E246" s="230" t="s">
        <v>69</v>
      </c>
      <c r="F246" s="231">
        <v>2005</v>
      </c>
      <c r="G246" s="232">
        <v>1</v>
      </c>
      <c r="H246" s="233">
        <v>100</v>
      </c>
      <c r="I246" s="242">
        <v>423.5</v>
      </c>
    </row>
    <row r="247" spans="2:9" x14ac:dyDescent="0.25">
      <c r="B247" s="16"/>
      <c r="C247" s="241"/>
      <c r="D247" s="263" t="s">
        <v>462</v>
      </c>
      <c r="E247" s="230" t="s">
        <v>69</v>
      </c>
      <c r="F247" s="231">
        <v>2006</v>
      </c>
      <c r="G247" s="232">
        <v>1</v>
      </c>
      <c r="H247" s="233">
        <v>4.17</v>
      </c>
      <c r="I247" s="242">
        <v>15</v>
      </c>
    </row>
    <row r="248" spans="2:9" ht="15.75" thickBot="1" x14ac:dyDescent="0.3">
      <c r="B248" s="16"/>
      <c r="C248" s="241"/>
      <c r="D248" s="263" t="s">
        <v>685</v>
      </c>
      <c r="E248" s="230" t="s">
        <v>69</v>
      </c>
      <c r="F248" s="235">
        <v>42124</v>
      </c>
      <c r="G248" s="252">
        <v>1</v>
      </c>
      <c r="H248" s="253">
        <v>11.243</v>
      </c>
      <c r="I248" s="254">
        <v>35</v>
      </c>
    </row>
    <row r="249" spans="2:9" ht="15.75" thickBot="1" x14ac:dyDescent="0.3">
      <c r="B249" s="17"/>
      <c r="C249" s="82" t="s">
        <v>608</v>
      </c>
      <c r="D249" s="256"/>
      <c r="E249" s="256"/>
      <c r="F249" s="265"/>
      <c r="G249" s="244">
        <v>10</v>
      </c>
      <c r="H249" s="245">
        <v>249.71019999999999</v>
      </c>
      <c r="I249" s="246">
        <v>1104.73</v>
      </c>
    </row>
    <row r="250" spans="2:9" x14ac:dyDescent="0.25">
      <c r="B250" s="80" t="s">
        <v>101</v>
      </c>
      <c r="C250" s="81" t="s">
        <v>59</v>
      </c>
      <c r="D250" s="228" t="s">
        <v>191</v>
      </c>
      <c r="E250" s="236" t="s">
        <v>72</v>
      </c>
      <c r="F250" s="237">
        <v>1999</v>
      </c>
      <c r="G250" s="238">
        <v>1</v>
      </c>
      <c r="H250" s="239">
        <v>2.1259999999999999</v>
      </c>
      <c r="I250" s="240">
        <v>11.435</v>
      </c>
    </row>
    <row r="251" spans="2:9" x14ac:dyDescent="0.25">
      <c r="B251" s="16"/>
      <c r="C251" s="241"/>
      <c r="D251" s="263" t="s">
        <v>192</v>
      </c>
      <c r="E251" s="230" t="s">
        <v>72</v>
      </c>
      <c r="F251" s="231">
        <v>2000</v>
      </c>
      <c r="G251" s="232">
        <v>1</v>
      </c>
      <c r="H251" s="233">
        <v>2.4980000000000002</v>
      </c>
      <c r="I251" s="242">
        <v>11.307</v>
      </c>
    </row>
    <row r="252" spans="2:9" x14ac:dyDescent="0.25">
      <c r="B252" s="16"/>
      <c r="C252" s="241"/>
      <c r="D252" s="263" t="s">
        <v>475</v>
      </c>
      <c r="E252" s="230" t="s">
        <v>72</v>
      </c>
      <c r="F252" s="231">
        <v>2007</v>
      </c>
      <c r="G252" s="232">
        <v>1</v>
      </c>
      <c r="H252" s="233">
        <v>4.5519999999999996</v>
      </c>
      <c r="I252" s="242">
        <v>24.306999999999999</v>
      </c>
    </row>
    <row r="253" spans="2:9" x14ac:dyDescent="0.25">
      <c r="B253" s="16"/>
      <c r="C253" s="241"/>
      <c r="D253" s="263" t="s">
        <v>476</v>
      </c>
      <c r="E253" s="230" t="s">
        <v>72</v>
      </c>
      <c r="F253" s="231">
        <v>2007</v>
      </c>
      <c r="G253" s="232">
        <v>1</v>
      </c>
      <c r="H253" s="233">
        <v>3.69</v>
      </c>
      <c r="I253" s="242">
        <v>23.103999999999999</v>
      </c>
    </row>
    <row r="254" spans="2:9" x14ac:dyDescent="0.25">
      <c r="B254" s="16"/>
      <c r="C254" s="241"/>
      <c r="D254" s="263" t="s">
        <v>413</v>
      </c>
      <c r="E254" s="230" t="s">
        <v>69</v>
      </c>
      <c r="F254" s="235">
        <v>41485</v>
      </c>
      <c r="G254" s="232">
        <v>1</v>
      </c>
      <c r="H254" s="233">
        <v>25</v>
      </c>
      <c r="I254" s="242">
        <v>80</v>
      </c>
    </row>
    <row r="255" spans="2:9" x14ac:dyDescent="0.25">
      <c r="B255" s="16"/>
      <c r="C255" s="241"/>
      <c r="D255" s="263" t="s">
        <v>238</v>
      </c>
      <c r="E255" s="230" t="s">
        <v>72</v>
      </c>
      <c r="F255" s="235">
        <v>41313</v>
      </c>
      <c r="G255" s="232">
        <v>1</v>
      </c>
      <c r="H255" s="233">
        <v>19.03</v>
      </c>
      <c r="I255" s="242">
        <v>70</v>
      </c>
    </row>
    <row r="256" spans="2:9" x14ac:dyDescent="0.25">
      <c r="B256" s="16"/>
      <c r="C256" s="241"/>
      <c r="D256" s="263" t="s">
        <v>551</v>
      </c>
      <c r="E256" s="230" t="s">
        <v>576</v>
      </c>
      <c r="F256" s="235">
        <v>41963</v>
      </c>
      <c r="G256" s="232">
        <v>1</v>
      </c>
      <c r="H256" s="233">
        <v>7.52</v>
      </c>
      <c r="I256" s="242">
        <v>19.669</v>
      </c>
    </row>
    <row r="257" spans="2:9" x14ac:dyDescent="0.25">
      <c r="B257" s="16"/>
      <c r="C257" s="241"/>
      <c r="D257" s="263" t="s">
        <v>552</v>
      </c>
      <c r="E257" s="230" t="s">
        <v>576</v>
      </c>
      <c r="F257" s="235">
        <v>41704</v>
      </c>
      <c r="G257" s="232">
        <v>1</v>
      </c>
      <c r="H257" s="233">
        <v>8.9700000000000006</v>
      </c>
      <c r="I257" s="242">
        <v>25.913</v>
      </c>
    </row>
    <row r="258" spans="2:9" x14ac:dyDescent="0.25">
      <c r="B258" s="16"/>
      <c r="C258" s="241"/>
      <c r="D258" s="263" t="s">
        <v>477</v>
      </c>
      <c r="E258" s="230" t="s">
        <v>72</v>
      </c>
      <c r="F258" s="231">
        <v>2009</v>
      </c>
      <c r="G258" s="232">
        <v>1</v>
      </c>
      <c r="H258" s="233">
        <v>1.05</v>
      </c>
      <c r="I258" s="242">
        <v>4</v>
      </c>
    </row>
    <row r="259" spans="2:9" x14ac:dyDescent="0.25">
      <c r="B259" s="16"/>
      <c r="C259" s="241"/>
      <c r="D259" s="263" t="s">
        <v>478</v>
      </c>
      <c r="E259" s="230" t="s">
        <v>72</v>
      </c>
      <c r="F259" s="231">
        <v>2007</v>
      </c>
      <c r="G259" s="232">
        <v>1</v>
      </c>
      <c r="H259" s="233">
        <v>4.016</v>
      </c>
      <c r="I259" s="242">
        <v>25.16</v>
      </c>
    </row>
    <row r="260" spans="2:9" x14ac:dyDescent="0.25">
      <c r="B260" s="16"/>
      <c r="C260" s="241"/>
      <c r="D260" s="263" t="s">
        <v>197</v>
      </c>
      <c r="E260" s="230" t="s">
        <v>72</v>
      </c>
      <c r="F260" s="231">
        <v>2009</v>
      </c>
      <c r="G260" s="232">
        <v>1</v>
      </c>
      <c r="H260" s="233">
        <v>63</v>
      </c>
      <c r="I260" s="242">
        <v>330</v>
      </c>
    </row>
    <row r="261" spans="2:9" x14ac:dyDescent="0.25">
      <c r="B261" s="16"/>
      <c r="C261" s="241"/>
      <c r="D261" s="263" t="s">
        <v>521</v>
      </c>
      <c r="E261" s="230" t="s">
        <v>69</v>
      </c>
      <c r="F261" s="231">
        <v>2009</v>
      </c>
      <c r="G261" s="232">
        <v>1</v>
      </c>
      <c r="H261" s="233">
        <v>8.68</v>
      </c>
      <c r="I261" s="242">
        <v>41</v>
      </c>
    </row>
    <row r="262" spans="2:9" x14ac:dyDescent="0.25">
      <c r="B262" s="16"/>
      <c r="C262" s="241"/>
      <c r="D262" s="263" t="s">
        <v>337</v>
      </c>
      <c r="E262" s="230" t="s">
        <v>72</v>
      </c>
      <c r="F262" s="235">
        <v>40991</v>
      </c>
      <c r="G262" s="232">
        <v>1</v>
      </c>
      <c r="H262" s="233">
        <v>6.56</v>
      </c>
      <c r="I262" s="242">
        <v>23.36</v>
      </c>
    </row>
    <row r="263" spans="2:9" x14ac:dyDescent="0.25">
      <c r="B263" s="16"/>
      <c r="C263" s="241"/>
      <c r="D263" s="263" t="s">
        <v>342</v>
      </c>
      <c r="E263" s="230" t="s">
        <v>72</v>
      </c>
      <c r="F263" s="235">
        <v>40669</v>
      </c>
      <c r="G263" s="232">
        <v>1</v>
      </c>
      <c r="H263" s="233">
        <v>25.49</v>
      </c>
      <c r="I263" s="242">
        <v>101.49</v>
      </c>
    </row>
    <row r="264" spans="2:9" x14ac:dyDescent="0.25">
      <c r="B264" s="16"/>
      <c r="C264" s="241"/>
      <c r="D264" s="263" t="s">
        <v>479</v>
      </c>
      <c r="E264" s="230" t="s">
        <v>72</v>
      </c>
      <c r="F264" s="231">
        <v>2009</v>
      </c>
      <c r="G264" s="232">
        <v>1</v>
      </c>
      <c r="H264" s="233">
        <v>5.7140000000000004</v>
      </c>
      <c r="I264" s="242">
        <v>25</v>
      </c>
    </row>
    <row r="265" spans="2:9" x14ac:dyDescent="0.25">
      <c r="B265" s="16"/>
      <c r="C265" s="241"/>
      <c r="D265" s="263" t="s">
        <v>163</v>
      </c>
      <c r="E265" s="230" t="s">
        <v>72</v>
      </c>
      <c r="F265" s="231">
        <v>1961</v>
      </c>
      <c r="G265" s="232">
        <v>1</v>
      </c>
      <c r="H265" s="233">
        <v>6.78</v>
      </c>
      <c r="I265" s="242">
        <v>50</v>
      </c>
    </row>
    <row r="266" spans="2:9" x14ac:dyDescent="0.25">
      <c r="B266" s="16"/>
      <c r="C266" s="241"/>
      <c r="D266" s="263" t="s">
        <v>365</v>
      </c>
      <c r="E266" s="230" t="s">
        <v>72</v>
      </c>
      <c r="F266" s="235">
        <v>40728</v>
      </c>
      <c r="G266" s="232">
        <v>1</v>
      </c>
      <c r="H266" s="233">
        <v>1.605</v>
      </c>
      <c r="I266" s="242">
        <v>7.8609999999999998</v>
      </c>
    </row>
    <row r="267" spans="2:9" x14ac:dyDescent="0.25">
      <c r="B267" s="16"/>
      <c r="C267" s="241"/>
      <c r="D267" s="263" t="s">
        <v>568</v>
      </c>
      <c r="E267" s="230" t="s">
        <v>576</v>
      </c>
      <c r="F267" s="235">
        <v>41957</v>
      </c>
      <c r="G267" s="232">
        <v>1</v>
      </c>
      <c r="H267" s="233">
        <v>19.09</v>
      </c>
      <c r="I267" s="242">
        <v>73.790000000000006</v>
      </c>
    </row>
    <row r="268" spans="2:9" x14ac:dyDescent="0.25">
      <c r="B268" s="16"/>
      <c r="C268" s="241"/>
      <c r="D268" s="263" t="s">
        <v>381</v>
      </c>
      <c r="E268" s="230" t="s">
        <v>72</v>
      </c>
      <c r="F268" s="231">
        <v>2009</v>
      </c>
      <c r="G268" s="232">
        <v>1</v>
      </c>
      <c r="H268" s="233">
        <v>14.000999999999999</v>
      </c>
      <c r="I268" s="242">
        <v>56.16</v>
      </c>
    </row>
    <row r="269" spans="2:9" x14ac:dyDescent="0.25">
      <c r="B269" s="16"/>
      <c r="C269" s="241"/>
      <c r="D269" s="263" t="s">
        <v>686</v>
      </c>
      <c r="E269" s="230" t="s">
        <v>72</v>
      </c>
      <c r="F269" s="235">
        <v>42187</v>
      </c>
      <c r="G269" s="232">
        <v>1</v>
      </c>
      <c r="H269" s="233">
        <v>5.14</v>
      </c>
      <c r="I269" s="242">
        <v>17.5</v>
      </c>
    </row>
    <row r="270" spans="2:9" x14ac:dyDescent="0.25">
      <c r="B270" s="16"/>
      <c r="C270" s="241"/>
      <c r="D270" s="263" t="s">
        <v>687</v>
      </c>
      <c r="E270" s="230" t="s">
        <v>72</v>
      </c>
      <c r="F270" s="235">
        <v>42082</v>
      </c>
      <c r="G270" s="232">
        <v>1</v>
      </c>
      <c r="H270" s="233">
        <v>5.64</v>
      </c>
      <c r="I270" s="242">
        <v>14.41</v>
      </c>
    </row>
    <row r="271" spans="2:9" ht="15.75" thickBot="1" x14ac:dyDescent="0.3">
      <c r="B271" s="16"/>
      <c r="C271" s="241"/>
      <c r="D271" s="263" t="s">
        <v>688</v>
      </c>
      <c r="E271" s="230" t="s">
        <v>72</v>
      </c>
      <c r="F271" s="231">
        <v>1957</v>
      </c>
      <c r="G271" s="252">
        <v>1</v>
      </c>
      <c r="H271" s="253">
        <v>0.2</v>
      </c>
      <c r="I271" s="254">
        <v>0.5</v>
      </c>
    </row>
    <row r="272" spans="2:9" ht="15.75" thickBot="1" x14ac:dyDescent="0.3">
      <c r="B272" s="17"/>
      <c r="C272" s="82" t="s">
        <v>609</v>
      </c>
      <c r="D272" s="256"/>
      <c r="E272" s="256"/>
      <c r="F272" s="265"/>
      <c r="G272" s="244">
        <v>22</v>
      </c>
      <c r="H272" s="245">
        <v>240.35199999999998</v>
      </c>
      <c r="I272" s="246">
        <v>1035.9659999999999</v>
      </c>
    </row>
    <row r="273" spans="2:9" x14ac:dyDescent="0.25">
      <c r="B273" s="80" t="s">
        <v>102</v>
      </c>
      <c r="C273" s="81" t="s">
        <v>64</v>
      </c>
      <c r="D273" s="228" t="s">
        <v>359</v>
      </c>
      <c r="E273" s="236" t="s">
        <v>72</v>
      </c>
      <c r="F273" s="266">
        <v>40704</v>
      </c>
      <c r="G273" s="238">
        <v>1</v>
      </c>
      <c r="H273" s="239">
        <v>33</v>
      </c>
      <c r="I273" s="240">
        <v>141</v>
      </c>
    </row>
    <row r="274" spans="2:9" ht="15.75" thickBot="1" x14ac:dyDescent="0.3">
      <c r="B274" s="16"/>
      <c r="C274" s="241"/>
      <c r="D274" s="263" t="s">
        <v>689</v>
      </c>
      <c r="E274" s="230" t="s">
        <v>72</v>
      </c>
      <c r="F274" s="235">
        <v>42250</v>
      </c>
      <c r="G274" s="252">
        <v>1</v>
      </c>
      <c r="H274" s="253">
        <v>1.343</v>
      </c>
      <c r="I274" s="254">
        <v>6</v>
      </c>
    </row>
    <row r="275" spans="2:9" ht="15.75" thickBot="1" x14ac:dyDescent="0.3">
      <c r="B275" s="17"/>
      <c r="C275" s="82" t="s">
        <v>610</v>
      </c>
      <c r="D275" s="256"/>
      <c r="E275" s="256"/>
      <c r="F275" s="265"/>
      <c r="G275" s="244">
        <v>2</v>
      </c>
      <c r="H275" s="245">
        <v>34.343000000000004</v>
      </c>
      <c r="I275" s="246">
        <v>147</v>
      </c>
    </row>
    <row r="276" spans="2:9" x14ac:dyDescent="0.25">
      <c r="B276" s="80" t="s">
        <v>132</v>
      </c>
      <c r="C276" s="81" t="s">
        <v>37</v>
      </c>
      <c r="D276" s="228" t="s">
        <v>553</v>
      </c>
      <c r="E276" s="236" t="s">
        <v>576</v>
      </c>
      <c r="F276" s="266">
        <v>41985</v>
      </c>
      <c r="G276" s="238">
        <v>1</v>
      </c>
      <c r="H276" s="239">
        <v>35.186</v>
      </c>
      <c r="I276" s="240">
        <v>110</v>
      </c>
    </row>
    <row r="277" spans="2:9" x14ac:dyDescent="0.25">
      <c r="B277" s="16"/>
      <c r="C277" s="241"/>
      <c r="D277" s="263" t="s">
        <v>561</v>
      </c>
      <c r="E277" s="230" t="s">
        <v>576</v>
      </c>
      <c r="F277" s="235">
        <v>41957</v>
      </c>
      <c r="G277" s="232">
        <v>1</v>
      </c>
      <c r="H277" s="233">
        <v>21.315000000000001</v>
      </c>
      <c r="I277" s="242">
        <v>83.54</v>
      </c>
    </row>
    <row r="278" spans="2:9" ht="15.75" thickBot="1" x14ac:dyDescent="0.3">
      <c r="B278" s="16"/>
      <c r="C278" s="241"/>
      <c r="D278" s="263" t="s">
        <v>532</v>
      </c>
      <c r="E278" s="230" t="s">
        <v>72</v>
      </c>
      <c r="F278" s="231">
        <v>2009</v>
      </c>
      <c r="G278" s="252">
        <v>1</v>
      </c>
      <c r="H278" s="253">
        <v>14.835000000000001</v>
      </c>
      <c r="I278" s="254">
        <v>56.89</v>
      </c>
    </row>
    <row r="279" spans="2:9" ht="15.75" thickBot="1" x14ac:dyDescent="0.3">
      <c r="B279" s="17"/>
      <c r="C279" s="82" t="s">
        <v>611</v>
      </c>
      <c r="D279" s="256"/>
      <c r="E279" s="256"/>
      <c r="F279" s="265"/>
      <c r="G279" s="244">
        <v>3</v>
      </c>
      <c r="H279" s="245">
        <v>71.336000000000013</v>
      </c>
      <c r="I279" s="246">
        <v>250.43</v>
      </c>
    </row>
    <row r="280" spans="2:9" x14ac:dyDescent="0.25">
      <c r="B280" s="80" t="s">
        <v>133</v>
      </c>
      <c r="C280" s="81" t="s">
        <v>12</v>
      </c>
      <c r="D280" s="228" t="s">
        <v>214</v>
      </c>
      <c r="E280" s="236" t="s">
        <v>72</v>
      </c>
      <c r="F280" s="237">
        <v>2010</v>
      </c>
      <c r="G280" s="238">
        <v>1</v>
      </c>
      <c r="H280" s="239">
        <v>6.85</v>
      </c>
      <c r="I280" s="240">
        <v>21.5</v>
      </c>
    </row>
    <row r="281" spans="2:9" ht="15.75" thickBot="1" x14ac:dyDescent="0.3">
      <c r="B281" s="16"/>
      <c r="C281" s="241"/>
      <c r="D281" s="263" t="s">
        <v>175</v>
      </c>
      <c r="E281" s="230" t="s">
        <v>72</v>
      </c>
      <c r="F281" s="231">
        <v>1950</v>
      </c>
      <c r="G281" s="252">
        <v>1</v>
      </c>
      <c r="H281" s="253">
        <v>0.46400000000000002</v>
      </c>
      <c r="I281" s="254">
        <v>2.5</v>
      </c>
    </row>
    <row r="282" spans="2:9" ht="15.75" thickBot="1" x14ac:dyDescent="0.3">
      <c r="B282" s="17"/>
      <c r="C282" s="82" t="s">
        <v>612</v>
      </c>
      <c r="D282" s="256"/>
      <c r="E282" s="256"/>
      <c r="F282" s="265"/>
      <c r="G282" s="244">
        <v>2</v>
      </c>
      <c r="H282" s="245">
        <v>7.3140000000000001</v>
      </c>
      <c r="I282" s="246">
        <v>24</v>
      </c>
    </row>
    <row r="283" spans="2:9" x14ac:dyDescent="0.25">
      <c r="B283" s="80" t="s">
        <v>103</v>
      </c>
      <c r="C283" s="81" t="s">
        <v>40</v>
      </c>
      <c r="D283" s="228" t="s">
        <v>204</v>
      </c>
      <c r="E283" s="236" t="s">
        <v>72</v>
      </c>
      <c r="F283" s="266">
        <v>41319</v>
      </c>
      <c r="G283" s="238">
        <v>1</v>
      </c>
      <c r="H283" s="239">
        <v>4.4000000000000004</v>
      </c>
      <c r="I283" s="240">
        <v>14.41</v>
      </c>
    </row>
    <row r="284" spans="2:9" x14ac:dyDescent="0.25">
      <c r="B284" s="16"/>
      <c r="C284" s="241"/>
      <c r="D284" s="263" t="s">
        <v>220</v>
      </c>
      <c r="E284" s="230" t="s">
        <v>72</v>
      </c>
      <c r="F284" s="235">
        <v>41535</v>
      </c>
      <c r="G284" s="232">
        <v>1</v>
      </c>
      <c r="H284" s="233">
        <v>5.82</v>
      </c>
      <c r="I284" s="242">
        <v>23.58</v>
      </c>
    </row>
    <row r="285" spans="2:9" x14ac:dyDescent="0.25">
      <c r="B285" s="16"/>
      <c r="C285" s="241"/>
      <c r="D285" s="263" t="s">
        <v>375</v>
      </c>
      <c r="E285" s="230" t="s">
        <v>72</v>
      </c>
      <c r="F285" s="235">
        <v>41033</v>
      </c>
      <c r="G285" s="232">
        <v>1</v>
      </c>
      <c r="H285" s="233">
        <v>5.8</v>
      </c>
      <c r="I285" s="242">
        <v>14</v>
      </c>
    </row>
    <row r="286" spans="2:9" x14ac:dyDescent="0.25">
      <c r="B286" s="16"/>
      <c r="C286" s="241"/>
      <c r="D286" s="263" t="s">
        <v>571</v>
      </c>
      <c r="E286" s="230" t="s">
        <v>576</v>
      </c>
      <c r="F286" s="235">
        <v>41775</v>
      </c>
      <c r="G286" s="232">
        <v>1</v>
      </c>
      <c r="H286" s="233">
        <v>5.4219999999999997</v>
      </c>
      <c r="I286" s="242">
        <v>18.61</v>
      </c>
    </row>
    <row r="287" spans="2:9" x14ac:dyDescent="0.25">
      <c r="B287" s="16"/>
      <c r="C287" s="241"/>
      <c r="D287" s="263" t="s">
        <v>690</v>
      </c>
      <c r="E287" s="230" t="s">
        <v>72</v>
      </c>
      <c r="F287" s="235">
        <v>42294</v>
      </c>
      <c r="G287" s="232">
        <v>1</v>
      </c>
      <c r="H287" s="233">
        <v>12.6</v>
      </c>
      <c r="I287" s="242">
        <v>60</v>
      </c>
    </row>
    <row r="288" spans="2:9" x14ac:dyDescent="0.25">
      <c r="B288" s="16"/>
      <c r="C288" s="241"/>
      <c r="D288" s="263" t="s">
        <v>691</v>
      </c>
      <c r="E288" s="230" t="s">
        <v>72</v>
      </c>
      <c r="F288" s="235">
        <v>42122</v>
      </c>
      <c r="G288" s="232">
        <v>1</v>
      </c>
      <c r="H288" s="233">
        <v>7.96</v>
      </c>
      <c r="I288" s="242">
        <v>25</v>
      </c>
    </row>
    <row r="289" spans="2:9" ht="15.75" thickBot="1" x14ac:dyDescent="0.3">
      <c r="B289" s="16"/>
      <c r="C289" s="241"/>
      <c r="D289" s="263" t="s">
        <v>692</v>
      </c>
      <c r="E289" s="230" t="s">
        <v>72</v>
      </c>
      <c r="F289" s="235">
        <v>42129</v>
      </c>
      <c r="G289" s="252">
        <v>1</v>
      </c>
      <c r="H289" s="253">
        <v>1.32</v>
      </c>
      <c r="I289" s="254">
        <v>4.2</v>
      </c>
    </row>
    <row r="290" spans="2:9" ht="15.75" thickBot="1" x14ac:dyDescent="0.3">
      <c r="B290" s="17"/>
      <c r="C290" s="82" t="s">
        <v>613</v>
      </c>
      <c r="D290" s="256"/>
      <c r="E290" s="256"/>
      <c r="F290" s="265"/>
      <c r="G290" s="244">
        <v>7</v>
      </c>
      <c r="H290" s="245">
        <v>43.322000000000003</v>
      </c>
      <c r="I290" s="246">
        <v>159.79999999999998</v>
      </c>
    </row>
    <row r="291" spans="2:9" ht="15.75" thickBot="1" x14ac:dyDescent="0.3">
      <c r="B291" s="80" t="s">
        <v>104</v>
      </c>
      <c r="C291" s="81" t="s">
        <v>20</v>
      </c>
      <c r="D291" s="228" t="s">
        <v>379</v>
      </c>
      <c r="E291" s="236" t="s">
        <v>72</v>
      </c>
      <c r="F291" s="237">
        <v>2009</v>
      </c>
      <c r="G291" s="260">
        <v>1</v>
      </c>
      <c r="H291" s="83">
        <v>1.06</v>
      </c>
      <c r="I291" s="275">
        <v>5</v>
      </c>
    </row>
    <row r="292" spans="2:9" ht="15.75" thickBot="1" x14ac:dyDescent="0.3">
      <c r="B292" s="17"/>
      <c r="C292" s="82" t="s">
        <v>614</v>
      </c>
      <c r="D292" s="256"/>
      <c r="E292" s="256"/>
      <c r="F292" s="265"/>
      <c r="G292" s="244">
        <v>1</v>
      </c>
      <c r="H292" s="245">
        <v>1.06</v>
      </c>
      <c r="I292" s="246">
        <v>5</v>
      </c>
    </row>
    <row r="293" spans="2:9" x14ac:dyDescent="0.25">
      <c r="B293" s="80" t="s">
        <v>105</v>
      </c>
      <c r="C293" s="81" t="s">
        <v>58</v>
      </c>
      <c r="D293" s="228" t="s">
        <v>213</v>
      </c>
      <c r="E293" s="236" t="s">
        <v>72</v>
      </c>
      <c r="F293" s="266">
        <v>41203</v>
      </c>
      <c r="G293" s="238">
        <v>1</v>
      </c>
      <c r="H293" s="239">
        <v>8.58</v>
      </c>
      <c r="I293" s="240">
        <v>30.03</v>
      </c>
    </row>
    <row r="294" spans="2:9" x14ac:dyDescent="0.25">
      <c r="B294" s="16"/>
      <c r="C294" s="241"/>
      <c r="D294" s="263" t="s">
        <v>398</v>
      </c>
      <c r="E294" s="230" t="s">
        <v>69</v>
      </c>
      <c r="F294" s="235">
        <v>41242</v>
      </c>
      <c r="G294" s="232">
        <v>1</v>
      </c>
      <c r="H294" s="233">
        <v>513</v>
      </c>
      <c r="I294" s="242">
        <v>1470</v>
      </c>
    </row>
    <row r="295" spans="2:9" x14ac:dyDescent="0.25">
      <c r="B295" s="16"/>
      <c r="C295" s="241"/>
      <c r="D295" s="263" t="s">
        <v>259</v>
      </c>
      <c r="E295" s="230" t="s">
        <v>72</v>
      </c>
      <c r="F295" s="235">
        <v>40271</v>
      </c>
      <c r="G295" s="232">
        <v>1</v>
      </c>
      <c r="H295" s="233">
        <v>6.45</v>
      </c>
      <c r="I295" s="242">
        <v>20</v>
      </c>
    </row>
    <row r="296" spans="2:9" ht="15.75" thickBot="1" x14ac:dyDescent="0.3">
      <c r="B296" s="16"/>
      <c r="C296" s="241"/>
      <c r="D296" s="263" t="s">
        <v>275</v>
      </c>
      <c r="E296" s="230" t="s">
        <v>72</v>
      </c>
      <c r="F296" s="235">
        <v>41242</v>
      </c>
      <c r="G296" s="252">
        <v>1</v>
      </c>
      <c r="H296" s="253">
        <v>8.1</v>
      </c>
      <c r="I296" s="254">
        <v>40</v>
      </c>
    </row>
    <row r="297" spans="2:9" ht="15.75" thickBot="1" x14ac:dyDescent="0.3">
      <c r="B297" s="17"/>
      <c r="C297" s="82" t="s">
        <v>615</v>
      </c>
      <c r="D297" s="256"/>
      <c r="E297" s="256"/>
      <c r="F297" s="265"/>
      <c r="G297" s="244">
        <v>4</v>
      </c>
      <c r="H297" s="245">
        <v>536.13000000000011</v>
      </c>
      <c r="I297" s="246">
        <v>1560.03</v>
      </c>
    </row>
    <row r="298" spans="2:9" x14ac:dyDescent="0.25">
      <c r="B298" s="80" t="s">
        <v>106</v>
      </c>
      <c r="C298" s="81" t="s">
        <v>56</v>
      </c>
      <c r="D298" s="228" t="s">
        <v>410</v>
      </c>
      <c r="E298" s="236" t="s">
        <v>72</v>
      </c>
      <c r="F298" s="266">
        <v>41151</v>
      </c>
      <c r="G298" s="238">
        <v>1</v>
      </c>
      <c r="H298" s="239">
        <v>11.31</v>
      </c>
      <c r="I298" s="240">
        <v>62.768000000000001</v>
      </c>
    </row>
    <row r="299" spans="2:9" x14ac:dyDescent="0.25">
      <c r="B299" s="16"/>
      <c r="C299" s="241"/>
      <c r="D299" s="263" t="s">
        <v>320</v>
      </c>
      <c r="E299" s="230" t="s">
        <v>72</v>
      </c>
      <c r="F299" s="235">
        <v>40597</v>
      </c>
      <c r="G299" s="232">
        <v>1</v>
      </c>
      <c r="H299" s="233">
        <v>17.489999999999998</v>
      </c>
      <c r="I299" s="242">
        <v>97.7</v>
      </c>
    </row>
    <row r="300" spans="2:9" ht="15.75" thickBot="1" x14ac:dyDescent="0.3">
      <c r="B300" s="16"/>
      <c r="C300" s="241"/>
      <c r="D300" s="263" t="s">
        <v>150</v>
      </c>
      <c r="E300" s="230" t="s">
        <v>72</v>
      </c>
      <c r="F300" s="231">
        <v>1954</v>
      </c>
      <c r="G300" s="252">
        <v>1</v>
      </c>
      <c r="H300" s="253">
        <v>0.4</v>
      </c>
      <c r="I300" s="254">
        <v>1.5</v>
      </c>
    </row>
    <row r="301" spans="2:9" ht="15.75" thickBot="1" x14ac:dyDescent="0.3">
      <c r="B301" s="17"/>
      <c r="C301" s="82" t="s">
        <v>616</v>
      </c>
      <c r="D301" s="256"/>
      <c r="E301" s="256"/>
      <c r="F301" s="265"/>
      <c r="G301" s="244">
        <v>3</v>
      </c>
      <c r="H301" s="245">
        <v>29.199999999999996</v>
      </c>
      <c r="I301" s="246">
        <v>161.96800000000002</v>
      </c>
    </row>
    <row r="302" spans="2:9" x14ac:dyDescent="0.25">
      <c r="B302" s="80" t="s">
        <v>107</v>
      </c>
      <c r="C302" s="81" t="s">
        <v>60</v>
      </c>
      <c r="D302" s="228" t="s">
        <v>326</v>
      </c>
      <c r="E302" s="236" t="s">
        <v>72</v>
      </c>
      <c r="F302" s="266">
        <v>41068</v>
      </c>
      <c r="G302" s="238">
        <v>1</v>
      </c>
      <c r="H302" s="239">
        <v>40.159999999999997</v>
      </c>
      <c r="I302" s="240">
        <v>248</v>
      </c>
    </row>
    <row r="303" spans="2:9" x14ac:dyDescent="0.25">
      <c r="B303" s="16"/>
      <c r="C303" s="241"/>
      <c r="D303" s="263" t="s">
        <v>522</v>
      </c>
      <c r="E303" s="230" t="s">
        <v>72</v>
      </c>
      <c r="F303" s="231" t="s">
        <v>1</v>
      </c>
      <c r="G303" s="232">
        <v>1</v>
      </c>
      <c r="H303" s="233">
        <v>64.28</v>
      </c>
      <c r="I303" s="242">
        <v>450</v>
      </c>
    </row>
    <row r="304" spans="2:9" x14ac:dyDescent="0.25">
      <c r="B304" s="16"/>
      <c r="C304" s="241"/>
      <c r="D304" s="263" t="s">
        <v>450</v>
      </c>
      <c r="E304" s="230" t="s">
        <v>69</v>
      </c>
      <c r="F304" s="235">
        <v>40921</v>
      </c>
      <c r="G304" s="232">
        <v>1</v>
      </c>
      <c r="H304" s="233">
        <v>18.5</v>
      </c>
      <c r="I304" s="242">
        <v>50.42</v>
      </c>
    </row>
    <row r="305" spans="2:9" x14ac:dyDescent="0.25">
      <c r="B305" s="16"/>
      <c r="C305" s="241"/>
      <c r="D305" s="263" t="s">
        <v>458</v>
      </c>
      <c r="E305" s="230" t="s">
        <v>72</v>
      </c>
      <c r="F305" s="235">
        <v>41263</v>
      </c>
      <c r="G305" s="232">
        <v>1</v>
      </c>
      <c r="H305" s="233">
        <v>14.25</v>
      </c>
      <c r="I305" s="242">
        <v>35.1</v>
      </c>
    </row>
    <row r="306" spans="2:9" x14ac:dyDescent="0.25">
      <c r="B306" s="16"/>
      <c r="C306" s="241"/>
      <c r="D306" s="263" t="s">
        <v>709</v>
      </c>
      <c r="E306" s="230" t="s">
        <v>72</v>
      </c>
      <c r="F306" s="231">
        <v>2010</v>
      </c>
      <c r="G306" s="232">
        <v>1</v>
      </c>
      <c r="H306" s="233">
        <v>42.25</v>
      </c>
      <c r="I306" s="242">
        <v>92</v>
      </c>
    </row>
    <row r="307" spans="2:9" x14ac:dyDescent="0.25">
      <c r="B307" s="16"/>
      <c r="C307" s="241"/>
      <c r="D307" s="263" t="s">
        <v>693</v>
      </c>
      <c r="E307" s="230" t="s">
        <v>72</v>
      </c>
      <c r="F307" s="235">
        <v>42310</v>
      </c>
      <c r="G307" s="232">
        <v>1</v>
      </c>
      <c r="H307" s="233">
        <v>7.2</v>
      </c>
      <c r="I307" s="242">
        <v>25.2</v>
      </c>
    </row>
    <row r="308" spans="2:9" x14ac:dyDescent="0.25">
      <c r="B308" s="16"/>
      <c r="C308" s="241"/>
      <c r="D308" s="263" t="s">
        <v>694</v>
      </c>
      <c r="E308" s="230" t="s">
        <v>72</v>
      </c>
      <c r="F308" s="235">
        <v>42096</v>
      </c>
      <c r="G308" s="232">
        <v>1</v>
      </c>
      <c r="H308" s="233">
        <v>19.568000000000001</v>
      </c>
      <c r="I308" s="242">
        <v>68.489999999999995</v>
      </c>
    </row>
    <row r="309" spans="2:9" x14ac:dyDescent="0.25">
      <c r="B309" s="16"/>
      <c r="C309" s="241"/>
      <c r="D309" s="263" t="s">
        <v>695</v>
      </c>
      <c r="E309" s="230" t="s">
        <v>72</v>
      </c>
      <c r="F309" s="235">
        <v>42236</v>
      </c>
      <c r="G309" s="232">
        <v>1</v>
      </c>
      <c r="H309" s="233">
        <v>8.3160000000000007</v>
      </c>
      <c r="I309" s="242">
        <v>24.35</v>
      </c>
    </row>
    <row r="310" spans="2:9" ht="15.75" thickBot="1" x14ac:dyDescent="0.3">
      <c r="B310" s="16"/>
      <c r="C310" s="241"/>
      <c r="D310" s="263" t="s">
        <v>696</v>
      </c>
      <c r="E310" s="230" t="s">
        <v>72</v>
      </c>
      <c r="F310" s="235">
        <v>42251</v>
      </c>
      <c r="G310" s="252">
        <v>1</v>
      </c>
      <c r="H310" s="253">
        <v>69.626999999999995</v>
      </c>
      <c r="I310" s="254">
        <v>241.1</v>
      </c>
    </row>
    <row r="311" spans="2:9" ht="15.75" thickBot="1" x14ac:dyDescent="0.3">
      <c r="B311" s="17"/>
      <c r="C311" s="82" t="s">
        <v>617</v>
      </c>
      <c r="D311" s="256"/>
      <c r="E311" s="256"/>
      <c r="F311" s="265"/>
      <c r="G311" s="244">
        <v>9</v>
      </c>
      <c r="H311" s="245">
        <v>284.15100000000001</v>
      </c>
      <c r="I311" s="246">
        <v>1234.6600000000001</v>
      </c>
    </row>
    <row r="312" spans="2:9" x14ac:dyDescent="0.25">
      <c r="B312" s="80" t="s">
        <v>108</v>
      </c>
      <c r="C312" s="81" t="s">
        <v>21</v>
      </c>
      <c r="D312" s="228" t="s">
        <v>284</v>
      </c>
      <c r="E312" s="236" t="s">
        <v>72</v>
      </c>
      <c r="F312" s="266">
        <v>40641</v>
      </c>
      <c r="G312" s="238">
        <v>1</v>
      </c>
      <c r="H312" s="239">
        <v>14.5</v>
      </c>
      <c r="I312" s="240">
        <v>48</v>
      </c>
    </row>
    <row r="313" spans="2:9" x14ac:dyDescent="0.25">
      <c r="B313" s="16"/>
      <c r="C313" s="241"/>
      <c r="D313" s="263" t="s">
        <v>336</v>
      </c>
      <c r="E313" s="230" t="s">
        <v>72</v>
      </c>
      <c r="F313" s="235">
        <v>41319</v>
      </c>
      <c r="G313" s="232">
        <v>1</v>
      </c>
      <c r="H313" s="233">
        <v>18.68</v>
      </c>
      <c r="I313" s="242">
        <v>150</v>
      </c>
    </row>
    <row r="314" spans="2:9" ht="15.75" thickBot="1" x14ac:dyDescent="0.3">
      <c r="B314" s="16"/>
      <c r="C314" s="241"/>
      <c r="D314" s="263" t="s">
        <v>699</v>
      </c>
      <c r="E314" s="230" t="s">
        <v>72</v>
      </c>
      <c r="F314" s="235">
        <v>42144</v>
      </c>
      <c r="G314" s="252">
        <v>1</v>
      </c>
      <c r="H314" s="253">
        <v>101.72</v>
      </c>
      <c r="I314" s="254">
        <v>470</v>
      </c>
    </row>
    <row r="315" spans="2:9" ht="15.75" thickBot="1" x14ac:dyDescent="0.3">
      <c r="B315" s="17"/>
      <c r="C315" s="82" t="s">
        <v>618</v>
      </c>
      <c r="D315" s="256"/>
      <c r="E315" s="256"/>
      <c r="F315" s="265"/>
      <c r="G315" s="244">
        <v>3</v>
      </c>
      <c r="H315" s="245">
        <v>134.9</v>
      </c>
      <c r="I315" s="246">
        <v>668</v>
      </c>
    </row>
    <row r="316" spans="2:9" x14ac:dyDescent="0.25">
      <c r="B316" s="80" t="s">
        <v>109</v>
      </c>
      <c r="C316" s="81" t="s">
        <v>5</v>
      </c>
      <c r="D316" s="228" t="s">
        <v>218</v>
      </c>
      <c r="E316" s="236" t="s">
        <v>72</v>
      </c>
      <c r="F316" s="266">
        <v>41243</v>
      </c>
      <c r="G316" s="238">
        <v>1</v>
      </c>
      <c r="H316" s="239">
        <v>3.49</v>
      </c>
      <c r="I316" s="240">
        <v>19.286999999999999</v>
      </c>
    </row>
    <row r="317" spans="2:9" x14ac:dyDescent="0.25">
      <c r="B317" s="16"/>
      <c r="C317" s="241"/>
      <c r="D317" s="263" t="s">
        <v>499</v>
      </c>
      <c r="E317" s="230" t="s">
        <v>72</v>
      </c>
      <c r="F317" s="235">
        <v>41347</v>
      </c>
      <c r="G317" s="232">
        <v>1</v>
      </c>
      <c r="H317" s="233">
        <v>5.43</v>
      </c>
      <c r="I317" s="242">
        <v>20.07</v>
      </c>
    </row>
    <row r="318" spans="2:9" x14ac:dyDescent="0.25">
      <c r="B318" s="16"/>
      <c r="C318" s="241"/>
      <c r="D318" s="263" t="s">
        <v>500</v>
      </c>
      <c r="E318" s="230" t="s">
        <v>72</v>
      </c>
      <c r="F318" s="235">
        <v>40599</v>
      </c>
      <c r="G318" s="232">
        <v>1</v>
      </c>
      <c r="H318" s="233">
        <v>4.6900000000000004</v>
      </c>
      <c r="I318" s="242">
        <v>16</v>
      </c>
    </row>
    <row r="319" spans="2:9" x14ac:dyDescent="0.25">
      <c r="B319" s="16"/>
      <c r="C319" s="241"/>
      <c r="D319" s="263" t="s">
        <v>288</v>
      </c>
      <c r="E319" s="230" t="s">
        <v>72</v>
      </c>
      <c r="F319" s="235">
        <v>41312</v>
      </c>
      <c r="G319" s="232">
        <v>1</v>
      </c>
      <c r="H319" s="233">
        <v>29.25</v>
      </c>
      <c r="I319" s="242">
        <v>108</v>
      </c>
    </row>
    <row r="320" spans="2:9" x14ac:dyDescent="0.25">
      <c r="B320" s="16"/>
      <c r="C320" s="241"/>
      <c r="D320" s="263" t="s">
        <v>437</v>
      </c>
      <c r="E320" s="230" t="s">
        <v>72</v>
      </c>
      <c r="F320" s="235">
        <v>41270</v>
      </c>
      <c r="G320" s="232">
        <v>1</v>
      </c>
      <c r="H320" s="233">
        <v>32.548000000000002</v>
      </c>
      <c r="I320" s="242">
        <v>125</v>
      </c>
    </row>
    <row r="321" spans="2:9" x14ac:dyDescent="0.25">
      <c r="B321" s="16"/>
      <c r="C321" s="241"/>
      <c r="D321" s="263" t="s">
        <v>329</v>
      </c>
      <c r="E321" s="230" t="s">
        <v>72</v>
      </c>
      <c r="F321" s="235">
        <v>41310</v>
      </c>
      <c r="G321" s="232">
        <v>1</v>
      </c>
      <c r="H321" s="233">
        <v>9.0299999999999994</v>
      </c>
      <c r="I321" s="242">
        <v>31</v>
      </c>
    </row>
    <row r="322" spans="2:9" x14ac:dyDescent="0.25">
      <c r="B322" s="16"/>
      <c r="C322" s="241"/>
      <c r="D322" s="263" t="s">
        <v>357</v>
      </c>
      <c r="E322" s="230" t="s">
        <v>72</v>
      </c>
      <c r="F322" s="231">
        <v>2009</v>
      </c>
      <c r="G322" s="232">
        <v>1</v>
      </c>
      <c r="H322" s="233">
        <v>1.98</v>
      </c>
      <c r="I322" s="242">
        <v>10.08</v>
      </c>
    </row>
    <row r="323" spans="2:9" x14ac:dyDescent="0.25">
      <c r="B323" s="16"/>
      <c r="C323" s="241"/>
      <c r="D323" s="263" t="s">
        <v>533</v>
      </c>
      <c r="E323" s="230" t="s">
        <v>69</v>
      </c>
      <c r="F323" s="235">
        <v>41285</v>
      </c>
      <c r="G323" s="232">
        <v>1</v>
      </c>
      <c r="H323" s="233">
        <v>24.28</v>
      </c>
      <c r="I323" s="242">
        <v>71.39</v>
      </c>
    </row>
    <row r="324" spans="2:9" x14ac:dyDescent="0.25">
      <c r="B324" s="16"/>
      <c r="C324" s="241"/>
      <c r="D324" s="263" t="s">
        <v>464</v>
      </c>
      <c r="E324" s="230" t="s">
        <v>72</v>
      </c>
      <c r="F324" s="235">
        <v>40636</v>
      </c>
      <c r="G324" s="232">
        <v>1</v>
      </c>
      <c r="H324" s="233"/>
      <c r="I324" s="242"/>
    </row>
    <row r="325" spans="2:9" ht="15.75" thickBot="1" x14ac:dyDescent="0.3">
      <c r="B325" s="16"/>
      <c r="C325" s="241"/>
      <c r="D325" s="263" t="s">
        <v>376</v>
      </c>
      <c r="E325" s="230" t="s">
        <v>72</v>
      </c>
      <c r="F325" s="235">
        <v>40373</v>
      </c>
      <c r="G325" s="252">
        <v>1</v>
      </c>
      <c r="H325" s="253">
        <v>22.5</v>
      </c>
      <c r="I325" s="254">
        <v>82.74</v>
      </c>
    </row>
    <row r="326" spans="2:9" ht="15.75" thickBot="1" x14ac:dyDescent="0.3">
      <c r="B326" s="17"/>
      <c r="C326" s="82" t="s">
        <v>619</v>
      </c>
      <c r="D326" s="256"/>
      <c r="E326" s="256"/>
      <c r="F326" s="265"/>
      <c r="G326" s="244">
        <v>10</v>
      </c>
      <c r="H326" s="245">
        <v>133.19800000000001</v>
      </c>
      <c r="I326" s="246">
        <v>483.56699999999995</v>
      </c>
    </row>
    <row r="327" spans="2:9" x14ac:dyDescent="0.25">
      <c r="B327" s="80" t="s">
        <v>110</v>
      </c>
      <c r="C327" s="81" t="s">
        <v>61</v>
      </c>
      <c r="D327" s="228" t="s">
        <v>198</v>
      </c>
      <c r="E327" s="236" t="s">
        <v>72</v>
      </c>
      <c r="F327" s="266">
        <v>41697</v>
      </c>
      <c r="G327" s="238">
        <v>1</v>
      </c>
      <c r="H327" s="239">
        <v>2.4</v>
      </c>
      <c r="I327" s="240">
        <v>10</v>
      </c>
    </row>
    <row r="328" spans="2:9" x14ac:dyDescent="0.25">
      <c r="B328" s="16"/>
      <c r="C328" s="241"/>
      <c r="D328" s="263" t="s">
        <v>207</v>
      </c>
      <c r="E328" s="230" t="s">
        <v>72</v>
      </c>
      <c r="F328" s="231">
        <v>2008</v>
      </c>
      <c r="G328" s="232">
        <v>1</v>
      </c>
      <c r="H328" s="233">
        <v>81</v>
      </c>
      <c r="I328" s="242">
        <v>257</v>
      </c>
    </row>
    <row r="329" spans="2:9" x14ac:dyDescent="0.25">
      <c r="B329" s="16"/>
      <c r="C329" s="241"/>
      <c r="D329" s="263" t="s">
        <v>577</v>
      </c>
      <c r="E329" s="230" t="s">
        <v>576</v>
      </c>
      <c r="F329" s="235">
        <v>41974</v>
      </c>
      <c r="G329" s="232">
        <v>1</v>
      </c>
      <c r="H329" s="233">
        <v>0.63100000000000001</v>
      </c>
      <c r="I329" s="242">
        <v>2.5</v>
      </c>
    </row>
    <row r="330" spans="2:9" x14ac:dyDescent="0.25">
      <c r="B330" s="16"/>
      <c r="C330" s="241"/>
      <c r="D330" s="263" t="s">
        <v>480</v>
      </c>
      <c r="E330" s="230" t="s">
        <v>72</v>
      </c>
      <c r="F330" s="235">
        <v>41408</v>
      </c>
      <c r="G330" s="232">
        <v>1</v>
      </c>
      <c r="H330" s="233">
        <v>8.9109999999999996</v>
      </c>
      <c r="I330" s="242">
        <v>25.8</v>
      </c>
    </row>
    <row r="331" spans="2:9" x14ac:dyDescent="0.25">
      <c r="B331" s="16"/>
      <c r="C331" s="241"/>
      <c r="D331" s="263" t="s">
        <v>390</v>
      </c>
      <c r="E331" s="230" t="s">
        <v>72</v>
      </c>
      <c r="F331" s="235">
        <v>41005</v>
      </c>
      <c r="G331" s="232">
        <v>1</v>
      </c>
      <c r="H331" s="233">
        <v>16.350000000000001</v>
      </c>
      <c r="I331" s="242">
        <v>58.18</v>
      </c>
    </row>
    <row r="332" spans="2:9" x14ac:dyDescent="0.25">
      <c r="B332" s="16"/>
      <c r="C332" s="241"/>
      <c r="D332" s="263" t="s">
        <v>542</v>
      </c>
      <c r="E332" s="230" t="s">
        <v>576</v>
      </c>
      <c r="F332" s="235">
        <v>41687</v>
      </c>
      <c r="G332" s="232">
        <v>1</v>
      </c>
      <c r="H332" s="233">
        <v>4.6840000000000002</v>
      </c>
      <c r="I332" s="242">
        <v>12.44</v>
      </c>
    </row>
    <row r="333" spans="2:9" x14ac:dyDescent="0.25">
      <c r="B333" s="16"/>
      <c r="C333" s="241"/>
      <c r="D333" s="263" t="s">
        <v>395</v>
      </c>
      <c r="E333" s="230" t="s">
        <v>72</v>
      </c>
      <c r="F333" s="235">
        <v>40760</v>
      </c>
      <c r="G333" s="232">
        <v>1</v>
      </c>
      <c r="H333" s="233">
        <v>9.19</v>
      </c>
      <c r="I333" s="242">
        <v>35</v>
      </c>
    </row>
    <row r="334" spans="2:9" x14ac:dyDescent="0.25">
      <c r="B334" s="16"/>
      <c r="C334" s="241"/>
      <c r="D334" s="263" t="s">
        <v>492</v>
      </c>
      <c r="E334" s="230" t="s">
        <v>72</v>
      </c>
      <c r="F334" s="235">
        <v>41045</v>
      </c>
      <c r="G334" s="232">
        <v>1</v>
      </c>
      <c r="H334" s="233">
        <v>17</v>
      </c>
      <c r="I334" s="242">
        <v>56</v>
      </c>
    </row>
    <row r="335" spans="2:9" x14ac:dyDescent="0.25">
      <c r="B335" s="16"/>
      <c r="C335" s="241"/>
      <c r="D335" s="263" t="s">
        <v>495</v>
      </c>
      <c r="E335" s="230" t="s">
        <v>72</v>
      </c>
      <c r="F335" s="235">
        <v>40560</v>
      </c>
      <c r="G335" s="232">
        <v>1</v>
      </c>
      <c r="H335" s="233">
        <v>16.375</v>
      </c>
      <c r="I335" s="242">
        <v>51.18</v>
      </c>
    </row>
    <row r="336" spans="2:9" x14ac:dyDescent="0.25">
      <c r="B336" s="16"/>
      <c r="C336" s="241"/>
      <c r="D336" s="263" t="s">
        <v>405</v>
      </c>
      <c r="E336" s="230" t="s">
        <v>72</v>
      </c>
      <c r="F336" s="235">
        <v>41118</v>
      </c>
      <c r="G336" s="232">
        <v>1</v>
      </c>
      <c r="H336" s="233">
        <v>8.41</v>
      </c>
      <c r="I336" s="242">
        <v>29.260999999999999</v>
      </c>
    </row>
    <row r="337" spans="2:9" x14ac:dyDescent="0.25">
      <c r="B337" s="16"/>
      <c r="C337" s="241"/>
      <c r="D337" s="263" t="s">
        <v>406</v>
      </c>
      <c r="E337" s="230" t="s">
        <v>72</v>
      </c>
      <c r="F337" s="235">
        <v>41199</v>
      </c>
      <c r="G337" s="232">
        <v>1</v>
      </c>
      <c r="H337" s="233">
        <v>6</v>
      </c>
      <c r="I337" s="242">
        <v>24</v>
      </c>
    </row>
    <row r="338" spans="2:9" x14ac:dyDescent="0.25">
      <c r="B338" s="16"/>
      <c r="C338" s="241"/>
      <c r="D338" s="263" t="s">
        <v>409</v>
      </c>
      <c r="E338" s="230" t="s">
        <v>72</v>
      </c>
      <c r="F338" s="235">
        <v>41613</v>
      </c>
      <c r="G338" s="232">
        <v>1</v>
      </c>
      <c r="H338" s="233">
        <v>44.1</v>
      </c>
      <c r="I338" s="242">
        <v>160</v>
      </c>
    </row>
    <row r="339" spans="2:9" x14ac:dyDescent="0.25">
      <c r="B339" s="16"/>
      <c r="C339" s="241"/>
      <c r="D339" s="263" t="s">
        <v>231</v>
      </c>
      <c r="E339" s="230" t="s">
        <v>72</v>
      </c>
      <c r="F339" s="235">
        <v>40766</v>
      </c>
      <c r="G339" s="232">
        <v>1</v>
      </c>
      <c r="H339" s="233">
        <v>8.4719999999999995</v>
      </c>
      <c r="I339" s="242">
        <v>35.1</v>
      </c>
    </row>
    <row r="340" spans="2:9" x14ac:dyDescent="0.25">
      <c r="B340" s="16"/>
      <c r="C340" s="241"/>
      <c r="D340" s="263" t="s">
        <v>232</v>
      </c>
      <c r="E340" s="230" t="s">
        <v>72</v>
      </c>
      <c r="F340" s="235">
        <v>40815</v>
      </c>
      <c r="G340" s="232">
        <v>1</v>
      </c>
      <c r="H340" s="233">
        <v>9.16</v>
      </c>
      <c r="I340" s="242">
        <v>33</v>
      </c>
    </row>
    <row r="341" spans="2:9" x14ac:dyDescent="0.25">
      <c r="B341" s="16"/>
      <c r="C341" s="241"/>
      <c r="D341" s="263" t="s">
        <v>423</v>
      </c>
      <c r="E341" s="230" t="s">
        <v>72</v>
      </c>
      <c r="F341" s="231">
        <v>2009</v>
      </c>
      <c r="G341" s="232">
        <v>1</v>
      </c>
      <c r="H341" s="233">
        <v>9.1</v>
      </c>
      <c r="I341" s="242">
        <v>27.36</v>
      </c>
    </row>
    <row r="342" spans="2:9" x14ac:dyDescent="0.25">
      <c r="B342" s="16"/>
      <c r="C342" s="241"/>
      <c r="D342" s="263" t="s">
        <v>507</v>
      </c>
      <c r="E342" s="230" t="s">
        <v>72</v>
      </c>
      <c r="F342" s="235">
        <v>41249</v>
      </c>
      <c r="G342" s="232">
        <v>1</v>
      </c>
      <c r="H342" s="233">
        <v>12.38</v>
      </c>
      <c r="I342" s="242">
        <v>61</v>
      </c>
    </row>
    <row r="343" spans="2:9" x14ac:dyDescent="0.25">
      <c r="B343" s="16"/>
      <c r="C343" s="241"/>
      <c r="D343" s="263" t="s">
        <v>282</v>
      </c>
      <c r="E343" s="230" t="s">
        <v>72</v>
      </c>
      <c r="F343" s="235">
        <v>41075</v>
      </c>
      <c r="G343" s="232">
        <v>1</v>
      </c>
      <c r="H343" s="233">
        <v>5.68</v>
      </c>
      <c r="I343" s="242">
        <v>21</v>
      </c>
    </row>
    <row r="344" spans="2:9" x14ac:dyDescent="0.25">
      <c r="B344" s="16"/>
      <c r="C344" s="241"/>
      <c r="D344" s="263" t="s">
        <v>306</v>
      </c>
      <c r="E344" s="230" t="s">
        <v>72</v>
      </c>
      <c r="F344" s="235">
        <v>41449</v>
      </c>
      <c r="G344" s="232">
        <v>1</v>
      </c>
      <c r="H344" s="233">
        <v>15.497999999999999</v>
      </c>
      <c r="I344" s="242">
        <v>52.98</v>
      </c>
    </row>
    <row r="345" spans="2:9" x14ac:dyDescent="0.25">
      <c r="B345" s="16"/>
      <c r="C345" s="241"/>
      <c r="D345" s="263" t="s">
        <v>322</v>
      </c>
      <c r="E345" s="230" t="s">
        <v>72</v>
      </c>
      <c r="F345" s="235">
        <v>41354</v>
      </c>
      <c r="G345" s="232">
        <v>1</v>
      </c>
      <c r="H345" s="233">
        <v>11.39</v>
      </c>
      <c r="I345" s="242">
        <v>40</v>
      </c>
    </row>
    <row r="346" spans="2:9" x14ac:dyDescent="0.25">
      <c r="B346" s="16"/>
      <c r="C346" s="241"/>
      <c r="D346" s="263" t="s">
        <v>328</v>
      </c>
      <c r="E346" s="230" t="s">
        <v>72</v>
      </c>
      <c r="F346" s="235">
        <v>41571</v>
      </c>
      <c r="G346" s="232">
        <v>1</v>
      </c>
      <c r="H346" s="233">
        <v>7.7</v>
      </c>
      <c r="I346" s="242">
        <v>39.61</v>
      </c>
    </row>
    <row r="347" spans="2:9" x14ac:dyDescent="0.25">
      <c r="B347" s="16"/>
      <c r="C347" s="241"/>
      <c r="D347" s="263" t="s">
        <v>347</v>
      </c>
      <c r="E347" s="230" t="s">
        <v>72</v>
      </c>
      <c r="F347" s="231">
        <v>2010</v>
      </c>
      <c r="G347" s="232">
        <v>1</v>
      </c>
      <c r="H347" s="233">
        <v>20</v>
      </c>
      <c r="I347" s="242">
        <v>108.06</v>
      </c>
    </row>
    <row r="348" spans="2:9" x14ac:dyDescent="0.25">
      <c r="B348" s="16"/>
      <c r="C348" s="241"/>
      <c r="D348" s="263" t="s">
        <v>524</v>
      </c>
      <c r="E348" s="230" t="s">
        <v>72</v>
      </c>
      <c r="F348" s="231">
        <v>2010</v>
      </c>
      <c r="G348" s="232">
        <v>1</v>
      </c>
      <c r="H348" s="233">
        <v>21.58</v>
      </c>
      <c r="I348" s="242">
        <v>95.3</v>
      </c>
    </row>
    <row r="349" spans="2:9" x14ac:dyDescent="0.25">
      <c r="B349" s="16"/>
      <c r="C349" s="241"/>
      <c r="D349" s="263" t="s">
        <v>353</v>
      </c>
      <c r="E349" s="230" t="s">
        <v>72</v>
      </c>
      <c r="F349" s="235">
        <v>41457</v>
      </c>
      <c r="G349" s="232">
        <v>1</v>
      </c>
      <c r="H349" s="233">
        <v>8.5660000000000007</v>
      </c>
      <c r="I349" s="242">
        <v>25</v>
      </c>
    </row>
    <row r="350" spans="2:9" x14ac:dyDescent="0.25">
      <c r="B350" s="16"/>
      <c r="C350" s="241"/>
      <c r="D350" s="263" t="s">
        <v>527</v>
      </c>
      <c r="E350" s="230" t="s">
        <v>72</v>
      </c>
      <c r="F350" s="235">
        <v>41477</v>
      </c>
      <c r="G350" s="232">
        <v>1</v>
      </c>
      <c r="H350" s="233">
        <v>2.5</v>
      </c>
      <c r="I350" s="242">
        <v>11</v>
      </c>
    </row>
    <row r="351" spans="2:9" x14ac:dyDescent="0.25">
      <c r="B351" s="16"/>
      <c r="C351" s="241"/>
      <c r="D351" s="263" t="s">
        <v>578</v>
      </c>
      <c r="E351" s="230" t="s">
        <v>576</v>
      </c>
      <c r="F351" s="235">
        <v>41837</v>
      </c>
      <c r="G351" s="232">
        <v>1</v>
      </c>
      <c r="H351" s="233">
        <v>10.319000000000001</v>
      </c>
      <c r="I351" s="242">
        <v>39.033999999999999</v>
      </c>
    </row>
    <row r="352" spans="2:9" x14ac:dyDescent="0.25">
      <c r="B352" s="16"/>
      <c r="C352" s="241"/>
      <c r="D352" s="263" t="s">
        <v>366</v>
      </c>
      <c r="E352" s="230" t="s">
        <v>72</v>
      </c>
      <c r="F352" s="235">
        <v>41449</v>
      </c>
      <c r="G352" s="232">
        <v>1</v>
      </c>
      <c r="H352" s="233">
        <v>11.939</v>
      </c>
      <c r="I352" s="242">
        <v>40</v>
      </c>
    </row>
    <row r="353" spans="2:9" x14ac:dyDescent="0.25">
      <c r="B353" s="16"/>
      <c r="C353" s="241"/>
      <c r="D353" s="263" t="s">
        <v>367</v>
      </c>
      <c r="E353" s="230" t="s">
        <v>72</v>
      </c>
      <c r="F353" s="235">
        <v>41298</v>
      </c>
      <c r="G353" s="232">
        <v>1</v>
      </c>
      <c r="H353" s="233">
        <v>16.64</v>
      </c>
      <c r="I353" s="242">
        <v>60</v>
      </c>
    </row>
    <row r="354" spans="2:9" x14ac:dyDescent="0.25">
      <c r="B354" s="16"/>
      <c r="C354" s="241"/>
      <c r="D354" s="263" t="s">
        <v>470</v>
      </c>
      <c r="E354" s="230" t="s">
        <v>72</v>
      </c>
      <c r="F354" s="231">
        <v>1929</v>
      </c>
      <c r="G354" s="232">
        <v>1</v>
      </c>
      <c r="H354" s="233">
        <v>1.04</v>
      </c>
      <c r="I354" s="242">
        <v>2.4500000000000002</v>
      </c>
    </row>
    <row r="355" spans="2:9" x14ac:dyDescent="0.25">
      <c r="B355" s="16"/>
      <c r="C355" s="241"/>
      <c r="D355" s="263" t="s">
        <v>370</v>
      </c>
      <c r="E355" s="230" t="s">
        <v>72</v>
      </c>
      <c r="F355" s="235">
        <v>41017</v>
      </c>
      <c r="G355" s="232">
        <v>1</v>
      </c>
      <c r="H355" s="233">
        <v>8.5779999999999994</v>
      </c>
      <c r="I355" s="242">
        <v>27</v>
      </c>
    </row>
    <row r="356" spans="2:9" x14ac:dyDescent="0.25">
      <c r="B356" s="16"/>
      <c r="C356" s="241"/>
      <c r="D356" s="263" t="s">
        <v>454</v>
      </c>
      <c r="E356" s="230" t="s">
        <v>72</v>
      </c>
      <c r="F356" s="235">
        <v>41240</v>
      </c>
      <c r="G356" s="232">
        <v>1</v>
      </c>
      <c r="H356" s="233">
        <v>8.9459999999999997</v>
      </c>
      <c r="I356" s="242">
        <v>30</v>
      </c>
    </row>
    <row r="357" spans="2:9" x14ac:dyDescent="0.25">
      <c r="B357" s="16"/>
      <c r="C357" s="241"/>
      <c r="D357" s="263" t="s">
        <v>460</v>
      </c>
      <c r="E357" s="230" t="s">
        <v>72</v>
      </c>
      <c r="F357" s="231">
        <v>2010</v>
      </c>
      <c r="G357" s="232">
        <v>1</v>
      </c>
      <c r="H357" s="233">
        <v>1.2</v>
      </c>
      <c r="I357" s="242">
        <v>5.64</v>
      </c>
    </row>
    <row r="358" spans="2:9" x14ac:dyDescent="0.25">
      <c r="B358" s="16"/>
      <c r="C358" s="241"/>
      <c r="D358" s="263" t="s">
        <v>461</v>
      </c>
      <c r="E358" s="230" t="s">
        <v>72</v>
      </c>
      <c r="F358" s="231">
        <v>2008</v>
      </c>
      <c r="G358" s="232">
        <v>1</v>
      </c>
      <c r="H358" s="233">
        <v>23.6</v>
      </c>
      <c r="I358" s="242">
        <v>88.207999999999998</v>
      </c>
    </row>
    <row r="359" spans="2:9" x14ac:dyDescent="0.25">
      <c r="B359" s="16"/>
      <c r="C359" s="241"/>
      <c r="D359" s="263" t="s">
        <v>700</v>
      </c>
      <c r="E359" s="230" t="s">
        <v>72</v>
      </c>
      <c r="F359" s="235">
        <v>42299</v>
      </c>
      <c r="G359" s="232">
        <v>1</v>
      </c>
      <c r="H359" s="233">
        <v>7.5</v>
      </c>
      <c r="I359" s="242">
        <v>29.446999999999999</v>
      </c>
    </row>
    <row r="360" spans="2:9" x14ac:dyDescent="0.25">
      <c r="B360" s="16"/>
      <c r="C360" s="241"/>
      <c r="D360" s="263" t="s">
        <v>701</v>
      </c>
      <c r="E360" s="230" t="s">
        <v>72</v>
      </c>
      <c r="F360" s="235">
        <v>42020</v>
      </c>
      <c r="G360" s="232">
        <v>1</v>
      </c>
      <c r="H360" s="233">
        <v>25.92</v>
      </c>
      <c r="I360" s="242">
        <v>105</v>
      </c>
    </row>
    <row r="361" spans="2:9" x14ac:dyDescent="0.25">
      <c r="B361" s="16"/>
      <c r="C361" s="241"/>
      <c r="D361" s="263" t="s">
        <v>702</v>
      </c>
      <c r="E361" s="230" t="s">
        <v>72</v>
      </c>
      <c r="F361" s="235">
        <v>42042</v>
      </c>
      <c r="G361" s="232">
        <v>1</v>
      </c>
      <c r="H361" s="233">
        <v>9.3620000000000001</v>
      </c>
      <c r="I361" s="242">
        <v>23.338000000000001</v>
      </c>
    </row>
    <row r="362" spans="2:9" x14ac:dyDescent="0.25">
      <c r="B362" s="16"/>
      <c r="C362" s="241"/>
      <c r="D362" s="263" t="s">
        <v>703</v>
      </c>
      <c r="E362" s="230" t="s">
        <v>72</v>
      </c>
      <c r="F362" s="235">
        <v>42303</v>
      </c>
      <c r="G362" s="232">
        <v>1</v>
      </c>
      <c r="H362" s="233">
        <v>9.01</v>
      </c>
      <c r="I362" s="242">
        <v>19.73</v>
      </c>
    </row>
    <row r="363" spans="2:9" x14ac:dyDescent="0.25">
      <c r="B363" s="16"/>
      <c r="C363" s="241"/>
      <c r="D363" s="263" t="s">
        <v>704</v>
      </c>
      <c r="E363" s="230" t="s">
        <v>72</v>
      </c>
      <c r="F363" s="235">
        <v>42279</v>
      </c>
      <c r="G363" s="232">
        <v>1</v>
      </c>
      <c r="H363" s="233">
        <v>7.9489999999999998</v>
      </c>
      <c r="I363" s="242">
        <v>28.4</v>
      </c>
    </row>
    <row r="364" spans="2:9" x14ac:dyDescent="0.25">
      <c r="B364" s="16"/>
      <c r="C364" s="241"/>
      <c r="D364" s="263" t="s">
        <v>705</v>
      </c>
      <c r="E364" s="230" t="s">
        <v>72</v>
      </c>
      <c r="F364" s="235">
        <v>42039</v>
      </c>
      <c r="G364" s="232">
        <v>1</v>
      </c>
      <c r="H364" s="233">
        <v>11.9</v>
      </c>
      <c r="I364" s="242">
        <v>28.42</v>
      </c>
    </row>
    <row r="365" spans="2:9" x14ac:dyDescent="0.25">
      <c r="B365" s="16"/>
      <c r="C365" s="241"/>
      <c r="D365" s="263" t="s">
        <v>706</v>
      </c>
      <c r="E365" s="230" t="s">
        <v>72</v>
      </c>
      <c r="F365" s="235">
        <v>42180</v>
      </c>
      <c r="G365" s="232">
        <v>1</v>
      </c>
      <c r="H365" s="233">
        <v>7.08</v>
      </c>
      <c r="I365" s="242">
        <v>23.54</v>
      </c>
    </row>
    <row r="366" spans="2:9" ht="15.75" thickBot="1" x14ac:dyDescent="0.3">
      <c r="B366" s="16"/>
      <c r="C366" s="241"/>
      <c r="D366" s="255" t="s">
        <v>707</v>
      </c>
      <c r="E366" s="250" t="s">
        <v>72</v>
      </c>
      <c r="F366" s="271">
        <v>42124</v>
      </c>
      <c r="G366" s="252">
        <v>1</v>
      </c>
      <c r="H366" s="253">
        <v>9.08</v>
      </c>
      <c r="I366" s="254">
        <v>29.03</v>
      </c>
    </row>
    <row r="367" spans="2:9" ht="15.75" thickBot="1" x14ac:dyDescent="0.3">
      <c r="B367" s="17"/>
      <c r="C367" s="82" t="s">
        <v>620</v>
      </c>
      <c r="D367" s="256"/>
      <c r="E367" s="256"/>
      <c r="F367" s="265"/>
      <c r="G367" s="257">
        <v>40</v>
      </c>
      <c r="H367" s="84">
        <v>517.14</v>
      </c>
      <c r="I367" s="247">
        <v>1850.0080000000003</v>
      </c>
    </row>
    <row r="368" spans="2:9" x14ac:dyDescent="0.25">
      <c r="B368" s="80" t="s">
        <v>111</v>
      </c>
      <c r="C368" s="81" t="s">
        <v>52</v>
      </c>
      <c r="D368" s="228" t="s">
        <v>201</v>
      </c>
      <c r="E368" s="236" t="s">
        <v>72</v>
      </c>
      <c r="F368" s="266">
        <v>41570</v>
      </c>
      <c r="G368" s="238">
        <v>1</v>
      </c>
      <c r="H368" s="239">
        <v>4.38</v>
      </c>
      <c r="I368" s="240">
        <v>18</v>
      </c>
    </row>
    <row r="369" spans="2:9" x14ac:dyDescent="0.25">
      <c r="B369" s="16"/>
      <c r="C369" s="241"/>
      <c r="D369" s="263" t="s">
        <v>399</v>
      </c>
      <c r="E369" s="230" t="s">
        <v>72</v>
      </c>
      <c r="F369" s="235">
        <v>41625</v>
      </c>
      <c r="G369" s="232">
        <v>1</v>
      </c>
      <c r="H369" s="233">
        <v>18.149999999999999</v>
      </c>
      <c r="I369" s="242">
        <v>63.524999999999991</v>
      </c>
    </row>
    <row r="370" spans="2:9" x14ac:dyDescent="0.25">
      <c r="B370" s="16"/>
      <c r="C370" s="241"/>
      <c r="D370" s="263" t="s">
        <v>496</v>
      </c>
      <c r="E370" s="230" t="s">
        <v>72</v>
      </c>
      <c r="F370" s="231">
        <v>2009</v>
      </c>
      <c r="G370" s="232">
        <v>1</v>
      </c>
      <c r="H370" s="233">
        <v>110.32</v>
      </c>
      <c r="I370" s="242">
        <v>370</v>
      </c>
    </row>
    <row r="371" spans="2:9" x14ac:dyDescent="0.25">
      <c r="B371" s="16"/>
      <c r="C371" s="241"/>
      <c r="D371" s="263" t="s">
        <v>554</v>
      </c>
      <c r="E371" s="230" t="s">
        <v>576</v>
      </c>
      <c r="F371" s="235">
        <v>41859</v>
      </c>
      <c r="G371" s="232">
        <v>1</v>
      </c>
      <c r="H371" s="233">
        <v>5.95</v>
      </c>
      <c r="I371" s="242">
        <v>15.6</v>
      </c>
    </row>
    <row r="372" spans="2:9" x14ac:dyDescent="0.25">
      <c r="B372" s="16"/>
      <c r="C372" s="241"/>
      <c r="D372" s="263" t="s">
        <v>283</v>
      </c>
      <c r="E372" s="230" t="s">
        <v>72</v>
      </c>
      <c r="F372" s="235">
        <v>41393</v>
      </c>
      <c r="G372" s="232">
        <v>1</v>
      </c>
      <c r="H372" s="233">
        <v>5.74</v>
      </c>
      <c r="I372" s="242">
        <v>20.64</v>
      </c>
    </row>
    <row r="373" spans="2:9" x14ac:dyDescent="0.25">
      <c r="B373" s="16"/>
      <c r="C373" s="241"/>
      <c r="D373" s="263" t="s">
        <v>560</v>
      </c>
      <c r="E373" s="230" t="s">
        <v>576</v>
      </c>
      <c r="F373" s="235">
        <v>41974</v>
      </c>
      <c r="G373" s="232">
        <v>1</v>
      </c>
      <c r="H373" s="233">
        <v>11.089</v>
      </c>
      <c r="I373" s="242">
        <v>31</v>
      </c>
    </row>
    <row r="374" spans="2:9" x14ac:dyDescent="0.25">
      <c r="B374" s="16"/>
      <c r="C374" s="241"/>
      <c r="D374" s="263" t="s">
        <v>327</v>
      </c>
      <c r="E374" s="230" t="s">
        <v>72</v>
      </c>
      <c r="F374" s="235">
        <v>41591</v>
      </c>
      <c r="G374" s="232">
        <v>1</v>
      </c>
      <c r="H374" s="233">
        <v>42</v>
      </c>
      <c r="I374" s="242">
        <v>146</v>
      </c>
    </row>
    <row r="375" spans="2:9" ht="15.75" thickBot="1" x14ac:dyDescent="0.3">
      <c r="B375" s="16"/>
      <c r="C375" s="241"/>
      <c r="D375" s="263" t="s">
        <v>708</v>
      </c>
      <c r="E375" s="230" t="s">
        <v>576</v>
      </c>
      <c r="F375" s="235">
        <v>41913</v>
      </c>
      <c r="G375" s="252">
        <v>1</v>
      </c>
      <c r="H375" s="253">
        <v>4.0599999999999996</v>
      </c>
      <c r="I375" s="254">
        <v>12.79</v>
      </c>
    </row>
    <row r="376" spans="2:9" ht="15.75" thickBot="1" x14ac:dyDescent="0.3">
      <c r="B376" s="17"/>
      <c r="C376" s="82" t="s">
        <v>621</v>
      </c>
      <c r="D376" s="256"/>
      <c r="E376" s="256"/>
      <c r="F376" s="265"/>
      <c r="G376" s="244">
        <v>8</v>
      </c>
      <c r="H376" s="245">
        <v>201.68899999999999</v>
      </c>
      <c r="I376" s="246">
        <v>677.55499999999995</v>
      </c>
    </row>
    <row r="377" spans="2:9" x14ac:dyDescent="0.25">
      <c r="B377" s="80" t="s">
        <v>134</v>
      </c>
      <c r="C377" s="81" t="s">
        <v>30</v>
      </c>
      <c r="D377" s="228" t="s">
        <v>540</v>
      </c>
      <c r="E377" s="236" t="s">
        <v>576</v>
      </c>
      <c r="F377" s="266">
        <v>41870</v>
      </c>
      <c r="G377" s="238">
        <v>1</v>
      </c>
      <c r="H377" s="239">
        <v>7.33</v>
      </c>
      <c r="I377" s="240">
        <v>25</v>
      </c>
    </row>
    <row r="378" spans="2:9" x14ac:dyDescent="0.25">
      <c r="B378" s="16"/>
      <c r="C378" s="241"/>
      <c r="D378" s="263" t="s">
        <v>468</v>
      </c>
      <c r="E378" s="230" t="s">
        <v>69</v>
      </c>
      <c r="F378" s="235">
        <v>41061</v>
      </c>
      <c r="G378" s="232">
        <v>1</v>
      </c>
      <c r="H378" s="233">
        <v>229.69</v>
      </c>
      <c r="I378" s="242">
        <v>900</v>
      </c>
    </row>
    <row r="379" spans="2:9" x14ac:dyDescent="0.25">
      <c r="B379" s="16"/>
      <c r="C379" s="241"/>
      <c r="D379" s="263" t="s">
        <v>206</v>
      </c>
      <c r="E379" s="230" t="s">
        <v>72</v>
      </c>
      <c r="F379" s="235">
        <v>41035</v>
      </c>
      <c r="G379" s="232">
        <v>1</v>
      </c>
      <c r="H379" s="233">
        <v>13.37</v>
      </c>
      <c r="I379" s="242">
        <v>58</v>
      </c>
    </row>
    <row r="380" spans="2:9" x14ac:dyDescent="0.25">
      <c r="B380" s="16"/>
      <c r="C380" s="241"/>
      <c r="D380" s="263" t="s">
        <v>291</v>
      </c>
      <c r="E380" s="230" t="s">
        <v>72</v>
      </c>
      <c r="F380" s="235">
        <v>39554</v>
      </c>
      <c r="G380" s="232">
        <v>1</v>
      </c>
      <c r="H380" s="233">
        <v>5.2</v>
      </c>
      <c r="I380" s="242">
        <v>20</v>
      </c>
    </row>
    <row r="381" spans="2:9" x14ac:dyDescent="0.25">
      <c r="B381" s="16"/>
      <c r="C381" s="241"/>
      <c r="D381" s="263" t="s">
        <v>389</v>
      </c>
      <c r="E381" s="230" t="s">
        <v>72</v>
      </c>
      <c r="F381" s="235">
        <v>41089</v>
      </c>
      <c r="G381" s="232">
        <v>1</v>
      </c>
      <c r="H381" s="233">
        <v>14.91</v>
      </c>
      <c r="I381" s="242">
        <v>39.479999999999997</v>
      </c>
    </row>
    <row r="382" spans="2:9" x14ac:dyDescent="0.25">
      <c r="B382" s="16"/>
      <c r="C382" s="241"/>
      <c r="D382" s="263" t="s">
        <v>212</v>
      </c>
      <c r="E382" s="230" t="s">
        <v>69</v>
      </c>
      <c r="F382" s="235">
        <v>41541</v>
      </c>
      <c r="G382" s="232">
        <v>1</v>
      </c>
      <c r="H382" s="233">
        <v>93</v>
      </c>
      <c r="I382" s="242">
        <v>340</v>
      </c>
    </row>
    <row r="383" spans="2:9" x14ac:dyDescent="0.25">
      <c r="B383" s="16"/>
      <c r="C383" s="241"/>
      <c r="D383" s="263" t="s">
        <v>223</v>
      </c>
      <c r="E383" s="230" t="s">
        <v>72</v>
      </c>
      <c r="F383" s="235">
        <v>41316</v>
      </c>
      <c r="G383" s="232">
        <v>1</v>
      </c>
      <c r="H383" s="233">
        <v>66.290000000000006</v>
      </c>
      <c r="I383" s="242">
        <v>224</v>
      </c>
    </row>
    <row r="384" spans="2:9" x14ac:dyDescent="0.25">
      <c r="B384" s="16"/>
      <c r="C384" s="241"/>
      <c r="D384" s="263" t="s">
        <v>414</v>
      </c>
      <c r="E384" s="230" t="s">
        <v>72</v>
      </c>
      <c r="F384" s="235">
        <v>41088</v>
      </c>
      <c r="G384" s="232">
        <v>1</v>
      </c>
      <c r="H384" s="233">
        <v>48.5</v>
      </c>
      <c r="I384" s="242">
        <v>140</v>
      </c>
    </row>
    <row r="385" spans="2:9" x14ac:dyDescent="0.25">
      <c r="B385" s="16"/>
      <c r="C385" s="241"/>
      <c r="D385" s="263" t="s">
        <v>415</v>
      </c>
      <c r="E385" s="230" t="s">
        <v>72</v>
      </c>
      <c r="F385" s="235">
        <v>41499</v>
      </c>
      <c r="G385" s="232">
        <v>1</v>
      </c>
      <c r="H385" s="233">
        <v>17.7</v>
      </c>
      <c r="I385" s="242">
        <v>50</v>
      </c>
    </row>
    <row r="386" spans="2:9" x14ac:dyDescent="0.25">
      <c r="B386" s="16"/>
      <c r="C386" s="241"/>
      <c r="D386" s="263" t="s">
        <v>549</v>
      </c>
      <c r="E386" s="230" t="s">
        <v>576</v>
      </c>
      <c r="F386" s="235">
        <v>41649</v>
      </c>
      <c r="G386" s="232">
        <v>1</v>
      </c>
      <c r="H386" s="233">
        <v>49.2</v>
      </c>
      <c r="I386" s="242">
        <v>152.13</v>
      </c>
    </row>
    <row r="387" spans="2:9" x14ac:dyDescent="0.25">
      <c r="B387" s="16"/>
      <c r="C387" s="241"/>
      <c r="D387" s="263" t="s">
        <v>252</v>
      </c>
      <c r="E387" s="230" t="s">
        <v>72</v>
      </c>
      <c r="F387" s="235">
        <v>41901</v>
      </c>
      <c r="G387" s="232">
        <v>1</v>
      </c>
      <c r="H387" s="233">
        <v>28.277999999999999</v>
      </c>
      <c r="I387" s="242">
        <v>85</v>
      </c>
    </row>
    <row r="388" spans="2:9" x14ac:dyDescent="0.25">
      <c r="B388" s="16"/>
      <c r="C388" s="241"/>
      <c r="D388" s="263" t="s">
        <v>267</v>
      </c>
      <c r="E388" s="230" t="s">
        <v>72</v>
      </c>
      <c r="F388" s="235">
        <v>41421</v>
      </c>
      <c r="G388" s="232">
        <v>1</v>
      </c>
      <c r="H388" s="233">
        <v>3.0979999999999999</v>
      </c>
      <c r="I388" s="242">
        <v>10.199999999999999</v>
      </c>
    </row>
    <row r="389" spans="2:9" x14ac:dyDescent="0.25">
      <c r="B389" s="16"/>
      <c r="C389" s="241"/>
      <c r="D389" s="263" t="s">
        <v>425</v>
      </c>
      <c r="E389" s="230" t="s">
        <v>72</v>
      </c>
      <c r="F389" s="235">
        <v>41421</v>
      </c>
      <c r="G389" s="232">
        <v>1</v>
      </c>
      <c r="H389" s="233">
        <v>1.42</v>
      </c>
      <c r="I389" s="242">
        <v>5.5</v>
      </c>
    </row>
    <row r="390" spans="2:9" x14ac:dyDescent="0.25">
      <c r="B390" s="16"/>
      <c r="C390" s="241"/>
      <c r="D390" s="263" t="s">
        <v>290</v>
      </c>
      <c r="E390" s="230" t="s">
        <v>72</v>
      </c>
      <c r="F390" s="231">
        <v>2008</v>
      </c>
      <c r="G390" s="232">
        <v>1</v>
      </c>
      <c r="H390" s="233">
        <v>31.3</v>
      </c>
      <c r="I390" s="242">
        <v>100</v>
      </c>
    </row>
    <row r="391" spans="2:9" x14ac:dyDescent="0.25">
      <c r="B391" s="16"/>
      <c r="C391" s="241"/>
      <c r="D391" s="263" t="s">
        <v>510</v>
      </c>
      <c r="E391" s="230" t="s">
        <v>72</v>
      </c>
      <c r="F391" s="231">
        <v>2009</v>
      </c>
      <c r="G391" s="232">
        <v>1</v>
      </c>
      <c r="H391" s="233"/>
      <c r="I391" s="242"/>
    </row>
    <row r="392" spans="2:9" x14ac:dyDescent="0.25">
      <c r="B392" s="16"/>
      <c r="C392" s="241"/>
      <c r="D392" s="263" t="s">
        <v>514</v>
      </c>
      <c r="E392" s="230" t="s">
        <v>72</v>
      </c>
      <c r="F392" s="235">
        <v>41094</v>
      </c>
      <c r="G392" s="232">
        <v>1</v>
      </c>
      <c r="H392" s="233">
        <v>38.6</v>
      </c>
      <c r="I392" s="242">
        <v>105</v>
      </c>
    </row>
    <row r="393" spans="2:9" x14ac:dyDescent="0.25">
      <c r="B393" s="16"/>
      <c r="C393" s="241"/>
      <c r="D393" s="263" t="s">
        <v>308</v>
      </c>
      <c r="E393" s="230" t="s">
        <v>72</v>
      </c>
      <c r="F393" s="235">
        <v>40851</v>
      </c>
      <c r="G393" s="232">
        <v>1</v>
      </c>
      <c r="H393" s="233">
        <v>9.74</v>
      </c>
      <c r="I393" s="242">
        <v>41</v>
      </c>
    </row>
    <row r="394" spans="2:9" x14ac:dyDescent="0.25">
      <c r="B394" s="16"/>
      <c r="C394" s="241"/>
      <c r="D394" s="263" t="s">
        <v>312</v>
      </c>
      <c r="E394" s="230" t="s">
        <v>72</v>
      </c>
      <c r="F394" s="235">
        <v>41334</v>
      </c>
      <c r="G394" s="232">
        <v>1</v>
      </c>
      <c r="H394" s="233">
        <v>25.452000000000002</v>
      </c>
      <c r="I394" s="242">
        <v>74.92</v>
      </c>
    </row>
    <row r="395" spans="2:9" x14ac:dyDescent="0.25">
      <c r="B395" s="16"/>
      <c r="C395" s="241"/>
      <c r="D395" s="263" t="s">
        <v>558</v>
      </c>
      <c r="E395" s="230" t="s">
        <v>576</v>
      </c>
      <c r="F395" s="235">
        <v>41830</v>
      </c>
      <c r="G395" s="232">
        <v>1</v>
      </c>
      <c r="H395" s="233">
        <v>35.6</v>
      </c>
      <c r="I395" s="242">
        <v>118.8</v>
      </c>
    </row>
    <row r="396" spans="2:9" x14ac:dyDescent="0.25">
      <c r="B396" s="16"/>
      <c r="C396" s="241"/>
      <c r="D396" s="263" t="s">
        <v>438</v>
      </c>
      <c r="E396" s="230" t="s">
        <v>72</v>
      </c>
      <c r="F396" s="235">
        <v>40843</v>
      </c>
      <c r="G396" s="232">
        <v>1</v>
      </c>
      <c r="H396" s="233">
        <v>37.700000000000003</v>
      </c>
      <c r="I396" s="242">
        <v>130</v>
      </c>
    </row>
    <row r="397" spans="2:9" x14ac:dyDescent="0.25">
      <c r="B397" s="16"/>
      <c r="C397" s="241"/>
      <c r="D397" s="263" t="s">
        <v>332</v>
      </c>
      <c r="E397" s="230" t="s">
        <v>72</v>
      </c>
      <c r="F397" s="235">
        <v>40686</v>
      </c>
      <c r="G397" s="232">
        <v>1</v>
      </c>
      <c r="H397" s="233">
        <v>26.579000000000001</v>
      </c>
      <c r="I397" s="242">
        <v>85</v>
      </c>
    </row>
    <row r="398" spans="2:9" x14ac:dyDescent="0.25">
      <c r="B398" s="16"/>
      <c r="C398" s="241"/>
      <c r="D398" s="263" t="s">
        <v>352</v>
      </c>
      <c r="E398" s="230" t="s">
        <v>72</v>
      </c>
      <c r="F398" s="235">
        <v>41229</v>
      </c>
      <c r="G398" s="232">
        <v>1</v>
      </c>
      <c r="H398" s="233">
        <v>8.9</v>
      </c>
      <c r="I398" s="242">
        <v>26</v>
      </c>
    </row>
    <row r="399" spans="2:9" x14ac:dyDescent="0.25">
      <c r="B399" s="16"/>
      <c r="C399" s="241"/>
      <c r="D399" s="263" t="s">
        <v>355</v>
      </c>
      <c r="E399" s="230" t="s">
        <v>72</v>
      </c>
      <c r="F399" s="231">
        <v>2010</v>
      </c>
      <c r="G399" s="232">
        <v>1</v>
      </c>
      <c r="H399" s="233">
        <v>21.6</v>
      </c>
      <c r="I399" s="242">
        <v>70</v>
      </c>
    </row>
    <row r="400" spans="2:9" x14ac:dyDescent="0.25">
      <c r="B400" s="16"/>
      <c r="C400" s="241"/>
      <c r="D400" s="263" t="s">
        <v>360</v>
      </c>
      <c r="E400" s="230" t="s">
        <v>72</v>
      </c>
      <c r="F400" s="235">
        <v>41192</v>
      </c>
      <c r="G400" s="232">
        <v>1</v>
      </c>
      <c r="H400" s="233">
        <v>8.73</v>
      </c>
      <c r="I400" s="242">
        <v>30</v>
      </c>
    </row>
    <row r="401" spans="2:9" x14ac:dyDescent="0.25">
      <c r="B401" s="16"/>
      <c r="C401" s="241"/>
      <c r="D401" s="263" t="s">
        <v>565</v>
      </c>
      <c r="E401" s="230" t="s">
        <v>576</v>
      </c>
      <c r="F401" s="235">
        <v>41802</v>
      </c>
      <c r="G401" s="232">
        <v>1</v>
      </c>
      <c r="H401" s="233">
        <v>3.43</v>
      </c>
      <c r="I401" s="242">
        <v>10.16</v>
      </c>
    </row>
    <row r="402" spans="2:9" x14ac:dyDescent="0.25">
      <c r="B402" s="16"/>
      <c r="C402" s="241"/>
      <c r="D402" s="263" t="s">
        <v>528</v>
      </c>
      <c r="E402" s="230" t="s">
        <v>72</v>
      </c>
      <c r="F402" s="235">
        <v>41272</v>
      </c>
      <c r="G402" s="232">
        <v>1</v>
      </c>
      <c r="H402" s="233">
        <v>18.5</v>
      </c>
      <c r="I402" s="242">
        <v>69.680000000000007</v>
      </c>
    </row>
    <row r="403" spans="2:9" x14ac:dyDescent="0.25">
      <c r="B403" s="16"/>
      <c r="C403" s="241"/>
      <c r="D403" s="263" t="s">
        <v>385</v>
      </c>
      <c r="E403" s="230" t="s">
        <v>72</v>
      </c>
      <c r="F403" s="235">
        <v>41425</v>
      </c>
      <c r="G403" s="232">
        <v>1</v>
      </c>
      <c r="H403" s="233">
        <v>10.566000000000001</v>
      </c>
      <c r="I403" s="242">
        <v>32</v>
      </c>
    </row>
    <row r="404" spans="2:9" x14ac:dyDescent="0.25">
      <c r="B404" s="16"/>
      <c r="C404" s="241"/>
      <c r="D404" s="263" t="s">
        <v>572</v>
      </c>
      <c r="E404" s="230" t="s">
        <v>576</v>
      </c>
      <c r="F404" s="235">
        <v>41929</v>
      </c>
      <c r="G404" s="232">
        <v>1</v>
      </c>
      <c r="H404" s="233">
        <v>3.9780000000000002</v>
      </c>
      <c r="I404" s="242">
        <v>10.063000000000001</v>
      </c>
    </row>
    <row r="405" spans="2:9" x14ac:dyDescent="0.25">
      <c r="B405" s="16"/>
      <c r="C405" s="241"/>
      <c r="D405" s="263" t="s">
        <v>710</v>
      </c>
      <c r="E405" s="230" t="s">
        <v>72</v>
      </c>
      <c r="F405" s="235">
        <v>42296</v>
      </c>
      <c r="G405" s="232">
        <v>1</v>
      </c>
      <c r="H405" s="233">
        <v>23.3</v>
      </c>
      <c r="I405" s="242">
        <v>100</v>
      </c>
    </row>
    <row r="406" spans="2:9" x14ac:dyDescent="0.25">
      <c r="B406" s="16"/>
      <c r="C406" s="241"/>
      <c r="D406" s="263" t="s">
        <v>711</v>
      </c>
      <c r="E406" s="230" t="s">
        <v>72</v>
      </c>
      <c r="F406" s="235">
        <v>42292</v>
      </c>
      <c r="G406" s="232">
        <v>1</v>
      </c>
      <c r="H406" s="233">
        <v>3.7</v>
      </c>
      <c r="I406" s="242">
        <v>12.52</v>
      </c>
    </row>
    <row r="407" spans="2:9" x14ac:dyDescent="0.25">
      <c r="B407" s="16"/>
      <c r="C407" s="241"/>
      <c r="D407" s="263" t="s">
        <v>712</v>
      </c>
      <c r="E407" s="230" t="s">
        <v>72</v>
      </c>
      <c r="F407" s="235">
        <v>42305</v>
      </c>
      <c r="G407" s="232">
        <v>1</v>
      </c>
      <c r="H407" s="233">
        <v>10.050000000000001</v>
      </c>
      <c r="I407" s="242">
        <v>39.979999999999997</v>
      </c>
    </row>
    <row r="408" spans="2:9" x14ac:dyDescent="0.25">
      <c r="B408" s="16"/>
      <c r="C408" s="241"/>
      <c r="D408" s="263" t="s">
        <v>713</v>
      </c>
      <c r="E408" s="230" t="s">
        <v>72</v>
      </c>
      <c r="F408" s="235">
        <v>42292</v>
      </c>
      <c r="G408" s="232">
        <v>1</v>
      </c>
      <c r="H408" s="233">
        <v>23.125</v>
      </c>
      <c r="I408" s="242">
        <v>70</v>
      </c>
    </row>
    <row r="409" spans="2:9" x14ac:dyDescent="0.25">
      <c r="B409" s="16"/>
      <c r="C409" s="241"/>
      <c r="D409" s="263" t="s">
        <v>714</v>
      </c>
      <c r="E409" s="230" t="s">
        <v>72</v>
      </c>
      <c r="F409" s="235">
        <v>42047</v>
      </c>
      <c r="G409" s="232">
        <v>1</v>
      </c>
      <c r="H409" s="233">
        <v>9.18</v>
      </c>
      <c r="I409" s="242">
        <v>34.5</v>
      </c>
    </row>
    <row r="410" spans="2:9" x14ac:dyDescent="0.25">
      <c r="B410" s="16"/>
      <c r="C410" s="241"/>
      <c r="D410" s="263" t="s">
        <v>715</v>
      </c>
      <c r="E410" s="230" t="s">
        <v>72</v>
      </c>
      <c r="F410" s="235">
        <v>42302</v>
      </c>
      <c r="G410" s="232">
        <v>1</v>
      </c>
      <c r="H410" s="233">
        <v>7</v>
      </c>
      <c r="I410" s="242">
        <v>27</v>
      </c>
    </row>
    <row r="411" spans="2:9" ht="15.75" thickBot="1" x14ac:dyDescent="0.3">
      <c r="B411" s="16"/>
      <c r="C411" s="241"/>
      <c r="D411" s="263" t="s">
        <v>716</v>
      </c>
      <c r="E411" s="230" t="s">
        <v>72</v>
      </c>
      <c r="F411" s="235">
        <v>42301</v>
      </c>
      <c r="G411" s="252">
        <v>1</v>
      </c>
      <c r="H411" s="253">
        <v>8.84</v>
      </c>
      <c r="I411" s="254">
        <v>24.84</v>
      </c>
    </row>
    <row r="412" spans="2:9" ht="15.75" thickBot="1" x14ac:dyDescent="0.3">
      <c r="B412" s="17"/>
      <c r="C412" s="82" t="s">
        <v>622</v>
      </c>
      <c r="D412" s="256"/>
      <c r="E412" s="256"/>
      <c r="F412" s="265"/>
      <c r="G412" s="244">
        <v>35</v>
      </c>
      <c r="H412" s="245">
        <v>943.85599999999988</v>
      </c>
      <c r="I412" s="246">
        <v>3260.7730000000006</v>
      </c>
    </row>
    <row r="413" spans="2:9" x14ac:dyDescent="0.25">
      <c r="B413" s="80" t="s">
        <v>135</v>
      </c>
      <c r="C413" s="81" t="s">
        <v>54</v>
      </c>
      <c r="D413" s="228" t="s">
        <v>199</v>
      </c>
      <c r="E413" s="236" t="s">
        <v>72</v>
      </c>
      <c r="F413" s="266">
        <v>41460</v>
      </c>
      <c r="G413" s="238">
        <v>1</v>
      </c>
      <c r="H413" s="239">
        <v>29.303999999999998</v>
      </c>
      <c r="I413" s="240">
        <v>109</v>
      </c>
    </row>
    <row r="414" spans="2:9" x14ac:dyDescent="0.25">
      <c r="B414" s="16"/>
      <c r="C414" s="241"/>
      <c r="D414" s="263" t="s">
        <v>487</v>
      </c>
      <c r="E414" s="230" t="s">
        <v>72</v>
      </c>
      <c r="F414" s="235">
        <v>41258</v>
      </c>
      <c r="G414" s="232">
        <v>1</v>
      </c>
      <c r="H414" s="233">
        <v>4.42</v>
      </c>
      <c r="I414" s="242">
        <v>13.65</v>
      </c>
    </row>
    <row r="415" spans="2:9" x14ac:dyDescent="0.25">
      <c r="B415" s="16"/>
      <c r="C415" s="241"/>
      <c r="D415" s="263" t="s">
        <v>402</v>
      </c>
      <c r="E415" s="230" t="s">
        <v>72</v>
      </c>
      <c r="F415" s="231">
        <v>2010</v>
      </c>
      <c r="G415" s="232">
        <v>1</v>
      </c>
      <c r="H415" s="233">
        <v>91.4</v>
      </c>
      <c r="I415" s="242">
        <v>360</v>
      </c>
    </row>
    <row r="416" spans="2:9" x14ac:dyDescent="0.25">
      <c r="B416" s="16"/>
      <c r="C416" s="241"/>
      <c r="D416" s="263" t="s">
        <v>574</v>
      </c>
      <c r="E416" s="230" t="s">
        <v>576</v>
      </c>
      <c r="F416" s="235">
        <v>41927</v>
      </c>
      <c r="G416" s="232">
        <v>1</v>
      </c>
      <c r="H416" s="233">
        <v>2.36</v>
      </c>
      <c r="I416" s="242">
        <v>9.66</v>
      </c>
    </row>
    <row r="417" spans="2:9" x14ac:dyDescent="0.25">
      <c r="B417" s="16"/>
      <c r="C417" s="241"/>
      <c r="D417" s="263" t="s">
        <v>575</v>
      </c>
      <c r="E417" s="230" t="s">
        <v>576</v>
      </c>
      <c r="F417" s="235">
        <v>41992</v>
      </c>
      <c r="G417" s="232">
        <v>1</v>
      </c>
      <c r="H417" s="233">
        <v>8.82</v>
      </c>
      <c r="I417" s="242">
        <v>32.543999999999997</v>
      </c>
    </row>
    <row r="418" spans="2:9" x14ac:dyDescent="0.25">
      <c r="B418" s="16"/>
      <c r="C418" s="241"/>
      <c r="D418" s="263" t="s">
        <v>178</v>
      </c>
      <c r="E418" s="230" t="s">
        <v>72</v>
      </c>
      <c r="F418" s="231">
        <v>1961</v>
      </c>
      <c r="G418" s="232">
        <v>1</v>
      </c>
      <c r="H418" s="233">
        <v>18.600000000000001</v>
      </c>
      <c r="I418" s="242">
        <v>110</v>
      </c>
    </row>
    <row r="419" spans="2:9" x14ac:dyDescent="0.25">
      <c r="B419" s="16"/>
      <c r="C419" s="241"/>
      <c r="D419" s="263" t="s">
        <v>285</v>
      </c>
      <c r="E419" s="230" t="s">
        <v>72</v>
      </c>
      <c r="F419" s="235">
        <v>40688</v>
      </c>
      <c r="G419" s="232">
        <v>1</v>
      </c>
      <c r="H419" s="233">
        <v>25.2</v>
      </c>
      <c r="I419" s="242">
        <v>126</v>
      </c>
    </row>
    <row r="420" spans="2:9" x14ac:dyDescent="0.25">
      <c r="B420" s="16"/>
      <c r="C420" s="241"/>
      <c r="D420" s="263" t="s">
        <v>426</v>
      </c>
      <c r="E420" s="230" t="s">
        <v>72</v>
      </c>
      <c r="F420" s="231">
        <v>2010</v>
      </c>
      <c r="G420" s="232">
        <v>1</v>
      </c>
      <c r="H420" s="233">
        <v>9.5</v>
      </c>
      <c r="I420" s="242">
        <v>40</v>
      </c>
    </row>
    <row r="421" spans="2:9" x14ac:dyDescent="0.25">
      <c r="B421" s="16"/>
      <c r="C421" s="241"/>
      <c r="D421" s="263" t="s">
        <v>562</v>
      </c>
      <c r="E421" s="230" t="s">
        <v>576</v>
      </c>
      <c r="F421" s="235">
        <v>41836</v>
      </c>
      <c r="G421" s="232">
        <v>1</v>
      </c>
      <c r="H421" s="233">
        <v>13.5</v>
      </c>
      <c r="I421" s="242">
        <v>46.89</v>
      </c>
    </row>
    <row r="422" spans="2:9" x14ac:dyDescent="0.25">
      <c r="B422" s="16"/>
      <c r="C422" s="241"/>
      <c r="D422" s="263" t="s">
        <v>444</v>
      </c>
      <c r="E422" s="230" t="s">
        <v>72</v>
      </c>
      <c r="F422" s="231">
        <v>2010</v>
      </c>
      <c r="G422" s="232">
        <v>1</v>
      </c>
      <c r="H422" s="233">
        <v>8.8000000000000007</v>
      </c>
      <c r="I422" s="242">
        <v>31.97</v>
      </c>
    </row>
    <row r="423" spans="2:9" x14ac:dyDescent="0.25">
      <c r="B423" s="16"/>
      <c r="C423" s="241"/>
      <c r="D423" s="263" t="s">
        <v>530</v>
      </c>
      <c r="E423" s="230" t="s">
        <v>72</v>
      </c>
      <c r="F423" s="231">
        <v>2010</v>
      </c>
      <c r="G423" s="232">
        <v>1</v>
      </c>
      <c r="H423" s="233">
        <v>62.15</v>
      </c>
      <c r="I423" s="242">
        <v>156</v>
      </c>
    </row>
    <row r="424" spans="2:9" x14ac:dyDescent="0.25">
      <c r="B424" s="16"/>
      <c r="C424" s="241"/>
      <c r="D424" s="263" t="s">
        <v>531</v>
      </c>
      <c r="E424" s="230" t="s">
        <v>72</v>
      </c>
      <c r="F424" s="235">
        <v>41541</v>
      </c>
      <c r="G424" s="232">
        <v>1</v>
      </c>
      <c r="H424" s="233">
        <v>19.690000000000001</v>
      </c>
      <c r="I424" s="242">
        <v>100.646</v>
      </c>
    </row>
    <row r="425" spans="2:9" x14ac:dyDescent="0.25">
      <c r="B425" s="16"/>
      <c r="C425" s="241"/>
      <c r="D425" s="263" t="s">
        <v>570</v>
      </c>
      <c r="E425" s="230" t="s">
        <v>576</v>
      </c>
      <c r="F425" s="235">
        <v>42004</v>
      </c>
      <c r="G425" s="232">
        <v>1</v>
      </c>
      <c r="H425" s="233">
        <v>3.72</v>
      </c>
      <c r="I425" s="242">
        <v>14.47</v>
      </c>
    </row>
    <row r="426" spans="2:9" ht="15.75" thickBot="1" x14ac:dyDescent="0.3">
      <c r="B426" s="16"/>
      <c r="C426" s="241"/>
      <c r="D426" s="263" t="s">
        <v>383</v>
      </c>
      <c r="E426" s="230" t="s">
        <v>72</v>
      </c>
      <c r="F426" s="235">
        <v>41541</v>
      </c>
      <c r="G426" s="252">
        <v>1</v>
      </c>
      <c r="H426" s="253">
        <v>40.24</v>
      </c>
      <c r="I426" s="254">
        <v>180</v>
      </c>
    </row>
    <row r="427" spans="2:9" ht="15.75" thickBot="1" x14ac:dyDescent="0.3">
      <c r="B427" s="17"/>
      <c r="C427" s="82" t="s">
        <v>623</v>
      </c>
      <c r="D427" s="256"/>
      <c r="E427" s="256"/>
      <c r="F427" s="265"/>
      <c r="G427" s="244">
        <v>14</v>
      </c>
      <c r="H427" s="245">
        <v>337.70400000000001</v>
      </c>
      <c r="I427" s="246">
        <v>1330.83</v>
      </c>
    </row>
    <row r="428" spans="2:9" x14ac:dyDescent="0.25">
      <c r="B428" s="80" t="s">
        <v>112</v>
      </c>
      <c r="C428" s="81" t="s">
        <v>9</v>
      </c>
      <c r="D428" s="228" t="s">
        <v>211</v>
      </c>
      <c r="E428" s="236" t="s">
        <v>72</v>
      </c>
      <c r="F428" s="237">
        <v>2010</v>
      </c>
      <c r="G428" s="238">
        <v>1</v>
      </c>
      <c r="H428" s="239">
        <v>12.41</v>
      </c>
      <c r="I428" s="240">
        <v>40</v>
      </c>
    </row>
    <row r="429" spans="2:9" x14ac:dyDescent="0.25">
      <c r="B429" s="16"/>
      <c r="C429" s="241"/>
      <c r="D429" s="263" t="s">
        <v>391</v>
      </c>
      <c r="E429" s="230" t="s">
        <v>72</v>
      </c>
      <c r="F429" s="235">
        <v>41137</v>
      </c>
      <c r="G429" s="232">
        <v>1</v>
      </c>
      <c r="H429" s="233">
        <v>32.409999999999997</v>
      </c>
      <c r="I429" s="242">
        <v>76.36</v>
      </c>
    </row>
    <row r="430" spans="2:9" x14ac:dyDescent="0.25">
      <c r="B430" s="16"/>
      <c r="C430" s="241"/>
      <c r="D430" s="263" t="s">
        <v>226</v>
      </c>
      <c r="E430" s="230" t="s">
        <v>72</v>
      </c>
      <c r="F430" s="231">
        <v>2008</v>
      </c>
      <c r="G430" s="232">
        <v>1</v>
      </c>
      <c r="H430" s="233">
        <v>11</v>
      </c>
      <c r="I430" s="242">
        <v>47</v>
      </c>
    </row>
    <row r="431" spans="2:9" x14ac:dyDescent="0.25">
      <c r="B431" s="16"/>
      <c r="C431" s="241"/>
      <c r="D431" s="263" t="s">
        <v>228</v>
      </c>
      <c r="E431" s="230" t="s">
        <v>72</v>
      </c>
      <c r="F431" s="231">
        <v>2009</v>
      </c>
      <c r="G431" s="232">
        <v>1</v>
      </c>
      <c r="H431" s="233">
        <v>16.206</v>
      </c>
      <c r="I431" s="242">
        <v>59.927999999999997</v>
      </c>
    </row>
    <row r="432" spans="2:9" x14ac:dyDescent="0.25">
      <c r="B432" s="16"/>
      <c r="C432" s="241"/>
      <c r="D432" s="263" t="s">
        <v>237</v>
      </c>
      <c r="E432" s="230" t="s">
        <v>72</v>
      </c>
      <c r="F432" s="235">
        <v>41382</v>
      </c>
      <c r="G432" s="232">
        <v>1</v>
      </c>
      <c r="H432" s="233">
        <v>7.77</v>
      </c>
      <c r="I432" s="242">
        <v>31.17</v>
      </c>
    </row>
    <row r="433" spans="2:9" x14ac:dyDescent="0.25">
      <c r="B433" s="16"/>
      <c r="C433" s="241"/>
      <c r="D433" s="263" t="s">
        <v>249</v>
      </c>
      <c r="E433" s="230" t="s">
        <v>72</v>
      </c>
      <c r="F433" s="235">
        <v>41348</v>
      </c>
      <c r="G433" s="232">
        <v>1</v>
      </c>
      <c r="H433" s="233">
        <v>19.04</v>
      </c>
      <c r="I433" s="242">
        <v>35.79</v>
      </c>
    </row>
    <row r="434" spans="2:9" x14ac:dyDescent="0.25">
      <c r="B434" s="16"/>
      <c r="C434" s="241"/>
      <c r="D434" s="263" t="s">
        <v>257</v>
      </c>
      <c r="E434" s="230" t="s">
        <v>72</v>
      </c>
      <c r="F434" s="235">
        <v>40458</v>
      </c>
      <c r="G434" s="232">
        <v>1</v>
      </c>
      <c r="H434" s="233">
        <v>22.5</v>
      </c>
      <c r="I434" s="242">
        <v>86.97</v>
      </c>
    </row>
    <row r="435" spans="2:9" x14ac:dyDescent="0.25">
      <c r="B435" s="16"/>
      <c r="C435" s="241"/>
      <c r="D435" s="263" t="s">
        <v>258</v>
      </c>
      <c r="E435" s="230" t="s">
        <v>72</v>
      </c>
      <c r="F435" s="235">
        <v>40333</v>
      </c>
      <c r="G435" s="232">
        <v>1</v>
      </c>
      <c r="H435" s="233">
        <v>45</v>
      </c>
      <c r="I435" s="242">
        <v>125</v>
      </c>
    </row>
    <row r="436" spans="2:9" x14ac:dyDescent="0.25">
      <c r="B436" s="16"/>
      <c r="C436" s="241"/>
      <c r="D436" s="263" t="s">
        <v>153</v>
      </c>
      <c r="E436" s="230" t="s">
        <v>72</v>
      </c>
      <c r="F436" s="231">
        <v>1984</v>
      </c>
      <c r="G436" s="232">
        <v>1</v>
      </c>
      <c r="H436" s="233">
        <v>0.3</v>
      </c>
      <c r="I436" s="242">
        <v>1</v>
      </c>
    </row>
    <row r="437" spans="2:9" x14ac:dyDescent="0.25">
      <c r="B437" s="16"/>
      <c r="C437" s="241"/>
      <c r="D437" s="263" t="s">
        <v>508</v>
      </c>
      <c r="E437" s="230" t="s">
        <v>72</v>
      </c>
      <c r="F437" s="231">
        <v>2009</v>
      </c>
      <c r="G437" s="232">
        <v>1</v>
      </c>
      <c r="H437" s="233">
        <v>8.48</v>
      </c>
      <c r="I437" s="242">
        <v>32.42</v>
      </c>
    </row>
    <row r="438" spans="2:9" x14ac:dyDescent="0.25">
      <c r="B438" s="16"/>
      <c r="C438" s="241"/>
      <c r="D438" s="263" t="s">
        <v>324</v>
      </c>
      <c r="E438" s="230" t="s">
        <v>72</v>
      </c>
      <c r="F438" s="231">
        <v>2010</v>
      </c>
      <c r="G438" s="232">
        <v>1</v>
      </c>
      <c r="H438" s="233">
        <v>24.2</v>
      </c>
      <c r="I438" s="242">
        <v>67</v>
      </c>
    </row>
    <row r="439" spans="2:9" x14ac:dyDescent="0.25">
      <c r="B439" s="16"/>
      <c r="C439" s="241"/>
      <c r="D439" s="263" t="s">
        <v>335</v>
      </c>
      <c r="E439" s="230" t="s">
        <v>72</v>
      </c>
      <c r="F439" s="235">
        <v>41015</v>
      </c>
      <c r="G439" s="232">
        <v>1</v>
      </c>
      <c r="H439" s="233">
        <v>26.6</v>
      </c>
      <c r="I439" s="242">
        <v>64.319999999999993</v>
      </c>
    </row>
    <row r="440" spans="2:9" x14ac:dyDescent="0.25">
      <c r="B440" s="16"/>
      <c r="C440" s="241"/>
      <c r="D440" s="263" t="s">
        <v>377</v>
      </c>
      <c r="E440" s="230" t="s">
        <v>72</v>
      </c>
      <c r="F440" s="235">
        <v>41523</v>
      </c>
      <c r="G440" s="232">
        <v>1</v>
      </c>
      <c r="H440" s="233">
        <v>4.67</v>
      </c>
      <c r="I440" s="242">
        <v>20.87</v>
      </c>
    </row>
    <row r="441" spans="2:9" x14ac:dyDescent="0.25">
      <c r="B441" s="16"/>
      <c r="C441" s="241"/>
      <c r="D441" s="263" t="s">
        <v>717</v>
      </c>
      <c r="E441" s="230" t="s">
        <v>69</v>
      </c>
      <c r="F441" s="235">
        <v>42348</v>
      </c>
      <c r="G441" s="232">
        <v>1</v>
      </c>
      <c r="H441" s="233">
        <v>332.18</v>
      </c>
      <c r="I441" s="242">
        <v>1026</v>
      </c>
    </row>
    <row r="442" spans="2:9" ht="15.75" thickBot="1" x14ac:dyDescent="0.3">
      <c r="B442" s="16"/>
      <c r="C442" s="241"/>
      <c r="D442" s="263" t="s">
        <v>718</v>
      </c>
      <c r="E442" s="230" t="s">
        <v>72</v>
      </c>
      <c r="F442" s="235">
        <v>42306</v>
      </c>
      <c r="G442" s="252">
        <v>1</v>
      </c>
      <c r="H442" s="253">
        <v>1.9550000000000001</v>
      </c>
      <c r="I442" s="254">
        <v>6.42</v>
      </c>
    </row>
    <row r="443" spans="2:9" ht="15.75" thickBot="1" x14ac:dyDescent="0.3">
      <c r="B443" s="17"/>
      <c r="C443" s="82" t="s">
        <v>624</v>
      </c>
      <c r="D443" s="256"/>
      <c r="E443" s="256"/>
      <c r="F443" s="265"/>
      <c r="G443" s="244">
        <v>15</v>
      </c>
      <c r="H443" s="245">
        <v>564.721</v>
      </c>
      <c r="I443" s="246">
        <v>1720.248</v>
      </c>
    </row>
    <row r="444" spans="2:9" x14ac:dyDescent="0.25">
      <c r="B444" s="80" t="s">
        <v>113</v>
      </c>
      <c r="C444" s="276" t="s">
        <v>31</v>
      </c>
      <c r="D444" s="228" t="s">
        <v>473</v>
      </c>
      <c r="E444" s="236" t="s">
        <v>69</v>
      </c>
      <c r="F444" s="237">
        <v>2008</v>
      </c>
      <c r="G444" s="238">
        <v>1</v>
      </c>
      <c r="H444" s="239">
        <v>101.94</v>
      </c>
      <c r="I444" s="240">
        <v>315</v>
      </c>
    </row>
    <row r="445" spans="2:9" x14ac:dyDescent="0.25">
      <c r="B445" s="16"/>
      <c r="C445" s="241"/>
      <c r="D445" s="263" t="s">
        <v>539</v>
      </c>
      <c r="E445" s="230" t="s">
        <v>72</v>
      </c>
      <c r="F445" s="235">
        <v>41794</v>
      </c>
      <c r="G445" s="232">
        <v>1</v>
      </c>
      <c r="H445" s="233">
        <v>0.495</v>
      </c>
      <c r="I445" s="242">
        <v>1.5</v>
      </c>
    </row>
    <row r="446" spans="2:9" x14ac:dyDescent="0.25">
      <c r="B446" s="16"/>
      <c r="C446" s="241"/>
      <c r="D446" s="263" t="s">
        <v>224</v>
      </c>
      <c r="E446" s="230" t="s">
        <v>72</v>
      </c>
      <c r="F446" s="235">
        <v>41060</v>
      </c>
      <c r="G446" s="232">
        <v>1</v>
      </c>
      <c r="H446" s="233">
        <v>68.861999999999995</v>
      </c>
      <c r="I446" s="242">
        <v>192</v>
      </c>
    </row>
    <row r="447" spans="2:9" x14ac:dyDescent="0.25">
      <c r="B447" s="16"/>
      <c r="C447" s="241"/>
      <c r="D447" s="263" t="s">
        <v>246</v>
      </c>
      <c r="E447" s="230" t="s">
        <v>72</v>
      </c>
      <c r="F447" s="235">
        <v>41435</v>
      </c>
      <c r="G447" s="232">
        <v>1</v>
      </c>
      <c r="H447" s="233">
        <v>13</v>
      </c>
      <c r="I447" s="242">
        <v>45</v>
      </c>
    </row>
    <row r="448" spans="2:9" x14ac:dyDescent="0.25">
      <c r="B448" s="16"/>
      <c r="C448" s="241"/>
      <c r="D448" s="263" t="s">
        <v>265</v>
      </c>
      <c r="E448" s="230" t="s">
        <v>72</v>
      </c>
      <c r="F448" s="235">
        <v>41213</v>
      </c>
      <c r="G448" s="232">
        <v>1</v>
      </c>
      <c r="H448" s="233">
        <v>19.75</v>
      </c>
      <c r="I448" s="242">
        <v>36</v>
      </c>
    </row>
    <row r="449" spans="2:9" x14ac:dyDescent="0.25">
      <c r="B449" s="16"/>
      <c r="C449" s="241"/>
      <c r="D449" s="263" t="s">
        <v>276</v>
      </c>
      <c r="E449" s="230" t="s">
        <v>72</v>
      </c>
      <c r="F449" s="235">
        <v>41515</v>
      </c>
      <c r="G449" s="232">
        <v>1</v>
      </c>
      <c r="H449" s="233">
        <v>13.58</v>
      </c>
      <c r="I449" s="242">
        <v>32.07</v>
      </c>
    </row>
    <row r="450" spans="2:9" x14ac:dyDescent="0.25">
      <c r="B450" s="16"/>
      <c r="C450" s="241"/>
      <c r="D450" s="263" t="s">
        <v>317</v>
      </c>
      <c r="E450" s="230" t="s">
        <v>72</v>
      </c>
      <c r="F450" s="235">
        <v>41467</v>
      </c>
      <c r="G450" s="232">
        <v>1</v>
      </c>
      <c r="H450" s="233">
        <v>14.66</v>
      </c>
      <c r="I450" s="242">
        <v>60</v>
      </c>
    </row>
    <row r="451" spans="2:9" ht="15.75" thickBot="1" x14ac:dyDescent="0.3">
      <c r="B451" s="16"/>
      <c r="C451" s="241"/>
      <c r="D451" s="263" t="s">
        <v>518</v>
      </c>
      <c r="E451" s="230" t="s">
        <v>72</v>
      </c>
      <c r="F451" s="235">
        <v>41354</v>
      </c>
      <c r="G451" s="252">
        <v>1</v>
      </c>
      <c r="H451" s="253">
        <v>6.63</v>
      </c>
      <c r="I451" s="254">
        <v>30</v>
      </c>
    </row>
    <row r="452" spans="2:9" ht="15.75" thickBot="1" x14ac:dyDescent="0.3">
      <c r="B452" s="17"/>
      <c r="C452" s="82" t="s">
        <v>625</v>
      </c>
      <c r="D452" s="256"/>
      <c r="E452" s="256"/>
      <c r="F452" s="265"/>
      <c r="G452" s="244">
        <v>8</v>
      </c>
      <c r="H452" s="245">
        <v>238.917</v>
      </c>
      <c r="I452" s="246">
        <v>711.57</v>
      </c>
    </row>
    <row r="453" spans="2:9" x14ac:dyDescent="0.25">
      <c r="B453" s="80" t="s">
        <v>114</v>
      </c>
      <c r="C453" s="81" t="s">
        <v>27</v>
      </c>
      <c r="D453" s="228" t="s">
        <v>469</v>
      </c>
      <c r="E453" s="236" t="s">
        <v>72</v>
      </c>
      <c r="F453" s="237">
        <v>2006</v>
      </c>
      <c r="G453" s="238">
        <v>1</v>
      </c>
      <c r="H453" s="239">
        <v>27.27</v>
      </c>
      <c r="I453" s="240">
        <v>86.39</v>
      </c>
    </row>
    <row r="454" spans="2:9" x14ac:dyDescent="0.25">
      <c r="B454" s="16"/>
      <c r="C454" s="241"/>
      <c r="D454" s="263" t="s">
        <v>474</v>
      </c>
      <c r="E454" s="230" t="s">
        <v>72</v>
      </c>
      <c r="F454" s="235">
        <v>41257</v>
      </c>
      <c r="G454" s="232">
        <v>1</v>
      </c>
      <c r="H454" s="233">
        <v>16.32</v>
      </c>
      <c r="I454" s="242">
        <v>42.14</v>
      </c>
    </row>
    <row r="455" spans="2:9" x14ac:dyDescent="0.25">
      <c r="B455" s="16"/>
      <c r="C455" s="241"/>
      <c r="D455" s="263" t="s">
        <v>543</v>
      </c>
      <c r="E455" s="230" t="s">
        <v>69</v>
      </c>
      <c r="F455" s="235">
        <v>41789</v>
      </c>
      <c r="G455" s="232">
        <v>1</v>
      </c>
      <c r="H455" s="233">
        <v>244.83</v>
      </c>
      <c r="I455" s="242">
        <v>842.1</v>
      </c>
    </row>
    <row r="456" spans="2:9" x14ac:dyDescent="0.25">
      <c r="B456" s="16"/>
      <c r="C456" s="241"/>
      <c r="D456" s="263" t="s">
        <v>418</v>
      </c>
      <c r="E456" s="230" t="s">
        <v>72</v>
      </c>
      <c r="F456" s="235">
        <v>41167</v>
      </c>
      <c r="G456" s="232">
        <v>1</v>
      </c>
      <c r="H456" s="233">
        <v>3.98</v>
      </c>
      <c r="I456" s="242">
        <v>11</v>
      </c>
    </row>
    <row r="457" spans="2:9" x14ac:dyDescent="0.25">
      <c r="B457" s="16"/>
      <c r="C457" s="241"/>
      <c r="D457" s="263" t="s">
        <v>260</v>
      </c>
      <c r="E457" s="230" t="s">
        <v>72</v>
      </c>
      <c r="F457" s="235">
        <v>41205</v>
      </c>
      <c r="G457" s="232">
        <v>1</v>
      </c>
      <c r="H457" s="233">
        <v>9.33</v>
      </c>
      <c r="I457" s="242">
        <v>42.42</v>
      </c>
    </row>
    <row r="458" spans="2:9" x14ac:dyDescent="0.25">
      <c r="B458" s="16"/>
      <c r="C458" s="241"/>
      <c r="D458" s="263" t="s">
        <v>268</v>
      </c>
      <c r="E458" s="230" t="s">
        <v>72</v>
      </c>
      <c r="F458" s="235">
        <v>41425</v>
      </c>
      <c r="G458" s="232">
        <v>1</v>
      </c>
      <c r="H458" s="233">
        <v>6.8659999999999997</v>
      </c>
      <c r="I458" s="242">
        <v>25.8</v>
      </c>
    </row>
    <row r="459" spans="2:9" x14ac:dyDescent="0.25">
      <c r="B459" s="16"/>
      <c r="C459" s="241"/>
      <c r="D459" s="263" t="s">
        <v>422</v>
      </c>
      <c r="E459" s="230" t="s">
        <v>69</v>
      </c>
      <c r="F459" s="235">
        <v>40991</v>
      </c>
      <c r="G459" s="232">
        <v>1</v>
      </c>
      <c r="H459" s="233">
        <v>96</v>
      </c>
      <c r="I459" s="242">
        <v>314</v>
      </c>
    </row>
    <row r="460" spans="2:9" x14ac:dyDescent="0.25">
      <c r="B460" s="16"/>
      <c r="C460" s="241"/>
      <c r="D460" s="263" t="s">
        <v>556</v>
      </c>
      <c r="E460" s="230" t="s">
        <v>576</v>
      </c>
      <c r="F460" s="235">
        <v>41751</v>
      </c>
      <c r="G460" s="232">
        <v>1</v>
      </c>
      <c r="H460" s="233">
        <v>7.19</v>
      </c>
      <c r="I460" s="242">
        <v>25.22</v>
      </c>
    </row>
    <row r="461" spans="2:9" x14ac:dyDescent="0.25">
      <c r="B461" s="16"/>
      <c r="C461" s="241"/>
      <c r="D461" s="263" t="s">
        <v>292</v>
      </c>
      <c r="E461" s="230" t="s">
        <v>72</v>
      </c>
      <c r="F461" s="231">
        <v>2009</v>
      </c>
      <c r="G461" s="232">
        <v>1</v>
      </c>
      <c r="H461" s="233">
        <v>10.8</v>
      </c>
      <c r="I461" s="242">
        <v>38.56</v>
      </c>
    </row>
    <row r="462" spans="2:9" x14ac:dyDescent="0.25">
      <c r="B462" s="16"/>
      <c r="C462" s="241"/>
      <c r="D462" s="263" t="s">
        <v>296</v>
      </c>
      <c r="E462" s="230" t="s">
        <v>72</v>
      </c>
      <c r="F462" s="235">
        <v>40682</v>
      </c>
      <c r="G462" s="232">
        <v>1</v>
      </c>
      <c r="H462" s="233">
        <v>3.84</v>
      </c>
      <c r="I462" s="242">
        <v>21.56</v>
      </c>
    </row>
    <row r="463" spans="2:9" x14ac:dyDescent="0.25">
      <c r="B463" s="16"/>
      <c r="C463" s="241"/>
      <c r="D463" s="263" t="s">
        <v>511</v>
      </c>
      <c r="E463" s="230" t="s">
        <v>72</v>
      </c>
      <c r="F463" s="235">
        <v>40697</v>
      </c>
      <c r="G463" s="232">
        <v>1</v>
      </c>
      <c r="H463" s="233">
        <v>3.08</v>
      </c>
      <c r="I463" s="242">
        <v>18.97</v>
      </c>
    </row>
    <row r="464" spans="2:9" x14ac:dyDescent="0.25">
      <c r="B464" s="16"/>
      <c r="C464" s="241"/>
      <c r="D464" s="263" t="s">
        <v>512</v>
      </c>
      <c r="E464" s="230" t="s">
        <v>72</v>
      </c>
      <c r="F464" s="235">
        <v>40871</v>
      </c>
      <c r="G464" s="232">
        <v>1</v>
      </c>
      <c r="H464" s="233">
        <v>10.35</v>
      </c>
      <c r="I464" s="242">
        <v>57.76</v>
      </c>
    </row>
    <row r="465" spans="2:9" x14ac:dyDescent="0.25">
      <c r="B465" s="16"/>
      <c r="C465" s="241"/>
      <c r="D465" s="263" t="s">
        <v>513</v>
      </c>
      <c r="E465" s="230" t="s">
        <v>72</v>
      </c>
      <c r="F465" s="235">
        <v>40760</v>
      </c>
      <c r="G465" s="232">
        <v>1</v>
      </c>
      <c r="H465" s="233">
        <v>4.5999999999999996</v>
      </c>
      <c r="I465" s="242">
        <v>21.62</v>
      </c>
    </row>
    <row r="466" spans="2:9" x14ac:dyDescent="0.25">
      <c r="B466" s="16"/>
      <c r="C466" s="241"/>
      <c r="D466" s="263" t="s">
        <v>333</v>
      </c>
      <c r="E466" s="230" t="s">
        <v>72</v>
      </c>
      <c r="F466" s="235">
        <v>41635</v>
      </c>
      <c r="G466" s="232">
        <v>1</v>
      </c>
      <c r="H466" s="233">
        <v>36.380000000000003</v>
      </c>
      <c r="I466" s="242">
        <v>83.83</v>
      </c>
    </row>
    <row r="467" spans="2:9" x14ac:dyDescent="0.25">
      <c r="B467" s="16"/>
      <c r="C467" s="241"/>
      <c r="D467" s="263" t="s">
        <v>350</v>
      </c>
      <c r="E467" s="230" t="s">
        <v>72</v>
      </c>
      <c r="F467" s="235">
        <v>41005</v>
      </c>
      <c r="G467" s="232">
        <v>1</v>
      </c>
      <c r="H467" s="233">
        <v>18</v>
      </c>
      <c r="I467" s="242">
        <v>68.930000000000007</v>
      </c>
    </row>
    <row r="468" spans="2:9" x14ac:dyDescent="0.25">
      <c r="B468" s="16"/>
      <c r="C468" s="241"/>
      <c r="D468" s="263" t="s">
        <v>566</v>
      </c>
      <c r="E468" s="230" t="s">
        <v>576</v>
      </c>
      <c r="F468" s="235">
        <v>41772</v>
      </c>
      <c r="G468" s="232">
        <v>1</v>
      </c>
      <c r="H468" s="233">
        <v>7.39</v>
      </c>
      <c r="I468" s="242">
        <v>14.03</v>
      </c>
    </row>
    <row r="469" spans="2:9" x14ac:dyDescent="0.25">
      <c r="B469" s="16"/>
      <c r="C469" s="241"/>
      <c r="D469" s="263" t="s">
        <v>529</v>
      </c>
      <c r="E469" s="230" t="s">
        <v>72</v>
      </c>
      <c r="F469" s="235">
        <v>40999</v>
      </c>
      <c r="G469" s="232">
        <v>1</v>
      </c>
      <c r="H469" s="233">
        <v>16.66</v>
      </c>
      <c r="I469" s="242">
        <v>49.23</v>
      </c>
    </row>
    <row r="470" spans="2:9" x14ac:dyDescent="0.25">
      <c r="B470" s="16"/>
      <c r="C470" s="241"/>
      <c r="D470" s="263" t="s">
        <v>380</v>
      </c>
      <c r="E470" s="230" t="s">
        <v>72</v>
      </c>
      <c r="F470" s="235">
        <v>41600</v>
      </c>
      <c r="G470" s="232">
        <v>1</v>
      </c>
      <c r="H470" s="233">
        <v>14.9</v>
      </c>
      <c r="I470" s="242">
        <v>41.33</v>
      </c>
    </row>
    <row r="471" spans="2:9" x14ac:dyDescent="0.25">
      <c r="B471" s="16"/>
      <c r="C471" s="241"/>
      <c r="D471" s="263" t="s">
        <v>455</v>
      </c>
      <c r="E471" s="230" t="s">
        <v>72</v>
      </c>
      <c r="F471" s="235">
        <v>40829</v>
      </c>
      <c r="G471" s="232">
        <v>1</v>
      </c>
      <c r="H471" s="233">
        <v>21.9</v>
      </c>
      <c r="I471" s="242">
        <v>70</v>
      </c>
    </row>
    <row r="472" spans="2:9" x14ac:dyDescent="0.25">
      <c r="B472" s="16"/>
      <c r="C472" s="241"/>
      <c r="D472" s="263" t="s">
        <v>719</v>
      </c>
      <c r="E472" s="230" t="s">
        <v>69</v>
      </c>
      <c r="F472" s="235">
        <v>42250</v>
      </c>
      <c r="G472" s="232">
        <v>1</v>
      </c>
      <c r="H472" s="233">
        <v>121.654</v>
      </c>
      <c r="I472" s="242">
        <v>409</v>
      </c>
    </row>
    <row r="473" spans="2:9" x14ac:dyDescent="0.25">
      <c r="B473" s="16"/>
      <c r="C473" s="241"/>
      <c r="D473" s="263" t="s">
        <v>720</v>
      </c>
      <c r="E473" s="230" t="s">
        <v>72</v>
      </c>
      <c r="F473" s="235">
        <v>42357</v>
      </c>
      <c r="G473" s="232">
        <v>1</v>
      </c>
      <c r="H473" s="233">
        <v>13.6</v>
      </c>
      <c r="I473" s="242">
        <v>37.159999999999997</v>
      </c>
    </row>
    <row r="474" spans="2:9" x14ac:dyDescent="0.25">
      <c r="B474" s="16"/>
      <c r="C474" s="241"/>
      <c r="D474" s="263" t="s">
        <v>721</v>
      </c>
      <c r="E474" s="230" t="s">
        <v>72</v>
      </c>
      <c r="F474" s="235">
        <v>42069</v>
      </c>
      <c r="G474" s="232">
        <v>1</v>
      </c>
      <c r="H474" s="233">
        <v>11.7</v>
      </c>
      <c r="I474" s="242">
        <v>33.08</v>
      </c>
    </row>
    <row r="475" spans="2:9" x14ac:dyDescent="0.25">
      <c r="B475" s="16"/>
      <c r="C475" s="241"/>
      <c r="D475" s="263" t="s">
        <v>722</v>
      </c>
      <c r="E475" s="230" t="s">
        <v>72</v>
      </c>
      <c r="F475" s="235">
        <v>42103</v>
      </c>
      <c r="G475" s="232">
        <v>1</v>
      </c>
      <c r="H475" s="233">
        <v>6.93</v>
      </c>
      <c r="I475" s="242">
        <v>19.190000000000001</v>
      </c>
    </row>
    <row r="476" spans="2:9" ht="15.75" thickBot="1" x14ac:dyDescent="0.3">
      <c r="B476" s="16"/>
      <c r="C476" s="241"/>
      <c r="D476" s="263" t="s">
        <v>723</v>
      </c>
      <c r="E476" s="230" t="s">
        <v>72</v>
      </c>
      <c r="F476" s="231">
        <v>1960</v>
      </c>
      <c r="G476" s="252">
        <v>1</v>
      </c>
      <c r="H476" s="253">
        <v>26.2</v>
      </c>
      <c r="I476" s="254">
        <v>100</v>
      </c>
    </row>
    <row r="477" spans="2:9" ht="15.75" thickBot="1" x14ac:dyDescent="0.3">
      <c r="B477" s="17"/>
      <c r="C477" s="82" t="s">
        <v>626</v>
      </c>
      <c r="D477" s="256"/>
      <c r="E477" s="256"/>
      <c r="F477" s="265"/>
      <c r="G477" s="244">
        <v>24</v>
      </c>
      <c r="H477" s="245">
        <v>739.77</v>
      </c>
      <c r="I477" s="246">
        <v>2473.3199999999993</v>
      </c>
    </row>
    <row r="478" spans="2:9" x14ac:dyDescent="0.25">
      <c r="B478" s="80" t="s">
        <v>115</v>
      </c>
      <c r="C478" s="81" t="s">
        <v>26</v>
      </c>
      <c r="D478" s="228" t="s">
        <v>491</v>
      </c>
      <c r="E478" s="236" t="s">
        <v>69</v>
      </c>
      <c r="F478" s="266">
        <v>41266</v>
      </c>
      <c r="G478" s="238">
        <v>1</v>
      </c>
      <c r="H478" s="239">
        <v>48.6</v>
      </c>
      <c r="I478" s="240">
        <v>181.25</v>
      </c>
    </row>
    <row r="479" spans="2:9" x14ac:dyDescent="0.25">
      <c r="B479" s="16"/>
      <c r="C479" s="241"/>
      <c r="D479" s="263" t="s">
        <v>407</v>
      </c>
      <c r="E479" s="230" t="s">
        <v>72</v>
      </c>
      <c r="F479" s="235">
        <v>40593</v>
      </c>
      <c r="G479" s="232">
        <v>1</v>
      </c>
      <c r="H479" s="233">
        <v>6.98</v>
      </c>
      <c r="I479" s="242">
        <v>24.51</v>
      </c>
    </row>
    <row r="480" spans="2:9" x14ac:dyDescent="0.25">
      <c r="B480" s="16"/>
      <c r="C480" s="241"/>
      <c r="D480" s="263" t="s">
        <v>408</v>
      </c>
      <c r="E480" s="230" t="s">
        <v>72</v>
      </c>
      <c r="F480" s="231">
        <v>2008</v>
      </c>
      <c r="G480" s="232">
        <v>1</v>
      </c>
      <c r="H480" s="233">
        <v>12.63</v>
      </c>
      <c r="I480" s="242">
        <v>37.26</v>
      </c>
    </row>
    <row r="481" spans="2:9" x14ac:dyDescent="0.25">
      <c r="B481" s="16"/>
      <c r="C481" s="241"/>
      <c r="D481" s="263" t="s">
        <v>183</v>
      </c>
      <c r="E481" s="230" t="s">
        <v>72</v>
      </c>
      <c r="F481" s="231">
        <v>2001</v>
      </c>
      <c r="G481" s="232">
        <v>1</v>
      </c>
      <c r="H481" s="233">
        <v>2.64</v>
      </c>
      <c r="I481" s="242">
        <v>11</v>
      </c>
    </row>
    <row r="482" spans="2:9" x14ac:dyDescent="0.25">
      <c r="B482" s="16"/>
      <c r="C482" s="241"/>
      <c r="D482" s="263" t="s">
        <v>297</v>
      </c>
      <c r="E482" s="230" t="s">
        <v>72</v>
      </c>
      <c r="F482" s="235">
        <v>40697</v>
      </c>
      <c r="G482" s="232">
        <v>1</v>
      </c>
      <c r="H482" s="233">
        <v>4.0999999999999996</v>
      </c>
      <c r="I482" s="242">
        <v>24.27</v>
      </c>
    </row>
    <row r="483" spans="2:9" x14ac:dyDescent="0.25">
      <c r="B483" s="16"/>
      <c r="C483" s="241"/>
      <c r="D483" s="263" t="s">
        <v>428</v>
      </c>
      <c r="E483" s="230" t="s">
        <v>72</v>
      </c>
      <c r="F483" s="231">
        <v>2009</v>
      </c>
      <c r="G483" s="232">
        <v>1</v>
      </c>
      <c r="H483" s="233">
        <v>5.76</v>
      </c>
      <c r="I483" s="242">
        <v>41.96</v>
      </c>
    </row>
    <row r="484" spans="2:9" x14ac:dyDescent="0.25">
      <c r="B484" s="16"/>
      <c r="C484" s="241"/>
      <c r="D484" s="263" t="s">
        <v>184</v>
      </c>
      <c r="E484" s="230" t="s">
        <v>72</v>
      </c>
      <c r="F484" s="231">
        <v>2001</v>
      </c>
      <c r="G484" s="232">
        <v>1</v>
      </c>
      <c r="H484" s="233">
        <v>8.94</v>
      </c>
      <c r="I484" s="242">
        <v>32</v>
      </c>
    </row>
    <row r="485" spans="2:9" x14ac:dyDescent="0.25">
      <c r="B485" s="16"/>
      <c r="C485" s="241"/>
      <c r="D485" s="263" t="s">
        <v>564</v>
      </c>
      <c r="E485" s="230" t="s">
        <v>576</v>
      </c>
      <c r="F485" s="235">
        <v>41754</v>
      </c>
      <c r="G485" s="232">
        <v>1</v>
      </c>
      <c r="H485" s="233">
        <v>9.7620000000000005</v>
      </c>
      <c r="I485" s="242">
        <v>23.28</v>
      </c>
    </row>
    <row r="486" spans="2:9" x14ac:dyDescent="0.25">
      <c r="B486" s="16"/>
      <c r="C486" s="241"/>
      <c r="D486" s="263" t="s">
        <v>369</v>
      </c>
      <c r="E486" s="230" t="s">
        <v>72</v>
      </c>
      <c r="F486" s="235">
        <v>40717</v>
      </c>
      <c r="G486" s="232">
        <v>1</v>
      </c>
      <c r="H486" s="233">
        <v>12.416</v>
      </c>
      <c r="I486" s="242">
        <v>44.52</v>
      </c>
    </row>
    <row r="487" spans="2:9" x14ac:dyDescent="0.25">
      <c r="B487" s="16"/>
      <c r="C487" s="241"/>
      <c r="D487" s="263" t="s">
        <v>384</v>
      </c>
      <c r="E487" s="230" t="s">
        <v>72</v>
      </c>
      <c r="F487" s="231">
        <v>2005</v>
      </c>
      <c r="G487" s="232">
        <v>1</v>
      </c>
      <c r="H487" s="233">
        <v>14.02</v>
      </c>
      <c r="I487" s="242">
        <v>44.18</v>
      </c>
    </row>
    <row r="488" spans="2:9" ht="15.75" thickBot="1" x14ac:dyDescent="0.3">
      <c r="B488" s="16"/>
      <c r="C488" s="241"/>
      <c r="D488" s="263" t="s">
        <v>724</v>
      </c>
      <c r="E488" s="230" t="s">
        <v>69</v>
      </c>
      <c r="F488" s="235">
        <v>41266</v>
      </c>
      <c r="G488" s="252">
        <v>1</v>
      </c>
      <c r="H488" s="253">
        <v>140.62</v>
      </c>
      <c r="I488" s="254">
        <v>502.72</v>
      </c>
    </row>
    <row r="489" spans="2:9" ht="15.75" thickBot="1" x14ac:dyDescent="0.3">
      <c r="B489" s="17"/>
      <c r="C489" s="82" t="s">
        <v>627</v>
      </c>
      <c r="D489" s="256"/>
      <c r="E489" s="256"/>
      <c r="F489" s="265"/>
      <c r="G489" s="244">
        <v>11</v>
      </c>
      <c r="H489" s="245">
        <v>266.46799999999996</v>
      </c>
      <c r="I489" s="246">
        <v>966.95</v>
      </c>
    </row>
    <row r="490" spans="2:9" x14ac:dyDescent="0.25">
      <c r="B490" s="80" t="s">
        <v>116</v>
      </c>
      <c r="C490" s="81" t="s">
        <v>14</v>
      </c>
      <c r="D490" s="228" t="s">
        <v>174</v>
      </c>
      <c r="E490" s="236" t="s">
        <v>72</v>
      </c>
      <c r="F490" s="237">
        <v>1950</v>
      </c>
      <c r="G490" s="238">
        <v>1</v>
      </c>
      <c r="H490" s="239">
        <v>0.39600000000000002</v>
      </c>
      <c r="I490" s="240">
        <v>1.25</v>
      </c>
    </row>
    <row r="491" spans="2:9" x14ac:dyDescent="0.25">
      <c r="B491" s="16"/>
      <c r="C491" s="241"/>
      <c r="D491" s="263" t="s">
        <v>216</v>
      </c>
      <c r="E491" s="230" t="s">
        <v>72</v>
      </c>
      <c r="F491" s="231">
        <v>2010</v>
      </c>
      <c r="G491" s="232">
        <v>1</v>
      </c>
      <c r="H491" s="233">
        <v>14.63</v>
      </c>
      <c r="I491" s="242">
        <v>60</v>
      </c>
    </row>
    <row r="492" spans="2:9" ht="15.75" thickBot="1" x14ac:dyDescent="0.3">
      <c r="B492" s="16"/>
      <c r="C492" s="241"/>
      <c r="D492" s="263" t="s">
        <v>459</v>
      </c>
      <c r="E492" s="230" t="s">
        <v>72</v>
      </c>
      <c r="F492" s="235">
        <v>41180</v>
      </c>
      <c r="G492" s="252">
        <v>1</v>
      </c>
      <c r="H492" s="253">
        <v>10.677</v>
      </c>
      <c r="I492" s="254">
        <v>33.299999999999997</v>
      </c>
    </row>
    <row r="493" spans="2:9" ht="15.75" thickBot="1" x14ac:dyDescent="0.3">
      <c r="B493" s="17"/>
      <c r="C493" s="82" t="s">
        <v>628</v>
      </c>
      <c r="D493" s="256"/>
      <c r="E493" s="256"/>
      <c r="F493" s="265"/>
      <c r="G493" s="244">
        <v>3</v>
      </c>
      <c r="H493" s="245">
        <v>25.703000000000003</v>
      </c>
      <c r="I493" s="246">
        <v>94.55</v>
      </c>
    </row>
    <row r="494" spans="2:9" x14ac:dyDescent="0.25">
      <c r="B494" s="80" t="s">
        <v>117</v>
      </c>
      <c r="C494" s="81" t="s">
        <v>39</v>
      </c>
      <c r="D494" s="228" t="s">
        <v>152</v>
      </c>
      <c r="E494" s="236" t="s">
        <v>72</v>
      </c>
      <c r="F494" s="237">
        <v>1966</v>
      </c>
      <c r="G494" s="238">
        <v>1</v>
      </c>
      <c r="H494" s="239">
        <v>6.2399999999999997E-2</v>
      </c>
      <c r="I494" s="240">
        <v>0.3</v>
      </c>
    </row>
    <row r="495" spans="2:9" x14ac:dyDescent="0.25">
      <c r="B495" s="16"/>
      <c r="C495" s="241"/>
      <c r="D495" s="263" t="s">
        <v>225</v>
      </c>
      <c r="E495" s="230" t="s">
        <v>72</v>
      </c>
      <c r="F495" s="235">
        <v>41110</v>
      </c>
      <c r="G495" s="232">
        <v>1</v>
      </c>
      <c r="H495" s="233">
        <v>1.843</v>
      </c>
      <c r="I495" s="242">
        <v>11.25</v>
      </c>
    </row>
    <row r="496" spans="2:9" x14ac:dyDescent="0.25">
      <c r="B496" s="16"/>
      <c r="C496" s="241"/>
      <c r="D496" s="263" t="s">
        <v>288</v>
      </c>
      <c r="E496" s="230" t="s">
        <v>576</v>
      </c>
      <c r="F496" s="235">
        <v>41726</v>
      </c>
      <c r="G496" s="232">
        <v>1</v>
      </c>
      <c r="H496" s="233">
        <v>17.100000000000001</v>
      </c>
      <c r="I496" s="242">
        <v>50.78</v>
      </c>
    </row>
    <row r="497" spans="2:9" x14ac:dyDescent="0.25">
      <c r="B497" s="16"/>
      <c r="C497" s="241"/>
      <c r="D497" s="263" t="s">
        <v>325</v>
      </c>
      <c r="E497" s="230" t="s">
        <v>72</v>
      </c>
      <c r="F497" s="235">
        <v>41110</v>
      </c>
      <c r="G497" s="232">
        <v>1</v>
      </c>
      <c r="H497" s="233">
        <v>30.6</v>
      </c>
      <c r="I497" s="242">
        <v>107.8</v>
      </c>
    </row>
    <row r="498" spans="2:9" x14ac:dyDescent="0.25">
      <c r="B498" s="16"/>
      <c r="C498" s="241"/>
      <c r="D498" s="263" t="s">
        <v>443</v>
      </c>
      <c r="E498" s="230" t="s">
        <v>69</v>
      </c>
      <c r="F498" s="235">
        <v>40828</v>
      </c>
      <c r="G498" s="232">
        <v>1</v>
      </c>
      <c r="H498" s="233">
        <v>33.11</v>
      </c>
      <c r="I498" s="242">
        <v>141.35</v>
      </c>
    </row>
    <row r="499" spans="2:9" x14ac:dyDescent="0.25">
      <c r="B499" s="16"/>
      <c r="C499" s="241"/>
      <c r="D499" s="263" t="s">
        <v>349</v>
      </c>
      <c r="E499" s="230" t="s">
        <v>72</v>
      </c>
      <c r="F499" s="235">
        <v>41481</v>
      </c>
      <c r="G499" s="232">
        <v>1</v>
      </c>
      <c r="H499" s="233">
        <v>21.436</v>
      </c>
      <c r="I499" s="242">
        <v>79.760000000000005</v>
      </c>
    </row>
    <row r="500" spans="2:9" x14ac:dyDescent="0.25">
      <c r="B500" s="16"/>
      <c r="C500" s="241"/>
      <c r="D500" s="263" t="s">
        <v>563</v>
      </c>
      <c r="E500" s="230" t="s">
        <v>576</v>
      </c>
      <c r="F500" s="235">
        <v>41901</v>
      </c>
      <c r="G500" s="232">
        <v>1</v>
      </c>
      <c r="H500" s="233">
        <v>28.96</v>
      </c>
      <c r="I500" s="242">
        <v>82.180999999999997</v>
      </c>
    </row>
    <row r="501" spans="2:9" ht="15.75" thickBot="1" x14ac:dyDescent="0.3">
      <c r="B501" s="16"/>
      <c r="C501" s="241"/>
      <c r="D501" s="263" t="s">
        <v>733</v>
      </c>
      <c r="E501" s="230" t="s">
        <v>72</v>
      </c>
      <c r="F501" s="231">
        <v>1948</v>
      </c>
      <c r="G501" s="252">
        <v>1</v>
      </c>
      <c r="H501" s="253">
        <v>0.4</v>
      </c>
      <c r="I501" s="254">
        <v>0.8</v>
      </c>
    </row>
    <row r="502" spans="2:9" ht="15.75" thickBot="1" x14ac:dyDescent="0.3">
      <c r="B502" s="17"/>
      <c r="C502" s="82" t="s">
        <v>629</v>
      </c>
      <c r="D502" s="256"/>
      <c r="E502" s="256"/>
      <c r="F502" s="265"/>
      <c r="G502" s="244">
        <v>8</v>
      </c>
      <c r="H502" s="245">
        <v>133.51140000000001</v>
      </c>
      <c r="I502" s="246">
        <v>474.221</v>
      </c>
    </row>
    <row r="503" spans="2:9" ht="15.75" thickBot="1" x14ac:dyDescent="0.3">
      <c r="B503" s="80" t="s">
        <v>136</v>
      </c>
      <c r="C503" s="81" t="s">
        <v>34</v>
      </c>
      <c r="D503" s="228" t="s">
        <v>196</v>
      </c>
      <c r="E503" s="236" t="s">
        <v>75</v>
      </c>
      <c r="F503" s="237">
        <v>2002</v>
      </c>
      <c r="G503" s="260">
        <v>1</v>
      </c>
      <c r="H503" s="83">
        <v>11.1</v>
      </c>
      <c r="I503" s="275">
        <v>50</v>
      </c>
    </row>
    <row r="504" spans="2:9" ht="15.75" thickBot="1" x14ac:dyDescent="0.3">
      <c r="B504" s="17"/>
      <c r="C504" s="82" t="s">
        <v>630</v>
      </c>
      <c r="D504" s="256"/>
      <c r="E504" s="256"/>
      <c r="F504" s="265"/>
      <c r="G504" s="244">
        <v>1</v>
      </c>
      <c r="H504" s="245">
        <v>11.1</v>
      </c>
      <c r="I504" s="246">
        <v>50</v>
      </c>
    </row>
    <row r="505" spans="2:9" x14ac:dyDescent="0.25">
      <c r="B505" s="80" t="s">
        <v>137</v>
      </c>
      <c r="C505" s="81" t="s">
        <v>8</v>
      </c>
      <c r="D505" s="228" t="s">
        <v>436</v>
      </c>
      <c r="E505" s="236" t="s">
        <v>72</v>
      </c>
      <c r="F505" s="266">
        <v>41473</v>
      </c>
      <c r="G505" s="238">
        <v>1</v>
      </c>
      <c r="H505" s="239">
        <v>11.157</v>
      </c>
      <c r="I505" s="240">
        <v>40</v>
      </c>
    </row>
    <row r="506" spans="2:9" x14ac:dyDescent="0.25">
      <c r="B506" s="16"/>
      <c r="C506" s="241"/>
      <c r="D506" s="263" t="s">
        <v>526</v>
      </c>
      <c r="E506" s="230" t="s">
        <v>72</v>
      </c>
      <c r="F506" s="235">
        <v>40563</v>
      </c>
      <c r="G506" s="232">
        <v>1</v>
      </c>
      <c r="H506" s="233">
        <v>6.13</v>
      </c>
      <c r="I506" s="242">
        <v>22.32</v>
      </c>
    </row>
    <row r="507" spans="2:9" x14ac:dyDescent="0.25">
      <c r="B507" s="16"/>
      <c r="C507" s="241"/>
      <c r="D507" s="263" t="s">
        <v>725</v>
      </c>
      <c r="E507" s="230" t="s">
        <v>72</v>
      </c>
      <c r="F507" s="235">
        <v>42264</v>
      </c>
      <c r="G507" s="232">
        <v>1</v>
      </c>
      <c r="H507" s="233">
        <v>8.7799999999999994</v>
      </c>
      <c r="I507" s="242">
        <v>21.26</v>
      </c>
    </row>
    <row r="508" spans="2:9" ht="15.75" thickBot="1" x14ac:dyDescent="0.3">
      <c r="B508" s="16"/>
      <c r="C508" s="241"/>
      <c r="D508" s="263" t="s">
        <v>726</v>
      </c>
      <c r="E508" s="230" t="s">
        <v>69</v>
      </c>
      <c r="F508" s="235">
        <v>42127</v>
      </c>
      <c r="G508" s="252">
        <v>1</v>
      </c>
      <c r="H508" s="253">
        <v>84.680999999999997</v>
      </c>
      <c r="I508" s="254">
        <v>304.48</v>
      </c>
    </row>
    <row r="509" spans="2:9" ht="15.75" thickBot="1" x14ac:dyDescent="0.3">
      <c r="B509" s="17"/>
      <c r="C509" s="82" t="s">
        <v>631</v>
      </c>
      <c r="D509" s="256"/>
      <c r="E509" s="256"/>
      <c r="F509" s="265"/>
      <c r="G509" s="244">
        <v>4</v>
      </c>
      <c r="H509" s="245">
        <v>110.74799999999999</v>
      </c>
      <c r="I509" s="246">
        <v>388.06</v>
      </c>
    </row>
    <row r="510" spans="2:9" x14ac:dyDescent="0.25">
      <c r="B510" s="80" t="s">
        <v>118</v>
      </c>
      <c r="C510" s="81" t="s">
        <v>46</v>
      </c>
      <c r="D510" s="228" t="s">
        <v>541</v>
      </c>
      <c r="E510" s="236" t="s">
        <v>576</v>
      </c>
      <c r="F510" s="266">
        <v>41719</v>
      </c>
      <c r="G510" s="238">
        <v>1</v>
      </c>
      <c r="H510" s="239">
        <v>3.5</v>
      </c>
      <c r="I510" s="240">
        <v>12.92</v>
      </c>
    </row>
    <row r="511" spans="2:9" x14ac:dyDescent="0.25">
      <c r="B511" s="16"/>
      <c r="C511" s="241"/>
      <c r="D511" s="263" t="s">
        <v>161</v>
      </c>
      <c r="E511" s="230" t="s">
        <v>72</v>
      </c>
      <c r="F511" s="231">
        <v>1961</v>
      </c>
      <c r="G511" s="232">
        <v>1</v>
      </c>
      <c r="H511" s="233">
        <v>4.5</v>
      </c>
      <c r="I511" s="242">
        <v>2</v>
      </c>
    </row>
    <row r="512" spans="2:9" x14ac:dyDescent="0.25">
      <c r="B512" s="16"/>
      <c r="C512" s="241"/>
      <c r="D512" s="263" t="s">
        <v>160</v>
      </c>
      <c r="E512" s="230" t="s">
        <v>72</v>
      </c>
      <c r="F512" s="231">
        <v>1972</v>
      </c>
      <c r="G512" s="232">
        <v>1</v>
      </c>
      <c r="H512" s="233">
        <v>0.32</v>
      </c>
      <c r="I512" s="242">
        <v>1.6</v>
      </c>
    </row>
    <row r="513" spans="2:9" x14ac:dyDescent="0.25">
      <c r="B513" s="16"/>
      <c r="C513" s="241"/>
      <c r="D513" s="263" t="s">
        <v>419</v>
      </c>
      <c r="E513" s="230" t="s">
        <v>72</v>
      </c>
      <c r="F513" s="231">
        <v>2009</v>
      </c>
      <c r="G513" s="232">
        <v>1</v>
      </c>
      <c r="H513" s="233">
        <v>13.03</v>
      </c>
      <c r="I513" s="242">
        <v>52</v>
      </c>
    </row>
    <row r="514" spans="2:9" x14ac:dyDescent="0.25">
      <c r="B514" s="16"/>
      <c r="C514" s="241"/>
      <c r="D514" s="263" t="s">
        <v>506</v>
      </c>
      <c r="E514" s="230" t="s">
        <v>72</v>
      </c>
      <c r="F514" s="231">
        <v>1961</v>
      </c>
      <c r="G514" s="232">
        <v>1</v>
      </c>
      <c r="H514" s="233">
        <v>7.24</v>
      </c>
      <c r="I514" s="242">
        <v>44</v>
      </c>
    </row>
    <row r="515" spans="2:9" x14ac:dyDescent="0.25">
      <c r="B515" s="16"/>
      <c r="C515" s="241"/>
      <c r="D515" s="263" t="s">
        <v>489</v>
      </c>
      <c r="E515" s="230" t="s">
        <v>72</v>
      </c>
      <c r="F515" s="231">
        <v>2004</v>
      </c>
      <c r="G515" s="232">
        <v>1</v>
      </c>
      <c r="H515" s="233">
        <v>13.34</v>
      </c>
      <c r="I515" s="242">
        <v>88</v>
      </c>
    </row>
    <row r="516" spans="2:9" x14ac:dyDescent="0.25">
      <c r="B516" s="16"/>
      <c r="C516" s="241"/>
      <c r="D516" s="263" t="s">
        <v>305</v>
      </c>
      <c r="E516" s="230" t="s">
        <v>72</v>
      </c>
      <c r="F516" s="231">
        <v>2008</v>
      </c>
      <c r="G516" s="232">
        <v>1</v>
      </c>
      <c r="H516" s="233">
        <v>8.6739999999999995</v>
      </c>
      <c r="I516" s="242">
        <v>25.015000000000001</v>
      </c>
    </row>
    <row r="517" spans="2:9" x14ac:dyDescent="0.25">
      <c r="B517" s="16"/>
      <c r="C517" s="241"/>
      <c r="D517" s="263" t="s">
        <v>341</v>
      </c>
      <c r="E517" s="230" t="s">
        <v>72</v>
      </c>
      <c r="F517" s="235">
        <v>40963</v>
      </c>
      <c r="G517" s="232">
        <v>1</v>
      </c>
      <c r="H517" s="233">
        <v>0.74</v>
      </c>
      <c r="I517" s="242">
        <v>4</v>
      </c>
    </row>
    <row r="518" spans="2:9" ht="15.75" thickBot="1" x14ac:dyDescent="0.3">
      <c r="B518" s="16"/>
      <c r="C518" s="241"/>
      <c r="D518" s="263" t="s">
        <v>185</v>
      </c>
      <c r="E518" s="230" t="s">
        <v>72</v>
      </c>
      <c r="F518" s="231">
        <v>1998</v>
      </c>
      <c r="G518" s="252">
        <v>1</v>
      </c>
      <c r="H518" s="253">
        <v>12.5</v>
      </c>
      <c r="I518" s="254">
        <v>59</v>
      </c>
    </row>
    <row r="519" spans="2:9" ht="15.75" thickBot="1" x14ac:dyDescent="0.3">
      <c r="B519" s="17"/>
      <c r="C519" s="82" t="s">
        <v>632</v>
      </c>
      <c r="D519" s="256"/>
      <c r="E519" s="256"/>
      <c r="F519" s="265"/>
      <c r="G519" s="244">
        <v>9</v>
      </c>
      <c r="H519" s="245">
        <v>63.844000000000008</v>
      </c>
      <c r="I519" s="246">
        <v>288.53499999999997</v>
      </c>
    </row>
    <row r="520" spans="2:9" x14ac:dyDescent="0.25">
      <c r="B520" s="80" t="s">
        <v>119</v>
      </c>
      <c r="C520" s="81" t="s">
        <v>25</v>
      </c>
      <c r="D520" s="228" t="s">
        <v>467</v>
      </c>
      <c r="E520" s="236" t="s">
        <v>72</v>
      </c>
      <c r="F520" s="237">
        <v>1957</v>
      </c>
      <c r="G520" s="238">
        <v>1</v>
      </c>
      <c r="H520" s="239">
        <v>20.12</v>
      </c>
      <c r="I520" s="240">
        <v>40</v>
      </c>
    </row>
    <row r="521" spans="2:9" x14ac:dyDescent="0.25">
      <c r="B521" s="16"/>
      <c r="C521" s="241"/>
      <c r="D521" s="263" t="s">
        <v>472</v>
      </c>
      <c r="E521" s="230" t="s">
        <v>72</v>
      </c>
      <c r="F521" s="231">
        <v>1967</v>
      </c>
      <c r="G521" s="232">
        <v>1</v>
      </c>
      <c r="H521" s="233">
        <v>10</v>
      </c>
      <c r="I521" s="242">
        <v>20</v>
      </c>
    </row>
    <row r="522" spans="2:9" x14ac:dyDescent="0.25">
      <c r="B522" s="16"/>
      <c r="C522" s="241"/>
      <c r="D522" s="263" t="s">
        <v>304</v>
      </c>
      <c r="E522" s="230" t="s">
        <v>72</v>
      </c>
      <c r="F522" s="231">
        <v>2007</v>
      </c>
      <c r="G522" s="232">
        <v>1</v>
      </c>
      <c r="H522" s="233">
        <v>5.375</v>
      </c>
      <c r="I522" s="242">
        <v>31.68</v>
      </c>
    </row>
    <row r="523" spans="2:9" x14ac:dyDescent="0.25">
      <c r="B523" s="16"/>
      <c r="C523" s="241"/>
      <c r="D523" s="263" t="s">
        <v>525</v>
      </c>
      <c r="E523" s="230" t="s">
        <v>69</v>
      </c>
      <c r="F523" s="231">
        <v>2008</v>
      </c>
      <c r="G523" s="232">
        <v>1</v>
      </c>
      <c r="H523" s="233">
        <v>56.84</v>
      </c>
      <c r="I523" s="242">
        <v>161</v>
      </c>
    </row>
    <row r="524" spans="2:9" x14ac:dyDescent="0.25">
      <c r="B524" s="16"/>
      <c r="C524" s="241"/>
      <c r="D524" s="263" t="s">
        <v>448</v>
      </c>
      <c r="E524" s="230" t="s">
        <v>69</v>
      </c>
      <c r="F524" s="235">
        <v>41621</v>
      </c>
      <c r="G524" s="232">
        <v>1</v>
      </c>
      <c r="H524" s="233">
        <v>128.22</v>
      </c>
      <c r="I524" s="242">
        <v>364.25200000000001</v>
      </c>
    </row>
    <row r="525" spans="2:9" x14ac:dyDescent="0.25">
      <c r="B525" s="16"/>
      <c r="C525" s="241"/>
      <c r="D525" s="263" t="s">
        <v>727</v>
      </c>
      <c r="E525" s="230" t="s">
        <v>69</v>
      </c>
      <c r="F525" s="235">
        <v>42111</v>
      </c>
      <c r="G525" s="232">
        <v>1</v>
      </c>
      <c r="H525" s="233">
        <v>582.1</v>
      </c>
      <c r="I525" s="242">
        <v>1294.3499999999999</v>
      </c>
    </row>
    <row r="526" spans="2:9" ht="15.75" thickBot="1" x14ac:dyDescent="0.3">
      <c r="B526" s="16"/>
      <c r="C526" s="241"/>
      <c r="D526" s="263" t="s">
        <v>728</v>
      </c>
      <c r="E526" s="230" t="s">
        <v>69</v>
      </c>
      <c r="F526" s="231">
        <v>2008</v>
      </c>
      <c r="G526" s="252">
        <v>1</v>
      </c>
      <c r="H526" s="253">
        <v>127.34</v>
      </c>
      <c r="I526" s="254">
        <v>404.99</v>
      </c>
    </row>
    <row r="527" spans="2:9" ht="15.75" thickBot="1" x14ac:dyDescent="0.3">
      <c r="B527" s="17"/>
      <c r="C527" s="82" t="s">
        <v>633</v>
      </c>
      <c r="D527" s="256"/>
      <c r="E527" s="256"/>
      <c r="F527" s="265"/>
      <c r="G527" s="244">
        <v>7</v>
      </c>
      <c r="H527" s="245">
        <v>929.995</v>
      </c>
      <c r="I527" s="246">
        <v>2316.2719999999999</v>
      </c>
    </row>
    <row r="528" spans="2:9" x14ac:dyDescent="0.25">
      <c r="B528" s="80" t="s">
        <v>120</v>
      </c>
      <c r="C528" s="81" t="s">
        <v>16</v>
      </c>
      <c r="D528" s="228" t="s">
        <v>340</v>
      </c>
      <c r="E528" s="236" t="s">
        <v>72</v>
      </c>
      <c r="F528" s="266">
        <v>41472</v>
      </c>
      <c r="G528" s="238">
        <v>1</v>
      </c>
      <c r="H528" s="239">
        <v>18.725000000000001</v>
      </c>
      <c r="I528" s="240">
        <v>55</v>
      </c>
    </row>
    <row r="529" spans="2:9" x14ac:dyDescent="0.25">
      <c r="B529" s="16"/>
      <c r="C529" s="241"/>
      <c r="D529" s="263" t="s">
        <v>457</v>
      </c>
      <c r="E529" s="230" t="s">
        <v>69</v>
      </c>
      <c r="F529" s="235">
        <v>41061</v>
      </c>
      <c r="G529" s="232">
        <v>1</v>
      </c>
      <c r="H529" s="233">
        <v>22.71</v>
      </c>
      <c r="I529" s="242">
        <v>72</v>
      </c>
    </row>
    <row r="530" spans="2:9" ht="15.75" thickBot="1" x14ac:dyDescent="0.3">
      <c r="B530" s="16"/>
      <c r="C530" s="241"/>
      <c r="D530" s="263" t="s">
        <v>729</v>
      </c>
      <c r="E530" s="230" t="s">
        <v>72</v>
      </c>
      <c r="F530" s="235">
        <v>42193</v>
      </c>
      <c r="G530" s="252">
        <v>1</v>
      </c>
      <c r="H530" s="253">
        <v>10.000999999999999</v>
      </c>
      <c r="I530" s="254">
        <v>23.98</v>
      </c>
    </row>
    <row r="531" spans="2:9" ht="15.75" thickBot="1" x14ac:dyDescent="0.3">
      <c r="B531" s="17"/>
      <c r="C531" s="82" t="s">
        <v>634</v>
      </c>
      <c r="D531" s="256"/>
      <c r="E531" s="256"/>
      <c r="F531" s="265"/>
      <c r="G531" s="244">
        <v>3</v>
      </c>
      <c r="H531" s="245">
        <v>51.436</v>
      </c>
      <c r="I531" s="246">
        <v>150.97999999999999</v>
      </c>
    </row>
    <row r="532" spans="2:9" x14ac:dyDescent="0.25">
      <c r="B532" s="80" t="s">
        <v>121</v>
      </c>
      <c r="C532" s="81" t="s">
        <v>62</v>
      </c>
      <c r="D532" s="228" t="s">
        <v>162</v>
      </c>
      <c r="E532" s="236" t="s">
        <v>72</v>
      </c>
      <c r="F532" s="237">
        <v>1961</v>
      </c>
      <c r="G532" s="238">
        <v>1</v>
      </c>
      <c r="H532" s="239">
        <v>0.12</v>
      </c>
      <c r="I532" s="240">
        <v>0.75</v>
      </c>
    </row>
    <row r="533" spans="2:9" x14ac:dyDescent="0.25">
      <c r="B533" s="16"/>
      <c r="C533" s="241"/>
      <c r="D533" s="263" t="s">
        <v>497</v>
      </c>
      <c r="E533" s="230" t="s">
        <v>72</v>
      </c>
      <c r="F533" s="231">
        <v>2003</v>
      </c>
      <c r="G533" s="232">
        <v>1</v>
      </c>
      <c r="H533" s="233">
        <v>4.4400000000000004</v>
      </c>
      <c r="I533" s="242">
        <v>16</v>
      </c>
    </row>
    <row r="534" spans="2:9" ht="15.75" thickBot="1" x14ac:dyDescent="0.3">
      <c r="B534" s="16"/>
      <c r="C534" s="241"/>
      <c r="D534" s="263" t="s">
        <v>453</v>
      </c>
      <c r="E534" s="230" t="s">
        <v>69</v>
      </c>
      <c r="F534" s="231">
        <v>2009</v>
      </c>
      <c r="G534" s="252">
        <v>1</v>
      </c>
      <c r="H534" s="253">
        <v>82</v>
      </c>
      <c r="I534" s="254">
        <v>322</v>
      </c>
    </row>
    <row r="535" spans="2:9" ht="15.75" thickBot="1" x14ac:dyDescent="0.3">
      <c r="B535" s="17"/>
      <c r="C535" s="82" t="s">
        <v>635</v>
      </c>
      <c r="D535" s="256"/>
      <c r="E535" s="256"/>
      <c r="F535" s="265"/>
      <c r="G535" s="244">
        <v>3</v>
      </c>
      <c r="H535" s="245">
        <v>86.56</v>
      </c>
      <c r="I535" s="246">
        <v>338.75</v>
      </c>
    </row>
    <row r="536" spans="2:9" x14ac:dyDescent="0.25">
      <c r="B536" s="80" t="s">
        <v>122</v>
      </c>
      <c r="C536" s="81" t="s">
        <v>63</v>
      </c>
      <c r="D536" s="228" t="s">
        <v>519</v>
      </c>
      <c r="E536" s="236" t="s">
        <v>72</v>
      </c>
      <c r="F536" s="266">
        <v>40780</v>
      </c>
      <c r="G536" s="238">
        <v>1</v>
      </c>
      <c r="H536" s="239">
        <v>41.454000000000001</v>
      </c>
      <c r="I536" s="240">
        <v>170</v>
      </c>
    </row>
    <row r="537" spans="2:9" ht="15.75" thickBot="1" x14ac:dyDescent="0.3">
      <c r="B537" s="16"/>
      <c r="C537" s="241"/>
      <c r="D537" s="263" t="s">
        <v>345</v>
      </c>
      <c r="E537" s="230" t="s">
        <v>72</v>
      </c>
      <c r="F537" s="231">
        <v>2010</v>
      </c>
      <c r="G537" s="252">
        <v>1</v>
      </c>
      <c r="H537" s="253">
        <v>3.31</v>
      </c>
      <c r="I537" s="254">
        <v>10.199999999999999</v>
      </c>
    </row>
    <row r="538" spans="2:9" ht="15.75" thickBot="1" x14ac:dyDescent="0.3">
      <c r="B538" s="17"/>
      <c r="C538" s="82" t="s">
        <v>636</v>
      </c>
      <c r="D538" s="256"/>
      <c r="E538" s="256"/>
      <c r="F538" s="265"/>
      <c r="G538" s="244">
        <v>2</v>
      </c>
      <c r="H538" s="245">
        <v>44.764000000000003</v>
      </c>
      <c r="I538" s="246">
        <v>180.2</v>
      </c>
    </row>
    <row r="539" spans="2:9" x14ac:dyDescent="0.25">
      <c r="B539" s="80" t="s">
        <v>123</v>
      </c>
      <c r="C539" s="81" t="s">
        <v>49</v>
      </c>
      <c r="D539" s="228" t="s">
        <v>557</v>
      </c>
      <c r="E539" s="236" t="s">
        <v>576</v>
      </c>
      <c r="F539" s="266">
        <v>41740</v>
      </c>
      <c r="G539" s="238">
        <v>1</v>
      </c>
      <c r="H539" s="239">
        <v>3.75</v>
      </c>
      <c r="I539" s="240">
        <v>11.43</v>
      </c>
    </row>
    <row r="540" spans="2:9" x14ac:dyDescent="0.25">
      <c r="B540" s="16"/>
      <c r="C540" s="241"/>
      <c r="D540" s="263" t="s">
        <v>169</v>
      </c>
      <c r="E540" s="230" t="s">
        <v>72</v>
      </c>
      <c r="F540" s="231">
        <v>1966</v>
      </c>
      <c r="G540" s="232">
        <v>1</v>
      </c>
      <c r="H540" s="233">
        <v>1.216</v>
      </c>
      <c r="I540" s="242">
        <v>2.5</v>
      </c>
    </row>
    <row r="541" spans="2:9" ht="15.75" thickBot="1" x14ac:dyDescent="0.3">
      <c r="B541" s="16"/>
      <c r="C541" s="241"/>
      <c r="D541" s="263" t="s">
        <v>170</v>
      </c>
      <c r="E541" s="230" t="s">
        <v>72</v>
      </c>
      <c r="F541" s="231">
        <v>1968</v>
      </c>
      <c r="G541" s="252">
        <v>1</v>
      </c>
      <c r="H541" s="253">
        <v>0.29199999999999998</v>
      </c>
      <c r="I541" s="254">
        <v>1</v>
      </c>
    </row>
    <row r="542" spans="2:9" ht="15.75" thickBot="1" x14ac:dyDescent="0.3">
      <c r="B542" s="17"/>
      <c r="C542" s="82" t="s">
        <v>637</v>
      </c>
      <c r="D542" s="256"/>
      <c r="E542" s="256"/>
      <c r="F542" s="265"/>
      <c r="G542" s="244">
        <v>3</v>
      </c>
      <c r="H542" s="245">
        <v>5.258</v>
      </c>
      <c r="I542" s="246">
        <v>14.93</v>
      </c>
    </row>
    <row r="543" spans="2:9" x14ac:dyDescent="0.25">
      <c r="B543" s="80" t="s">
        <v>138</v>
      </c>
      <c r="C543" s="81" t="s">
        <v>17</v>
      </c>
      <c r="D543" s="228" t="s">
        <v>168</v>
      </c>
      <c r="E543" s="236" t="s">
        <v>72</v>
      </c>
      <c r="F543" s="237">
        <v>1967</v>
      </c>
      <c r="G543" s="238">
        <v>1</v>
      </c>
      <c r="H543" s="239">
        <v>0.39400000000000002</v>
      </c>
      <c r="I543" s="240">
        <v>1</v>
      </c>
    </row>
    <row r="544" spans="2:9" ht="15.75" thickBot="1" x14ac:dyDescent="0.3">
      <c r="B544" s="16"/>
      <c r="C544" s="241"/>
      <c r="D544" s="263" t="s">
        <v>167</v>
      </c>
      <c r="E544" s="230" t="s">
        <v>72</v>
      </c>
      <c r="F544" s="231">
        <v>1950</v>
      </c>
      <c r="G544" s="252">
        <v>1</v>
      </c>
      <c r="H544" s="253">
        <v>1.07</v>
      </c>
      <c r="I544" s="254">
        <v>1.0649999999999999</v>
      </c>
    </row>
    <row r="545" spans="2:9" ht="15.75" thickBot="1" x14ac:dyDescent="0.3">
      <c r="B545" s="17"/>
      <c r="C545" s="82" t="s">
        <v>638</v>
      </c>
      <c r="D545" s="256"/>
      <c r="E545" s="256"/>
      <c r="F545" s="265"/>
      <c r="G545" s="244">
        <v>2</v>
      </c>
      <c r="H545" s="245">
        <v>1.464</v>
      </c>
      <c r="I545" s="246">
        <v>2.0649999999999999</v>
      </c>
    </row>
    <row r="546" spans="2:9" x14ac:dyDescent="0.25">
      <c r="B546" s="80" t="s">
        <v>124</v>
      </c>
      <c r="C546" s="81" t="s">
        <v>32</v>
      </c>
      <c r="D546" s="228" t="s">
        <v>394</v>
      </c>
      <c r="E546" s="236" t="s">
        <v>72</v>
      </c>
      <c r="F546" s="237">
        <v>2009</v>
      </c>
      <c r="G546" s="238">
        <v>1</v>
      </c>
      <c r="H546" s="239">
        <v>29.571999999999999</v>
      </c>
      <c r="I546" s="240">
        <v>95</v>
      </c>
    </row>
    <row r="547" spans="2:9" x14ac:dyDescent="0.25">
      <c r="B547" s="16"/>
      <c r="C547" s="241"/>
      <c r="D547" s="263" t="s">
        <v>309</v>
      </c>
      <c r="E547" s="230" t="s">
        <v>72</v>
      </c>
      <c r="F547" s="235">
        <v>41136</v>
      </c>
      <c r="G547" s="232">
        <v>1</v>
      </c>
      <c r="H547" s="233">
        <v>16.86</v>
      </c>
      <c r="I547" s="242">
        <v>61.917999999999999</v>
      </c>
    </row>
    <row r="548" spans="2:9" ht="15.75" thickBot="1" x14ac:dyDescent="0.3">
      <c r="B548" s="16"/>
      <c r="C548" s="241"/>
      <c r="D548" s="263" t="s">
        <v>171</v>
      </c>
      <c r="E548" s="230" t="s">
        <v>72</v>
      </c>
      <c r="F548" s="231">
        <v>1970</v>
      </c>
      <c r="G548" s="252">
        <v>1</v>
      </c>
      <c r="H548" s="253">
        <v>1.28</v>
      </c>
      <c r="I548" s="254">
        <v>3.5</v>
      </c>
    </row>
    <row r="549" spans="2:9" ht="15.75" thickBot="1" x14ac:dyDescent="0.3">
      <c r="B549" s="17"/>
      <c r="C549" s="82" t="s">
        <v>639</v>
      </c>
      <c r="D549" s="256"/>
      <c r="E549" s="256"/>
      <c r="F549" s="265"/>
      <c r="G549" s="244">
        <v>3</v>
      </c>
      <c r="H549" s="245">
        <v>47.712000000000003</v>
      </c>
      <c r="I549" s="246">
        <v>160.41800000000001</v>
      </c>
    </row>
    <row r="550" spans="2:9" x14ac:dyDescent="0.25">
      <c r="B550" s="80" t="s">
        <v>125</v>
      </c>
      <c r="C550" s="81" t="s">
        <v>29</v>
      </c>
      <c r="D550" s="228" t="s">
        <v>217</v>
      </c>
      <c r="E550" s="236" t="s">
        <v>72</v>
      </c>
      <c r="F550" s="266">
        <v>41088</v>
      </c>
      <c r="G550" s="238">
        <v>1</v>
      </c>
      <c r="H550" s="239">
        <v>0.66</v>
      </c>
      <c r="I550" s="240">
        <v>3.2</v>
      </c>
    </row>
    <row r="551" spans="2:9" ht="15.75" thickBot="1" x14ac:dyDescent="0.3">
      <c r="B551" s="16"/>
      <c r="C551" s="241"/>
      <c r="D551" s="263" t="s">
        <v>299</v>
      </c>
      <c r="E551" s="230" t="s">
        <v>72</v>
      </c>
      <c r="F551" s="235">
        <v>41136</v>
      </c>
      <c r="G551" s="252">
        <v>1</v>
      </c>
      <c r="H551" s="253">
        <v>1.59</v>
      </c>
      <c r="I551" s="254">
        <v>8.32</v>
      </c>
    </row>
    <row r="552" spans="2:9" ht="15.75" thickBot="1" x14ac:dyDescent="0.3">
      <c r="B552" s="17"/>
      <c r="C552" s="82" t="s">
        <v>640</v>
      </c>
      <c r="D552" s="256"/>
      <c r="E552" s="256"/>
      <c r="F552" s="265"/>
      <c r="G552" s="244">
        <v>2</v>
      </c>
      <c r="H552" s="245">
        <v>2.25</v>
      </c>
      <c r="I552" s="246">
        <v>11.52</v>
      </c>
    </row>
    <row r="553" spans="2:9" x14ac:dyDescent="0.25">
      <c r="B553" s="80" t="s">
        <v>126</v>
      </c>
      <c r="C553" s="81" t="s">
        <v>4</v>
      </c>
      <c r="D553" s="228" t="s">
        <v>173</v>
      </c>
      <c r="E553" s="236" t="s">
        <v>72</v>
      </c>
      <c r="F553" s="237">
        <v>1956</v>
      </c>
      <c r="G553" s="238">
        <v>1</v>
      </c>
      <c r="H553" s="239">
        <v>0.27200000000000002</v>
      </c>
      <c r="I553" s="240">
        <v>0.6</v>
      </c>
    </row>
    <row r="554" spans="2:9" x14ac:dyDescent="0.25">
      <c r="B554" s="16"/>
      <c r="C554" s="241"/>
      <c r="D554" s="263" t="s">
        <v>400</v>
      </c>
      <c r="E554" s="230" t="s">
        <v>72</v>
      </c>
      <c r="F554" s="231">
        <v>2010</v>
      </c>
      <c r="G554" s="232">
        <v>1</v>
      </c>
      <c r="H554" s="233">
        <v>7.03</v>
      </c>
      <c r="I554" s="242">
        <v>33</v>
      </c>
    </row>
    <row r="555" spans="2:9" x14ac:dyDescent="0.25">
      <c r="B555" s="16"/>
      <c r="C555" s="241"/>
      <c r="D555" s="263" t="s">
        <v>401</v>
      </c>
      <c r="E555" s="230" t="s">
        <v>72</v>
      </c>
      <c r="F555" s="231">
        <v>2004</v>
      </c>
      <c r="G555" s="232">
        <v>1</v>
      </c>
      <c r="H555" s="233">
        <v>27.33</v>
      </c>
      <c r="I555" s="242">
        <v>112</v>
      </c>
    </row>
    <row r="556" spans="2:9" x14ac:dyDescent="0.25">
      <c r="B556" s="16"/>
      <c r="C556" s="241"/>
      <c r="D556" s="263" t="s">
        <v>251</v>
      </c>
      <c r="E556" s="230" t="s">
        <v>72</v>
      </c>
      <c r="F556" s="235">
        <v>41019</v>
      </c>
      <c r="G556" s="232">
        <v>1</v>
      </c>
      <c r="H556" s="233">
        <v>20.55</v>
      </c>
      <c r="I556" s="242">
        <v>97.96</v>
      </c>
    </row>
    <row r="557" spans="2:9" x14ac:dyDescent="0.25">
      <c r="B557" s="16"/>
      <c r="C557" s="241"/>
      <c r="D557" s="263" t="s">
        <v>421</v>
      </c>
      <c r="E557" s="230" t="s">
        <v>72</v>
      </c>
      <c r="F557" s="235">
        <v>41261</v>
      </c>
      <c r="G557" s="232">
        <v>1</v>
      </c>
      <c r="H557" s="233">
        <v>7.98</v>
      </c>
      <c r="I557" s="242">
        <v>40.26</v>
      </c>
    </row>
    <row r="558" spans="2:9" x14ac:dyDescent="0.25">
      <c r="B558" s="16"/>
      <c r="C558" s="241"/>
      <c r="D558" s="263" t="s">
        <v>286</v>
      </c>
      <c r="E558" s="230" t="s">
        <v>72</v>
      </c>
      <c r="F558" s="235">
        <v>41261</v>
      </c>
      <c r="G558" s="232">
        <v>1</v>
      </c>
      <c r="H558" s="233">
        <v>7.12</v>
      </c>
      <c r="I558" s="242">
        <v>40.159999999999997</v>
      </c>
    </row>
    <row r="559" spans="2:9" x14ac:dyDescent="0.25">
      <c r="B559" s="16"/>
      <c r="C559" s="241"/>
      <c r="D559" s="263" t="s">
        <v>313</v>
      </c>
      <c r="E559" s="230" t="s">
        <v>71</v>
      </c>
      <c r="F559" s="235">
        <v>40760</v>
      </c>
      <c r="G559" s="232">
        <v>1</v>
      </c>
      <c r="H559" s="233">
        <v>3.03</v>
      </c>
      <c r="I559" s="242">
        <v>22</v>
      </c>
    </row>
    <row r="560" spans="2:9" x14ac:dyDescent="0.25">
      <c r="B560" s="16"/>
      <c r="C560" s="241"/>
      <c r="D560" s="263" t="s">
        <v>520</v>
      </c>
      <c r="E560" s="230" t="s">
        <v>72</v>
      </c>
      <c r="F560" s="235">
        <v>41187</v>
      </c>
      <c r="G560" s="232">
        <v>1</v>
      </c>
      <c r="H560" s="233">
        <v>35.630000000000003</v>
      </c>
      <c r="I560" s="242">
        <v>151</v>
      </c>
    </row>
    <row r="561" spans="2:9" x14ac:dyDescent="0.25">
      <c r="B561" s="16"/>
      <c r="C561" s="241"/>
      <c r="D561" s="263" t="s">
        <v>441</v>
      </c>
      <c r="E561" s="230" t="s">
        <v>72</v>
      </c>
      <c r="F561" s="231">
        <v>2009</v>
      </c>
      <c r="G561" s="232">
        <v>1</v>
      </c>
      <c r="H561" s="233">
        <v>30.1</v>
      </c>
      <c r="I561" s="242">
        <v>137</v>
      </c>
    </row>
    <row r="562" spans="2:9" x14ac:dyDescent="0.25">
      <c r="B562" s="16"/>
      <c r="C562" s="241"/>
      <c r="D562" s="263" t="s">
        <v>445</v>
      </c>
      <c r="E562" s="230" t="s">
        <v>69</v>
      </c>
      <c r="F562" s="235">
        <v>41615</v>
      </c>
      <c r="G562" s="232">
        <v>1</v>
      </c>
      <c r="H562" s="233">
        <v>27.234000000000002</v>
      </c>
      <c r="I562" s="242">
        <v>80</v>
      </c>
    </row>
    <row r="563" spans="2:9" x14ac:dyDescent="0.25">
      <c r="B563" s="16"/>
      <c r="C563" s="241"/>
      <c r="D563" s="263" t="s">
        <v>356</v>
      </c>
      <c r="E563" s="230" t="s">
        <v>72</v>
      </c>
      <c r="F563" s="235">
        <v>41201</v>
      </c>
      <c r="G563" s="232">
        <v>1</v>
      </c>
      <c r="H563" s="233">
        <v>6.7439999999999998</v>
      </c>
      <c r="I563" s="242">
        <v>18</v>
      </c>
    </row>
    <row r="564" spans="2:9" x14ac:dyDescent="0.25">
      <c r="B564" s="16"/>
      <c r="C564" s="241"/>
      <c r="D564" s="263" t="s">
        <v>730</v>
      </c>
      <c r="E564" s="230" t="s">
        <v>72</v>
      </c>
      <c r="F564" s="235">
        <v>42363</v>
      </c>
      <c r="G564" s="232">
        <v>1</v>
      </c>
      <c r="H564" s="233">
        <v>2.74</v>
      </c>
      <c r="I564" s="242">
        <v>5.74</v>
      </c>
    </row>
    <row r="565" spans="2:9" ht="15.75" thickBot="1" x14ac:dyDescent="0.3">
      <c r="B565" s="16"/>
      <c r="C565" s="241"/>
      <c r="D565" s="263" t="s">
        <v>731</v>
      </c>
      <c r="E565" s="230" t="s">
        <v>72</v>
      </c>
      <c r="F565" s="235">
        <v>42324</v>
      </c>
      <c r="G565" s="252">
        <v>1</v>
      </c>
      <c r="H565" s="253">
        <v>15</v>
      </c>
      <c r="I565" s="254">
        <v>25</v>
      </c>
    </row>
    <row r="566" spans="2:9" ht="15.75" thickBot="1" x14ac:dyDescent="0.3">
      <c r="B566" s="17"/>
      <c r="C566" s="82" t="s">
        <v>641</v>
      </c>
      <c r="D566" s="256"/>
      <c r="E566" s="256"/>
      <c r="F566" s="265"/>
      <c r="G566" s="244">
        <v>13</v>
      </c>
      <c r="H566" s="245">
        <v>190.76000000000002</v>
      </c>
      <c r="I566" s="246">
        <v>762.72</v>
      </c>
    </row>
    <row r="567" spans="2:9" ht="15.75" thickBot="1" x14ac:dyDescent="0.3">
      <c r="B567" s="80" t="s">
        <v>141</v>
      </c>
      <c r="C567" s="81" t="s">
        <v>140</v>
      </c>
      <c r="D567" s="228" t="s">
        <v>187</v>
      </c>
      <c r="E567" s="236" t="s">
        <v>69</v>
      </c>
      <c r="F567" s="237">
        <v>2000</v>
      </c>
      <c r="G567" s="260">
        <v>1</v>
      </c>
      <c r="H567" s="83">
        <v>672</v>
      </c>
      <c r="I567" s="275">
        <v>2516</v>
      </c>
    </row>
    <row r="568" spans="2:9" ht="15.75" thickBot="1" x14ac:dyDescent="0.3">
      <c r="B568" s="17"/>
      <c r="C568" s="82" t="s">
        <v>642</v>
      </c>
      <c r="D568" s="256"/>
      <c r="E568" s="256"/>
      <c r="F568" s="265"/>
      <c r="G568" s="244">
        <v>1</v>
      </c>
      <c r="H568" s="245">
        <v>672</v>
      </c>
      <c r="I568" s="246">
        <v>2516</v>
      </c>
    </row>
    <row r="569" spans="2:9" x14ac:dyDescent="0.25">
      <c r="B569" s="80" t="s">
        <v>127</v>
      </c>
      <c r="C569" s="81" t="s">
        <v>23</v>
      </c>
      <c r="D569" s="228" t="s">
        <v>546</v>
      </c>
      <c r="E569" s="236" t="s">
        <v>576</v>
      </c>
      <c r="F569" s="266">
        <v>41977</v>
      </c>
      <c r="G569" s="238">
        <v>1</v>
      </c>
      <c r="H569" s="239">
        <v>11.933999999999999</v>
      </c>
      <c r="I569" s="240">
        <v>36.094999999999999</v>
      </c>
    </row>
    <row r="570" spans="2:9" x14ac:dyDescent="0.25">
      <c r="B570" s="16"/>
      <c r="C570" s="241"/>
      <c r="D570" s="263" t="s">
        <v>319</v>
      </c>
      <c r="E570" s="230" t="s">
        <v>72</v>
      </c>
      <c r="F570" s="235">
        <v>40606</v>
      </c>
      <c r="G570" s="232">
        <v>1</v>
      </c>
      <c r="H570" s="233">
        <v>22.92</v>
      </c>
      <c r="I570" s="242">
        <v>78</v>
      </c>
    </row>
    <row r="571" spans="2:9" ht="15.75" thickBot="1" x14ac:dyDescent="0.3">
      <c r="B571" s="16"/>
      <c r="C571" s="241"/>
      <c r="D571" s="263" t="s">
        <v>516</v>
      </c>
      <c r="E571" s="230" t="s">
        <v>72</v>
      </c>
      <c r="F571" s="231">
        <v>2010</v>
      </c>
      <c r="G571" s="252">
        <v>1</v>
      </c>
      <c r="H571" s="253">
        <v>12.298999999999999</v>
      </c>
      <c r="I571" s="254">
        <v>36</v>
      </c>
    </row>
    <row r="572" spans="2:9" ht="15.75" thickBot="1" x14ac:dyDescent="0.3">
      <c r="B572" s="17"/>
      <c r="C572" s="82" t="s">
        <v>643</v>
      </c>
      <c r="D572" s="256"/>
      <c r="E572" s="256"/>
      <c r="F572" s="265"/>
      <c r="G572" s="244">
        <v>3</v>
      </c>
      <c r="H572" s="245">
        <v>47.152999999999999</v>
      </c>
      <c r="I572" s="246">
        <v>150.095</v>
      </c>
    </row>
    <row r="573" spans="2:9" ht="15.75" thickBot="1" x14ac:dyDescent="0.3">
      <c r="B573" s="80" t="s">
        <v>128</v>
      </c>
      <c r="C573" s="81" t="s">
        <v>13</v>
      </c>
      <c r="D573" s="228" t="s">
        <v>420</v>
      </c>
      <c r="E573" s="236" t="s">
        <v>69</v>
      </c>
      <c r="F573" s="266">
        <v>41278</v>
      </c>
      <c r="G573" s="260">
        <v>1</v>
      </c>
      <c r="H573" s="83">
        <v>52</v>
      </c>
      <c r="I573" s="275">
        <v>225.34</v>
      </c>
    </row>
    <row r="574" spans="2:9" ht="15.75" thickBot="1" x14ac:dyDescent="0.3">
      <c r="B574" s="17"/>
      <c r="C574" s="82" t="s">
        <v>644</v>
      </c>
      <c r="D574" s="256"/>
      <c r="E574" s="256"/>
      <c r="F574" s="265"/>
      <c r="G574" s="244">
        <v>1</v>
      </c>
      <c r="H574" s="245">
        <v>52</v>
      </c>
      <c r="I574" s="246">
        <v>225.34</v>
      </c>
    </row>
    <row r="575" spans="2:9" x14ac:dyDescent="0.25">
      <c r="B575" s="80" t="s">
        <v>139</v>
      </c>
      <c r="C575" s="81" t="s">
        <v>57</v>
      </c>
      <c r="D575" s="228" t="s">
        <v>388</v>
      </c>
      <c r="E575" s="236" t="s">
        <v>69</v>
      </c>
      <c r="F575" s="266">
        <v>40645</v>
      </c>
      <c r="G575" s="238">
        <v>1</v>
      </c>
      <c r="H575" s="239">
        <v>275.52</v>
      </c>
      <c r="I575" s="240">
        <v>881.21</v>
      </c>
    </row>
    <row r="576" spans="2:9" x14ac:dyDescent="0.25">
      <c r="B576" s="16"/>
      <c r="C576" s="241"/>
      <c r="D576" s="263" t="s">
        <v>544</v>
      </c>
      <c r="E576" s="230" t="s">
        <v>576</v>
      </c>
      <c r="F576" s="235">
        <v>42111</v>
      </c>
      <c r="G576" s="232">
        <v>1</v>
      </c>
      <c r="H576" s="233">
        <v>21.27</v>
      </c>
      <c r="I576" s="242">
        <v>58.48</v>
      </c>
    </row>
    <row r="577" spans="2:9" x14ac:dyDescent="0.25">
      <c r="B577" s="16"/>
      <c r="C577" s="241"/>
      <c r="D577" s="263" t="s">
        <v>311</v>
      </c>
      <c r="E577" s="230" t="s">
        <v>72</v>
      </c>
      <c r="F577" s="235">
        <v>41596</v>
      </c>
      <c r="G577" s="232">
        <v>1</v>
      </c>
      <c r="H577" s="233">
        <v>46.11</v>
      </c>
      <c r="I577" s="242">
        <v>150.61000000000001</v>
      </c>
    </row>
    <row r="578" spans="2:9" ht="15.75" thickBot="1" x14ac:dyDescent="0.3">
      <c r="B578" s="16"/>
      <c r="C578" s="241"/>
      <c r="D578" s="263" t="s">
        <v>732</v>
      </c>
      <c r="E578" s="230" t="s">
        <v>576</v>
      </c>
      <c r="F578" s="231">
        <v>1957</v>
      </c>
      <c r="G578" s="252">
        <v>1</v>
      </c>
      <c r="H578" s="253">
        <v>1.5840000000000001</v>
      </c>
      <c r="I578" s="254">
        <v>7</v>
      </c>
    </row>
    <row r="579" spans="2:9" ht="15.75" thickBot="1" x14ac:dyDescent="0.3">
      <c r="B579" s="17"/>
      <c r="C579" s="82" t="s">
        <v>645</v>
      </c>
      <c r="D579" s="256"/>
      <c r="E579" s="256"/>
      <c r="F579" s="265"/>
      <c r="G579" s="244">
        <v>4</v>
      </c>
      <c r="H579" s="245">
        <v>344.48399999999998</v>
      </c>
      <c r="I579" s="246">
        <v>1097.3000000000002</v>
      </c>
    </row>
    <row r="580" spans="2:9" ht="15.75" thickBot="1" x14ac:dyDescent="0.3">
      <c r="B580" s="80" t="s">
        <v>697</v>
      </c>
      <c r="C580" s="229" t="s">
        <v>698</v>
      </c>
      <c r="D580" s="228" t="s">
        <v>271</v>
      </c>
      <c r="E580" s="236" t="s">
        <v>72</v>
      </c>
      <c r="F580" s="266">
        <v>40709</v>
      </c>
      <c r="G580" s="260">
        <v>1</v>
      </c>
      <c r="H580" s="83">
        <v>2.8690000000000002</v>
      </c>
      <c r="I580" s="275">
        <v>13.2</v>
      </c>
    </row>
    <row r="581" spans="2:9" ht="15.75" thickBot="1" x14ac:dyDescent="0.3">
      <c r="B581" s="17"/>
      <c r="C581" s="82" t="s">
        <v>734</v>
      </c>
      <c r="D581" s="256"/>
      <c r="E581" s="256"/>
      <c r="F581" s="265"/>
      <c r="G581" s="79">
        <v>1</v>
      </c>
      <c r="H581" s="84">
        <v>2.8690000000000002</v>
      </c>
      <c r="I581" s="247">
        <v>13.2</v>
      </c>
    </row>
    <row r="582" spans="2:9" ht="16.5" thickBot="1" x14ac:dyDescent="0.3">
      <c r="B582" s="78" t="s">
        <v>580</v>
      </c>
      <c r="C582" s="267"/>
      <c r="D582" s="259"/>
      <c r="E582" s="259"/>
      <c r="F582" s="259"/>
      <c r="G582" s="268">
        <v>513</v>
      </c>
      <c r="H582" s="269">
        <v>13791.869800000009</v>
      </c>
      <c r="I582" s="270">
        <v>47501.304000000026</v>
      </c>
    </row>
    <row r="583" spans="2:9" x14ac:dyDescent="0.25">
      <c r="G583"/>
      <c r="H583"/>
      <c r="I583"/>
    </row>
    <row r="584" spans="2:9" ht="15.75" thickBot="1" x14ac:dyDescent="0.3">
      <c r="G584"/>
      <c r="H584"/>
      <c r="I584"/>
    </row>
    <row r="585" spans="2:9" ht="15.75" thickBot="1" x14ac:dyDescent="0.3">
      <c r="G585"/>
      <c r="H585"/>
      <c r="I585"/>
    </row>
    <row r="586" spans="2:9" ht="15.75" thickBot="1" x14ac:dyDescent="0.3">
      <c r="G586"/>
      <c r="H586"/>
      <c r="I586"/>
    </row>
    <row r="587" spans="2:9" ht="15.75" thickBot="1" x14ac:dyDescent="0.3">
      <c r="G587"/>
      <c r="H587"/>
      <c r="I587"/>
    </row>
    <row r="588" spans="2:9" ht="15.75" thickBot="1" x14ac:dyDescent="0.3">
      <c r="G588"/>
      <c r="H588"/>
      <c r="I588"/>
    </row>
    <row r="589" spans="2:9" ht="15.75" thickBot="1" x14ac:dyDescent="0.3">
      <c r="G589"/>
      <c r="H589"/>
      <c r="I589"/>
    </row>
    <row r="590" spans="2:9" ht="15.75" thickBot="1" x14ac:dyDescent="0.3">
      <c r="G590"/>
      <c r="H590"/>
      <c r="I590"/>
    </row>
    <row r="591" spans="2:9" ht="15.75" thickBot="1" x14ac:dyDescent="0.3">
      <c r="G591"/>
      <c r="H591"/>
      <c r="I591"/>
    </row>
    <row r="592" spans="2:9" ht="15.75" thickBot="1" x14ac:dyDescent="0.3">
      <c r="G592"/>
      <c r="H592"/>
      <c r="I592"/>
    </row>
    <row r="593" spans="7:9" ht="15.75" thickBot="1" x14ac:dyDescent="0.3">
      <c r="G593"/>
      <c r="H593"/>
      <c r="I593"/>
    </row>
    <row r="594" spans="7:9" ht="15.75" thickBot="1" x14ac:dyDescent="0.3">
      <c r="G594"/>
      <c r="H594"/>
      <c r="I594"/>
    </row>
    <row r="595" spans="7:9" ht="15.75" thickBot="1" x14ac:dyDescent="0.3">
      <c r="G595"/>
      <c r="H595"/>
      <c r="I595"/>
    </row>
    <row r="596" spans="7:9" ht="15.75" thickBot="1" x14ac:dyDescent="0.3">
      <c r="G596"/>
      <c r="H596"/>
      <c r="I596"/>
    </row>
    <row r="597" spans="7:9" ht="15.75" thickBot="1" x14ac:dyDescent="0.3">
      <c r="G597"/>
      <c r="H597"/>
      <c r="I597"/>
    </row>
    <row r="598" spans="7:9" ht="15.75" thickBot="1" x14ac:dyDescent="0.3">
      <c r="G598"/>
      <c r="H598"/>
      <c r="I598"/>
    </row>
    <row r="599" spans="7:9" ht="15.75" thickBot="1" x14ac:dyDescent="0.3">
      <c r="G599"/>
      <c r="H599"/>
      <c r="I599"/>
    </row>
    <row r="600" spans="7:9" ht="15.75" thickBot="1" x14ac:dyDescent="0.3">
      <c r="G600"/>
      <c r="H600"/>
      <c r="I600"/>
    </row>
    <row r="601" spans="7:9" ht="15.75" thickBot="1" x14ac:dyDescent="0.3">
      <c r="G601"/>
      <c r="H601"/>
      <c r="I601"/>
    </row>
    <row r="602" spans="7:9" ht="15.75" thickBot="1" x14ac:dyDescent="0.3">
      <c r="G602"/>
      <c r="H602"/>
      <c r="I602"/>
    </row>
  </sheetData>
  <mergeCells count="1">
    <mergeCell ref="B2:I2"/>
  </mergeCells>
  <pageMargins left="0.51181102362204722" right="0.51181102362204722" top="0.55118110236220474" bottom="0.55118110236220474" header="0.31496062992125984" footer="0.31496062992125984"/>
  <pageSetup paperSize="9" scale="55" orientation="portrait" r:id="rId2"/>
  <rowBreaks count="2" manualBreakCount="2">
    <brk id="526" max="18" man="1"/>
    <brk id="585" max="18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522"/>
  <sheetViews>
    <sheetView showGridLines="0" zoomScale="70" zoomScaleNormal="70" zoomScaleSheetLayoutView="85" workbookViewId="0">
      <pane ySplit="3" topLeftCell="A83" activePane="bottomLeft" state="frozen"/>
      <selection pane="bottomLeft" activeCell="C102" sqref="C102"/>
    </sheetView>
  </sheetViews>
  <sheetFormatPr defaultColWidth="9.140625" defaultRowHeight="20.100000000000001" customHeight="1" x14ac:dyDescent="0.25"/>
  <cols>
    <col min="1" max="1" width="1.85546875" style="1" customWidth="1"/>
    <col min="2" max="2" width="13.85546875" style="1" customWidth="1"/>
    <col min="3" max="3" width="51.85546875" style="1" customWidth="1"/>
    <col min="4" max="4" width="17.85546875" style="1" customWidth="1"/>
    <col min="5" max="5" width="12.85546875" style="1" customWidth="1"/>
    <col min="6" max="7" width="16.7109375" style="1" customWidth="1"/>
    <col min="8" max="8" width="15.7109375" style="18" customWidth="1"/>
    <col min="9" max="9" width="16.42578125" style="18" customWidth="1"/>
    <col min="10" max="10" width="1.28515625" style="1" customWidth="1"/>
    <col min="11" max="16384" width="9.140625" style="1"/>
  </cols>
  <sheetData>
    <row r="1" spans="2:9" ht="20.100000000000001" customHeight="1" thickBot="1" x14ac:dyDescent="0.3"/>
    <row r="2" spans="2:9" ht="34.5" customHeight="1" thickBot="1" x14ac:dyDescent="0.3">
      <c r="B2" s="217" t="s">
        <v>651</v>
      </c>
      <c r="C2" s="218"/>
      <c r="D2" s="218"/>
      <c r="E2" s="218"/>
      <c r="F2" s="218"/>
      <c r="G2" s="218"/>
      <c r="H2" s="218"/>
      <c r="I2" s="219"/>
    </row>
    <row r="3" spans="2:9" ht="53.25" customHeight="1" thickBot="1" x14ac:dyDescent="0.3">
      <c r="B3" s="10" t="s">
        <v>534</v>
      </c>
      <c r="C3" s="5" t="s">
        <v>142</v>
      </c>
      <c r="D3" s="6" t="s">
        <v>65</v>
      </c>
      <c r="E3" s="7" t="s">
        <v>66</v>
      </c>
      <c r="F3" s="8" t="s">
        <v>67</v>
      </c>
      <c r="G3" s="8" t="s">
        <v>581</v>
      </c>
      <c r="H3" s="19" t="s">
        <v>143</v>
      </c>
      <c r="I3" s="20" t="s">
        <v>68</v>
      </c>
    </row>
    <row r="4" spans="2:9" ht="21.75" customHeight="1" x14ac:dyDescent="0.25">
      <c r="B4" s="21" t="s">
        <v>76</v>
      </c>
      <c r="C4" s="22" t="s">
        <v>386</v>
      </c>
      <c r="D4" s="23" t="s">
        <v>11</v>
      </c>
      <c r="E4" s="24" t="s">
        <v>69</v>
      </c>
      <c r="F4" s="25">
        <v>1998</v>
      </c>
      <c r="G4" s="26">
        <v>1</v>
      </c>
      <c r="H4" s="27">
        <v>10.6</v>
      </c>
      <c r="I4" s="28">
        <v>47</v>
      </c>
    </row>
    <row r="5" spans="2:9" ht="21.75" customHeight="1" x14ac:dyDescent="0.25">
      <c r="B5" s="21" t="s">
        <v>76</v>
      </c>
      <c r="C5" s="29" t="s">
        <v>411</v>
      </c>
      <c r="D5" s="30" t="s">
        <v>11</v>
      </c>
      <c r="E5" s="31" t="s">
        <v>69</v>
      </c>
      <c r="F5" s="32">
        <v>2006</v>
      </c>
      <c r="G5" s="26">
        <v>1</v>
      </c>
      <c r="H5" s="33">
        <v>4.5999999999999996</v>
      </c>
      <c r="I5" s="34">
        <v>20.66</v>
      </c>
    </row>
    <row r="6" spans="2:9" ht="18" customHeight="1" x14ac:dyDescent="0.25">
      <c r="B6" s="35" t="s">
        <v>77</v>
      </c>
      <c r="C6" s="29" t="s">
        <v>203</v>
      </c>
      <c r="D6" s="36" t="s">
        <v>10</v>
      </c>
      <c r="E6" s="31" t="s">
        <v>72</v>
      </c>
      <c r="F6" s="32">
        <v>2009</v>
      </c>
      <c r="G6" s="26">
        <v>1</v>
      </c>
      <c r="H6" s="37">
        <v>28.78</v>
      </c>
      <c r="I6" s="34">
        <v>94.88</v>
      </c>
    </row>
    <row r="7" spans="2:9" ht="18.75" customHeight="1" x14ac:dyDescent="0.25">
      <c r="B7" s="35" t="s">
        <v>77</v>
      </c>
      <c r="C7" s="29" t="s">
        <v>215</v>
      </c>
      <c r="D7" s="36" t="s">
        <v>10</v>
      </c>
      <c r="E7" s="31" t="s">
        <v>72</v>
      </c>
      <c r="F7" s="32">
        <v>2006</v>
      </c>
      <c r="G7" s="26">
        <v>1</v>
      </c>
      <c r="H7" s="37">
        <v>0.55000000000000004</v>
      </c>
      <c r="I7" s="34">
        <v>4.2699999999999996</v>
      </c>
    </row>
    <row r="8" spans="2:9" ht="21.75" customHeight="1" x14ac:dyDescent="0.25">
      <c r="B8" s="35" t="s">
        <v>77</v>
      </c>
      <c r="C8" s="29" t="s">
        <v>264</v>
      </c>
      <c r="D8" s="36" t="s">
        <v>10</v>
      </c>
      <c r="E8" s="31" t="s">
        <v>72</v>
      </c>
      <c r="F8" s="32">
        <v>2004</v>
      </c>
      <c r="G8" s="26">
        <v>1</v>
      </c>
      <c r="H8" s="37">
        <v>8.84</v>
      </c>
      <c r="I8" s="34">
        <v>41</v>
      </c>
    </row>
    <row r="9" spans="2:9" ht="21.75" customHeight="1" x14ac:dyDescent="0.25">
      <c r="B9" s="35" t="s">
        <v>77</v>
      </c>
      <c r="C9" s="29" t="s">
        <v>351</v>
      </c>
      <c r="D9" s="36" t="s">
        <v>10</v>
      </c>
      <c r="E9" s="31" t="s">
        <v>72</v>
      </c>
      <c r="F9" s="32">
        <v>2009</v>
      </c>
      <c r="G9" s="26">
        <v>1</v>
      </c>
      <c r="H9" s="37">
        <v>5.85</v>
      </c>
      <c r="I9" s="34">
        <v>23.2</v>
      </c>
    </row>
    <row r="10" spans="2:9" ht="18" customHeight="1" x14ac:dyDescent="0.25">
      <c r="B10" s="38" t="s">
        <v>78</v>
      </c>
      <c r="C10" s="39" t="s">
        <v>194</v>
      </c>
      <c r="D10" s="30" t="s">
        <v>22</v>
      </c>
      <c r="E10" s="31" t="s">
        <v>72</v>
      </c>
      <c r="F10" s="40">
        <v>2001</v>
      </c>
      <c r="G10" s="26">
        <v>1</v>
      </c>
      <c r="H10" s="41">
        <v>2.2000000000000002</v>
      </c>
      <c r="I10" s="42">
        <v>11.75</v>
      </c>
    </row>
    <row r="11" spans="2:9" ht="18" customHeight="1" x14ac:dyDescent="0.25">
      <c r="B11" s="38" t="s">
        <v>78</v>
      </c>
      <c r="C11" s="29" t="s">
        <v>202</v>
      </c>
      <c r="D11" s="30" t="s">
        <v>22</v>
      </c>
      <c r="E11" s="31" t="s">
        <v>72</v>
      </c>
      <c r="F11" s="43">
        <v>41556</v>
      </c>
      <c r="G11" s="26">
        <v>1</v>
      </c>
      <c r="H11" s="37">
        <v>12.502000000000001</v>
      </c>
      <c r="I11" s="34">
        <v>45.5</v>
      </c>
    </row>
    <row r="12" spans="2:9" ht="18" customHeight="1" x14ac:dyDescent="0.25">
      <c r="B12" s="38" t="s">
        <v>78</v>
      </c>
      <c r="C12" s="44" t="s">
        <v>205</v>
      </c>
      <c r="D12" s="30" t="s">
        <v>22</v>
      </c>
      <c r="E12" s="31" t="s">
        <v>72</v>
      </c>
      <c r="F12" s="43">
        <v>41556</v>
      </c>
      <c r="G12" s="26">
        <v>1</v>
      </c>
      <c r="H12" s="45">
        <v>13.81</v>
      </c>
      <c r="I12" s="46">
        <v>39.89</v>
      </c>
    </row>
    <row r="13" spans="2:9" ht="18" customHeight="1" x14ac:dyDescent="0.25">
      <c r="B13" s="38" t="s">
        <v>78</v>
      </c>
      <c r="C13" s="29" t="s">
        <v>219</v>
      </c>
      <c r="D13" s="30" t="s">
        <v>22</v>
      </c>
      <c r="E13" s="31" t="s">
        <v>72</v>
      </c>
      <c r="F13" s="32">
        <v>1997</v>
      </c>
      <c r="G13" s="26">
        <v>1</v>
      </c>
      <c r="H13" s="224">
        <v>3.15</v>
      </c>
      <c r="I13" s="226">
        <v>16</v>
      </c>
    </row>
    <row r="14" spans="2:9" ht="18" customHeight="1" x14ac:dyDescent="0.25">
      <c r="B14" s="38" t="s">
        <v>78</v>
      </c>
      <c r="C14" s="29" t="s">
        <v>493</v>
      </c>
      <c r="D14" s="30" t="s">
        <v>22</v>
      </c>
      <c r="E14" s="31" t="s">
        <v>72</v>
      </c>
      <c r="F14" s="32">
        <v>1997</v>
      </c>
      <c r="G14" s="26">
        <v>1</v>
      </c>
      <c r="H14" s="225"/>
      <c r="I14" s="227"/>
    </row>
    <row r="15" spans="2:9" ht="18" customHeight="1" x14ac:dyDescent="0.25">
      <c r="B15" s="38" t="s">
        <v>78</v>
      </c>
      <c r="C15" s="29" t="s">
        <v>404</v>
      </c>
      <c r="D15" s="30" t="s">
        <v>22</v>
      </c>
      <c r="E15" s="31" t="s">
        <v>69</v>
      </c>
      <c r="F15" s="32">
        <v>2010</v>
      </c>
      <c r="G15" s="26">
        <v>1</v>
      </c>
      <c r="H15" s="37">
        <v>28.72</v>
      </c>
      <c r="I15" s="47">
        <v>88.1</v>
      </c>
    </row>
    <row r="16" spans="2:9" ht="18" customHeight="1" x14ac:dyDescent="0.25">
      <c r="B16" s="38" t="s">
        <v>78</v>
      </c>
      <c r="C16" s="48" t="s">
        <v>244</v>
      </c>
      <c r="D16" s="30" t="s">
        <v>22</v>
      </c>
      <c r="E16" s="31" t="s">
        <v>72</v>
      </c>
      <c r="F16" s="181">
        <v>41537</v>
      </c>
      <c r="G16" s="26">
        <v>1</v>
      </c>
      <c r="H16" s="50">
        <v>3.0649999999999999</v>
      </c>
      <c r="I16" s="51">
        <v>5.64</v>
      </c>
    </row>
    <row r="17" spans="2:9" ht="18" customHeight="1" x14ac:dyDescent="0.25">
      <c r="B17" s="38" t="s">
        <v>78</v>
      </c>
      <c r="C17" s="44" t="s">
        <v>248</v>
      </c>
      <c r="D17" s="30" t="s">
        <v>22</v>
      </c>
      <c r="E17" s="31" t="s">
        <v>72</v>
      </c>
      <c r="F17" s="52">
        <v>41124</v>
      </c>
      <c r="G17" s="26">
        <v>1</v>
      </c>
      <c r="H17" s="53">
        <v>8.44</v>
      </c>
      <c r="I17" s="47">
        <v>30.5</v>
      </c>
    </row>
    <row r="18" spans="2:9" ht="18" customHeight="1" x14ac:dyDescent="0.25">
      <c r="B18" s="38" t="s">
        <v>78</v>
      </c>
      <c r="C18" s="29" t="s">
        <v>250</v>
      </c>
      <c r="D18" s="30" t="s">
        <v>22</v>
      </c>
      <c r="E18" s="31" t="s">
        <v>72</v>
      </c>
      <c r="F18" s="32">
        <f>F15</f>
        <v>2010</v>
      </c>
      <c r="G18" s="26">
        <v>1</v>
      </c>
      <c r="H18" s="37">
        <v>3.66</v>
      </c>
      <c r="I18" s="47">
        <v>14.904</v>
      </c>
    </row>
    <row r="19" spans="2:9" ht="18" customHeight="1" x14ac:dyDescent="0.25">
      <c r="B19" s="38" t="s">
        <v>78</v>
      </c>
      <c r="C19" s="29" t="s">
        <v>253</v>
      </c>
      <c r="D19" s="30" t="s">
        <v>22</v>
      </c>
      <c r="E19" s="31" t="s">
        <v>72</v>
      </c>
      <c r="F19" s="32">
        <v>2009</v>
      </c>
      <c r="G19" s="26">
        <v>1</v>
      </c>
      <c r="H19" s="54">
        <v>0.92</v>
      </c>
      <c r="I19" s="47">
        <v>4.38</v>
      </c>
    </row>
    <row r="20" spans="2:9" ht="18" customHeight="1" x14ac:dyDescent="0.25">
      <c r="B20" s="55" t="s">
        <v>78</v>
      </c>
      <c r="C20" s="56" t="s">
        <v>652</v>
      </c>
      <c r="D20" s="57" t="s">
        <v>22</v>
      </c>
      <c r="E20" s="58" t="s">
        <v>69</v>
      </c>
      <c r="F20" s="85">
        <v>42028</v>
      </c>
      <c r="G20" s="60">
        <v>1</v>
      </c>
      <c r="H20" s="53">
        <v>30.09</v>
      </c>
      <c r="I20" s="61">
        <v>71.180000000000007</v>
      </c>
    </row>
    <row r="21" spans="2:9" ht="18" customHeight="1" x14ac:dyDescent="0.25">
      <c r="B21" s="38" t="s">
        <v>79</v>
      </c>
      <c r="C21" s="39" t="s">
        <v>195</v>
      </c>
      <c r="D21" s="30" t="s">
        <v>48</v>
      </c>
      <c r="E21" s="31" t="s">
        <v>72</v>
      </c>
      <c r="F21" s="40">
        <v>1999</v>
      </c>
      <c r="G21" s="26">
        <v>1</v>
      </c>
      <c r="H21" s="41">
        <v>16.5</v>
      </c>
      <c r="I21" s="42">
        <v>90</v>
      </c>
    </row>
    <row r="22" spans="2:9" ht="18" customHeight="1" x14ac:dyDescent="0.25">
      <c r="B22" s="38" t="s">
        <v>79</v>
      </c>
      <c r="C22" s="62" t="s">
        <v>481</v>
      </c>
      <c r="D22" s="30" t="s">
        <v>48</v>
      </c>
      <c r="E22" s="31" t="s">
        <v>72</v>
      </c>
      <c r="F22" s="32">
        <v>2000</v>
      </c>
      <c r="G22" s="26">
        <v>1</v>
      </c>
      <c r="H22" s="37">
        <v>7.5</v>
      </c>
      <c r="I22" s="34">
        <v>30</v>
      </c>
    </row>
    <row r="23" spans="2:9" ht="18" customHeight="1" x14ac:dyDescent="0.25">
      <c r="B23" s="38" t="s">
        <v>79</v>
      </c>
      <c r="C23" s="62" t="s">
        <v>482</v>
      </c>
      <c r="D23" s="30" t="s">
        <v>48</v>
      </c>
      <c r="E23" s="31" t="s">
        <v>72</v>
      </c>
      <c r="F23" s="32">
        <v>2001</v>
      </c>
      <c r="G23" s="26">
        <v>1</v>
      </c>
      <c r="H23" s="37">
        <v>7.5</v>
      </c>
      <c r="I23" s="34">
        <v>30</v>
      </c>
    </row>
    <row r="24" spans="2:9" ht="18" customHeight="1" x14ac:dyDescent="0.25">
      <c r="B24" s="38" t="s">
        <v>79</v>
      </c>
      <c r="C24" s="62" t="s">
        <v>483</v>
      </c>
      <c r="D24" s="30" t="s">
        <v>48</v>
      </c>
      <c r="E24" s="31" t="s">
        <v>72</v>
      </c>
      <c r="F24" s="32">
        <v>2002</v>
      </c>
      <c r="G24" s="26">
        <v>1</v>
      </c>
      <c r="H24" s="37">
        <v>7.5</v>
      </c>
      <c r="I24" s="34">
        <v>30</v>
      </c>
    </row>
    <row r="25" spans="2:9" ht="18" customHeight="1" x14ac:dyDescent="0.25">
      <c r="B25" s="38" t="s">
        <v>79</v>
      </c>
      <c r="C25" s="62" t="s">
        <v>484</v>
      </c>
      <c r="D25" s="30" t="s">
        <v>48</v>
      </c>
      <c r="E25" s="31" t="s">
        <v>72</v>
      </c>
      <c r="F25" s="32">
        <v>2002</v>
      </c>
      <c r="G25" s="26">
        <v>1</v>
      </c>
      <c r="H25" s="37">
        <v>7.5</v>
      </c>
      <c r="I25" s="34">
        <v>30</v>
      </c>
    </row>
    <row r="26" spans="2:9" ht="18" customHeight="1" x14ac:dyDescent="0.25">
      <c r="B26" s="38" t="s">
        <v>79</v>
      </c>
      <c r="C26" s="62" t="s">
        <v>485</v>
      </c>
      <c r="D26" s="30" t="s">
        <v>48</v>
      </c>
      <c r="E26" s="31" t="s">
        <v>72</v>
      </c>
      <c r="F26" s="32">
        <v>2003</v>
      </c>
      <c r="G26" s="26">
        <v>1</v>
      </c>
      <c r="H26" s="37">
        <v>7.5</v>
      </c>
      <c r="I26" s="34">
        <v>30</v>
      </c>
    </row>
    <row r="27" spans="2:9" ht="18" customHeight="1" x14ac:dyDescent="0.25">
      <c r="B27" s="38" t="s">
        <v>79</v>
      </c>
      <c r="C27" s="29" t="s">
        <v>488</v>
      </c>
      <c r="D27" s="30" t="s">
        <v>48</v>
      </c>
      <c r="E27" s="31" t="s">
        <v>72</v>
      </c>
      <c r="F27" s="32">
        <v>1998</v>
      </c>
      <c r="G27" s="26">
        <v>1</v>
      </c>
      <c r="H27" s="33">
        <v>0.34</v>
      </c>
      <c r="I27" s="34">
        <v>1.7</v>
      </c>
    </row>
    <row r="28" spans="2:9" ht="18" customHeight="1" x14ac:dyDescent="0.25">
      <c r="B28" s="38" t="s">
        <v>79</v>
      </c>
      <c r="C28" s="29" t="s">
        <v>230</v>
      </c>
      <c r="D28" s="30" t="s">
        <v>48</v>
      </c>
      <c r="E28" s="31" t="s">
        <v>72</v>
      </c>
      <c r="F28" s="32">
        <v>2008</v>
      </c>
      <c r="G28" s="26">
        <v>1</v>
      </c>
      <c r="H28" s="37">
        <v>8.74</v>
      </c>
      <c r="I28" s="34">
        <v>35</v>
      </c>
    </row>
    <row r="29" spans="2:9" ht="18" customHeight="1" x14ac:dyDescent="0.25">
      <c r="B29" s="38" t="s">
        <v>79</v>
      </c>
      <c r="C29" s="29" t="s">
        <v>262</v>
      </c>
      <c r="D29" s="30" t="s">
        <v>48</v>
      </c>
      <c r="E29" s="31" t="s">
        <v>69</v>
      </c>
      <c r="F29" s="43">
        <v>40657</v>
      </c>
      <c r="G29" s="26">
        <v>1</v>
      </c>
      <c r="H29" s="64">
        <v>60</v>
      </c>
      <c r="I29" s="63">
        <v>216.3</v>
      </c>
    </row>
    <row r="30" spans="2:9" ht="18" customHeight="1" x14ac:dyDescent="0.25">
      <c r="B30" s="38" t="s">
        <v>79</v>
      </c>
      <c r="C30" s="29" t="s">
        <v>503</v>
      </c>
      <c r="D30" s="30" t="s">
        <v>48</v>
      </c>
      <c r="E30" s="31" t="s">
        <v>72</v>
      </c>
      <c r="F30" s="49">
        <v>2002</v>
      </c>
      <c r="G30" s="26">
        <v>1</v>
      </c>
      <c r="H30" s="64">
        <v>42</v>
      </c>
      <c r="I30" s="34">
        <v>187.5</v>
      </c>
    </row>
    <row r="31" spans="2:9" ht="18" customHeight="1" x14ac:dyDescent="0.25">
      <c r="B31" s="38" t="s">
        <v>79</v>
      </c>
      <c r="C31" s="29" t="s">
        <v>272</v>
      </c>
      <c r="D31" s="30" t="s">
        <v>48</v>
      </c>
      <c r="E31" s="31" t="s">
        <v>72</v>
      </c>
      <c r="F31" s="32">
        <v>2006</v>
      </c>
      <c r="G31" s="26">
        <v>1</v>
      </c>
      <c r="H31" s="33">
        <v>10.95</v>
      </c>
      <c r="I31" s="63">
        <v>46</v>
      </c>
    </row>
    <row r="32" spans="2:9" ht="18" customHeight="1" x14ac:dyDescent="0.25">
      <c r="B32" s="38" t="s">
        <v>79</v>
      </c>
      <c r="C32" s="29" t="s">
        <v>301</v>
      </c>
      <c r="D32" s="30" t="s">
        <v>48</v>
      </c>
      <c r="E32" s="31" t="s">
        <v>72</v>
      </c>
      <c r="F32" s="43">
        <v>41348</v>
      </c>
      <c r="G32" s="26">
        <v>1</v>
      </c>
      <c r="H32" s="37">
        <v>11.143000000000001</v>
      </c>
      <c r="I32" s="63">
        <v>49.2</v>
      </c>
    </row>
    <row r="33" spans="2:9" ht="18" customHeight="1" x14ac:dyDescent="0.25">
      <c r="B33" s="55" t="s">
        <v>79</v>
      </c>
      <c r="C33" s="56" t="s">
        <v>653</v>
      </c>
      <c r="D33" s="57" t="s">
        <v>48</v>
      </c>
      <c r="E33" s="58" t="s">
        <v>72</v>
      </c>
      <c r="F33" s="85">
        <v>41656</v>
      </c>
      <c r="G33" s="60">
        <v>1</v>
      </c>
      <c r="H33" s="33">
        <v>3.39</v>
      </c>
      <c r="I33" s="63">
        <v>22</v>
      </c>
    </row>
    <row r="34" spans="2:9" ht="18" customHeight="1" x14ac:dyDescent="0.25">
      <c r="B34" s="66" t="s">
        <v>80</v>
      </c>
      <c r="C34" s="39" t="s">
        <v>189</v>
      </c>
      <c r="D34" s="67" t="s">
        <v>81</v>
      </c>
      <c r="E34" s="31" t="s">
        <v>72</v>
      </c>
      <c r="F34" s="68">
        <v>2001</v>
      </c>
      <c r="G34" s="26">
        <v>1</v>
      </c>
      <c r="H34" s="41">
        <v>3</v>
      </c>
      <c r="I34" s="42">
        <v>22.3</v>
      </c>
    </row>
    <row r="35" spans="2:9" ht="18" customHeight="1" x14ac:dyDescent="0.25">
      <c r="B35" s="38" t="s">
        <v>82</v>
      </c>
      <c r="C35" s="39" t="s">
        <v>181</v>
      </c>
      <c r="D35" s="30" t="s">
        <v>45</v>
      </c>
      <c r="E35" s="31" t="s">
        <v>72</v>
      </c>
      <c r="F35" s="40">
        <v>1960</v>
      </c>
      <c r="G35" s="26">
        <v>1</v>
      </c>
      <c r="H35" s="41">
        <v>2.56</v>
      </c>
      <c r="I35" s="42">
        <v>8</v>
      </c>
    </row>
    <row r="36" spans="2:9" ht="18" customHeight="1" x14ac:dyDescent="0.25">
      <c r="B36" s="38" t="s">
        <v>82</v>
      </c>
      <c r="C36" s="29" t="s">
        <v>254</v>
      </c>
      <c r="D36" s="30" t="s">
        <v>45</v>
      </c>
      <c r="E36" s="31" t="s">
        <v>72</v>
      </c>
      <c r="F36" s="43">
        <v>40927</v>
      </c>
      <c r="G36" s="26">
        <v>1</v>
      </c>
      <c r="H36" s="64">
        <v>1.92</v>
      </c>
      <c r="I36" s="46">
        <v>10</v>
      </c>
    </row>
    <row r="37" spans="2:9" ht="18" customHeight="1" x14ac:dyDescent="0.25">
      <c r="B37" s="55" t="s">
        <v>82</v>
      </c>
      <c r="C37" s="56" t="s">
        <v>654</v>
      </c>
      <c r="D37" s="57" t="s">
        <v>45</v>
      </c>
      <c r="E37" s="58" t="s">
        <v>72</v>
      </c>
      <c r="F37" s="85">
        <v>42306</v>
      </c>
      <c r="G37" s="60">
        <v>1</v>
      </c>
      <c r="H37" s="45">
        <v>12.1</v>
      </c>
      <c r="I37" s="69">
        <v>49.91</v>
      </c>
    </row>
    <row r="38" spans="2:9" ht="18" customHeight="1" x14ac:dyDescent="0.25">
      <c r="B38" s="70" t="s">
        <v>83</v>
      </c>
      <c r="C38" s="39" t="s">
        <v>156</v>
      </c>
      <c r="D38" s="71" t="s">
        <v>19</v>
      </c>
      <c r="E38" s="31" t="s">
        <v>72</v>
      </c>
      <c r="F38" s="72">
        <v>1952</v>
      </c>
      <c r="G38" s="26">
        <v>1</v>
      </c>
      <c r="H38" s="50">
        <v>2.3039999999999998</v>
      </c>
      <c r="I38" s="51">
        <v>8</v>
      </c>
    </row>
    <row r="39" spans="2:9" ht="18" customHeight="1" x14ac:dyDescent="0.25">
      <c r="B39" s="70" t="s">
        <v>83</v>
      </c>
      <c r="C39" s="39" t="s">
        <v>179</v>
      </c>
      <c r="D39" s="71" t="s">
        <v>19</v>
      </c>
      <c r="E39" s="31" t="s">
        <v>72</v>
      </c>
      <c r="F39" s="72">
        <v>1952</v>
      </c>
      <c r="G39" s="26">
        <v>1</v>
      </c>
      <c r="H39" s="50">
        <v>1.181</v>
      </c>
      <c r="I39" s="51">
        <v>4</v>
      </c>
    </row>
    <row r="40" spans="2:9" ht="18" customHeight="1" x14ac:dyDescent="0.25">
      <c r="B40" s="70" t="s">
        <v>83</v>
      </c>
      <c r="C40" s="39" t="s">
        <v>180</v>
      </c>
      <c r="D40" s="71" t="s">
        <v>19</v>
      </c>
      <c r="E40" s="31" t="s">
        <v>72</v>
      </c>
      <c r="F40" s="72">
        <v>1952</v>
      </c>
      <c r="G40" s="26">
        <v>1</v>
      </c>
      <c r="H40" s="50">
        <v>0.71499999999999997</v>
      </c>
      <c r="I40" s="51">
        <v>3</v>
      </c>
    </row>
    <row r="41" spans="2:9" ht="18" customHeight="1" x14ac:dyDescent="0.25">
      <c r="B41" s="70" t="s">
        <v>83</v>
      </c>
      <c r="C41" s="44" t="s">
        <v>416</v>
      </c>
      <c r="D41" s="71" t="s">
        <v>19</v>
      </c>
      <c r="E41" s="31" t="s">
        <v>69</v>
      </c>
      <c r="F41" s="52">
        <v>41506</v>
      </c>
      <c r="G41" s="26">
        <v>1</v>
      </c>
      <c r="H41" s="53">
        <v>28.03</v>
      </c>
      <c r="I41" s="61">
        <v>56.06</v>
      </c>
    </row>
    <row r="42" spans="2:9" ht="18" customHeight="1" x14ac:dyDescent="0.25">
      <c r="B42" s="70" t="s">
        <v>83</v>
      </c>
      <c r="C42" s="29" t="s">
        <v>501</v>
      </c>
      <c r="D42" s="71" t="s">
        <v>19</v>
      </c>
      <c r="E42" s="31" t="s">
        <v>72</v>
      </c>
      <c r="F42" s="32">
        <v>2009</v>
      </c>
      <c r="G42" s="26">
        <v>1</v>
      </c>
      <c r="H42" s="54">
        <v>19.920000000000002</v>
      </c>
      <c r="I42" s="47">
        <v>72</v>
      </c>
    </row>
    <row r="43" spans="2:9" ht="18" customHeight="1" x14ac:dyDescent="0.25">
      <c r="B43" s="70" t="s">
        <v>83</v>
      </c>
      <c r="C43" s="29" t="s">
        <v>273</v>
      </c>
      <c r="D43" s="71" t="s">
        <v>19</v>
      </c>
      <c r="E43" s="31" t="s">
        <v>72</v>
      </c>
      <c r="F43" s="32">
        <v>2008</v>
      </c>
      <c r="G43" s="26">
        <v>1</v>
      </c>
      <c r="H43" s="33">
        <v>2.4</v>
      </c>
      <c r="I43" s="34">
        <v>4.28</v>
      </c>
    </row>
    <row r="44" spans="2:9" ht="18" customHeight="1" x14ac:dyDescent="0.25">
      <c r="B44" s="70" t="s">
        <v>83</v>
      </c>
      <c r="C44" s="29" t="s">
        <v>505</v>
      </c>
      <c r="D44" s="71" t="s">
        <v>19</v>
      </c>
      <c r="E44" s="31" t="s">
        <v>72</v>
      </c>
      <c r="F44" s="52">
        <v>41319</v>
      </c>
      <c r="G44" s="26">
        <v>1</v>
      </c>
      <c r="H44" s="37">
        <v>4</v>
      </c>
      <c r="I44" s="34">
        <v>12</v>
      </c>
    </row>
    <row r="45" spans="2:9" ht="18" customHeight="1" x14ac:dyDescent="0.25">
      <c r="B45" s="70" t="s">
        <v>83</v>
      </c>
      <c r="C45" s="29" t="s">
        <v>331</v>
      </c>
      <c r="D45" s="71" t="s">
        <v>19</v>
      </c>
      <c r="E45" s="31" t="s">
        <v>72</v>
      </c>
      <c r="F45" s="52">
        <v>41522</v>
      </c>
      <c r="G45" s="26">
        <v>1</v>
      </c>
      <c r="H45" s="64">
        <v>1.9</v>
      </c>
      <c r="I45" s="46">
        <v>8.08</v>
      </c>
    </row>
    <row r="46" spans="2:9" ht="18" customHeight="1" x14ac:dyDescent="0.25">
      <c r="B46" s="70" t="s">
        <v>83</v>
      </c>
      <c r="C46" s="44" t="s">
        <v>354</v>
      </c>
      <c r="D46" s="71" t="s">
        <v>19</v>
      </c>
      <c r="E46" s="31" t="s">
        <v>72</v>
      </c>
      <c r="F46" s="43">
        <v>40984</v>
      </c>
      <c r="G46" s="26">
        <v>1</v>
      </c>
      <c r="H46" s="37">
        <v>6.9240000000000004</v>
      </c>
      <c r="I46" s="34">
        <v>20</v>
      </c>
    </row>
    <row r="47" spans="2:9" ht="28.5" customHeight="1" x14ac:dyDescent="0.25">
      <c r="B47" s="70" t="s">
        <v>83</v>
      </c>
      <c r="C47" s="29" t="s">
        <v>452</v>
      </c>
      <c r="D47" s="71" t="s">
        <v>19</v>
      </c>
      <c r="E47" s="44" t="s">
        <v>74</v>
      </c>
      <c r="F47" s="85">
        <v>40478</v>
      </c>
      <c r="G47" s="26">
        <v>1</v>
      </c>
      <c r="H47" s="37">
        <v>100</v>
      </c>
      <c r="I47" s="47">
        <v>423</v>
      </c>
    </row>
    <row r="48" spans="2:9" ht="18" customHeight="1" x14ac:dyDescent="0.25">
      <c r="B48" s="38" t="s">
        <v>83</v>
      </c>
      <c r="C48" s="29" t="s">
        <v>538</v>
      </c>
      <c r="D48" s="30" t="s">
        <v>19</v>
      </c>
      <c r="E48" s="31" t="s">
        <v>576</v>
      </c>
      <c r="F48" s="43">
        <v>41832</v>
      </c>
      <c r="G48" s="26">
        <v>1</v>
      </c>
      <c r="H48" s="37">
        <v>7.48</v>
      </c>
      <c r="I48" s="34">
        <v>23.16</v>
      </c>
    </row>
    <row r="49" spans="2:9" ht="18" customHeight="1" x14ac:dyDescent="0.25">
      <c r="B49" s="38" t="s">
        <v>83</v>
      </c>
      <c r="C49" s="29" t="s">
        <v>545</v>
      </c>
      <c r="D49" s="30" t="s">
        <v>19</v>
      </c>
      <c r="E49" s="31" t="s">
        <v>69</v>
      </c>
      <c r="F49" s="43">
        <v>41717</v>
      </c>
      <c r="G49" s="26">
        <v>1</v>
      </c>
      <c r="H49" s="37">
        <v>10</v>
      </c>
      <c r="I49" s="34">
        <v>20</v>
      </c>
    </row>
    <row r="50" spans="2:9" ht="18" customHeight="1" x14ac:dyDescent="0.25">
      <c r="B50" s="38" t="s">
        <v>83</v>
      </c>
      <c r="C50" s="29" t="s">
        <v>655</v>
      </c>
      <c r="D50" s="30" t="s">
        <v>19</v>
      </c>
      <c r="E50" s="31" t="s">
        <v>69</v>
      </c>
      <c r="F50" s="85">
        <v>42314</v>
      </c>
      <c r="G50" s="26">
        <v>1</v>
      </c>
      <c r="H50" s="37">
        <v>5.18</v>
      </c>
      <c r="I50" s="34">
        <v>14.96</v>
      </c>
    </row>
    <row r="51" spans="2:9" ht="18" customHeight="1" x14ac:dyDescent="0.25">
      <c r="B51" s="89" t="s">
        <v>84</v>
      </c>
      <c r="C51" s="90" t="s">
        <v>656</v>
      </c>
      <c r="D51" s="91" t="s">
        <v>28</v>
      </c>
      <c r="E51" s="58" t="s">
        <v>69</v>
      </c>
      <c r="F51" s="92">
        <v>1956</v>
      </c>
      <c r="G51" s="60">
        <v>1</v>
      </c>
      <c r="H51" s="93">
        <v>160</v>
      </c>
      <c r="I51" s="94">
        <v>400</v>
      </c>
    </row>
    <row r="52" spans="2:9" ht="18" customHeight="1" x14ac:dyDescent="0.25">
      <c r="B52" s="70" t="s">
        <v>85</v>
      </c>
      <c r="C52" s="39" t="s">
        <v>146</v>
      </c>
      <c r="D52" s="71" t="s">
        <v>15</v>
      </c>
      <c r="E52" s="31" t="s">
        <v>72</v>
      </c>
      <c r="F52" s="72">
        <v>1938</v>
      </c>
      <c r="G52" s="26">
        <v>1</v>
      </c>
      <c r="H52" s="50">
        <v>0.36</v>
      </c>
      <c r="I52" s="51">
        <v>1</v>
      </c>
    </row>
    <row r="53" spans="2:9" ht="18" customHeight="1" x14ac:dyDescent="0.25">
      <c r="B53" s="70" t="s">
        <v>85</v>
      </c>
      <c r="C53" s="29" t="s">
        <v>494</v>
      </c>
      <c r="D53" s="71" t="s">
        <v>15</v>
      </c>
      <c r="E53" s="31" t="s">
        <v>72</v>
      </c>
      <c r="F53" s="43">
        <v>41424</v>
      </c>
      <c r="G53" s="26">
        <v>1</v>
      </c>
      <c r="H53" s="37">
        <v>12.597</v>
      </c>
      <c r="I53" s="47">
        <v>58.11</v>
      </c>
    </row>
    <row r="54" spans="2:9" ht="18" customHeight="1" x14ac:dyDescent="0.25">
      <c r="B54" s="70" t="s">
        <v>85</v>
      </c>
      <c r="C54" s="29" t="s">
        <v>243</v>
      </c>
      <c r="D54" s="71" t="s">
        <v>15</v>
      </c>
      <c r="E54" s="44" t="s">
        <v>0</v>
      </c>
      <c r="F54" s="52">
        <v>40689</v>
      </c>
      <c r="G54" s="26">
        <v>1</v>
      </c>
      <c r="H54" s="64">
        <v>8.92</v>
      </c>
      <c r="I54" s="46">
        <v>63</v>
      </c>
    </row>
    <row r="55" spans="2:9" ht="18" customHeight="1" x14ac:dyDescent="0.25">
      <c r="B55" s="35" t="s">
        <v>129</v>
      </c>
      <c r="C55" s="29" t="s">
        <v>515</v>
      </c>
      <c r="D55" s="36" t="s">
        <v>43</v>
      </c>
      <c r="E55" s="31" t="s">
        <v>72</v>
      </c>
      <c r="F55" s="32">
        <f>F52</f>
        <v>1938</v>
      </c>
      <c r="G55" s="26">
        <v>1</v>
      </c>
      <c r="H55" s="37">
        <v>0.38</v>
      </c>
      <c r="I55" s="47">
        <v>1.44</v>
      </c>
    </row>
    <row r="56" spans="2:9" ht="18" customHeight="1" x14ac:dyDescent="0.25">
      <c r="B56" s="70" t="s">
        <v>130</v>
      </c>
      <c r="C56" s="39" t="s">
        <v>144</v>
      </c>
      <c r="D56" s="71" t="s">
        <v>55</v>
      </c>
      <c r="E56" s="31" t="s">
        <v>72</v>
      </c>
      <c r="F56" s="72">
        <v>1953</v>
      </c>
      <c r="G56" s="26">
        <v>1</v>
      </c>
      <c r="H56" s="50">
        <v>0.18</v>
      </c>
      <c r="I56" s="51">
        <v>0.5</v>
      </c>
    </row>
    <row r="57" spans="2:9" ht="18" customHeight="1" x14ac:dyDescent="0.25">
      <c r="B57" s="70" t="s">
        <v>130</v>
      </c>
      <c r="C57" s="39" t="s">
        <v>145</v>
      </c>
      <c r="D57" s="71" t="s">
        <v>55</v>
      </c>
      <c r="E57" s="31" t="s">
        <v>72</v>
      </c>
      <c r="F57" s="72">
        <v>1953</v>
      </c>
      <c r="G57" s="26">
        <v>1</v>
      </c>
      <c r="H57" s="50">
        <v>0.26400000000000001</v>
      </c>
      <c r="I57" s="51">
        <v>1</v>
      </c>
    </row>
    <row r="58" spans="2:9" ht="18" customHeight="1" x14ac:dyDescent="0.25">
      <c r="B58" s="70" t="s">
        <v>130</v>
      </c>
      <c r="C58" s="29" t="s">
        <v>200</v>
      </c>
      <c r="D58" s="71" t="s">
        <v>55</v>
      </c>
      <c r="E58" s="31" t="s">
        <v>72</v>
      </c>
      <c r="F58" s="85">
        <v>41606</v>
      </c>
      <c r="G58" s="26">
        <v>1</v>
      </c>
      <c r="H58" s="37">
        <v>9.6</v>
      </c>
      <c r="I58" s="63">
        <v>49.21</v>
      </c>
    </row>
    <row r="59" spans="2:9" ht="18" customHeight="1" x14ac:dyDescent="0.25">
      <c r="B59" s="70" t="s">
        <v>130</v>
      </c>
      <c r="C59" s="29" t="s">
        <v>334</v>
      </c>
      <c r="D59" s="71" t="s">
        <v>55</v>
      </c>
      <c r="E59" s="31" t="s">
        <v>72</v>
      </c>
      <c r="F59" s="32">
        <v>2000</v>
      </c>
      <c r="G59" s="26">
        <v>1</v>
      </c>
      <c r="H59" s="37">
        <v>9.3000000000000007</v>
      </c>
      <c r="I59" s="34">
        <v>55</v>
      </c>
    </row>
    <row r="60" spans="2:9" ht="18" customHeight="1" x14ac:dyDescent="0.25">
      <c r="B60" s="38" t="s">
        <v>130</v>
      </c>
      <c r="C60" s="29" t="s">
        <v>550</v>
      </c>
      <c r="D60" s="30" t="s">
        <v>55</v>
      </c>
      <c r="E60" s="31" t="s">
        <v>576</v>
      </c>
      <c r="F60" s="43">
        <v>41880</v>
      </c>
      <c r="G60" s="26">
        <v>1</v>
      </c>
      <c r="H60" s="37">
        <v>30.24</v>
      </c>
      <c r="I60" s="34">
        <v>171.68</v>
      </c>
    </row>
    <row r="61" spans="2:9" ht="18" customHeight="1" x14ac:dyDescent="0.25">
      <c r="B61" s="38" t="s">
        <v>131</v>
      </c>
      <c r="C61" s="39" t="s">
        <v>176</v>
      </c>
      <c r="D61" s="30" t="s">
        <v>24</v>
      </c>
      <c r="E61" s="31" t="s">
        <v>69</v>
      </c>
      <c r="F61" s="40">
        <v>1991</v>
      </c>
      <c r="G61" s="26">
        <v>1</v>
      </c>
      <c r="H61" s="41">
        <v>9.35</v>
      </c>
      <c r="I61" s="96">
        <v>41.6</v>
      </c>
    </row>
    <row r="62" spans="2:9" ht="18" customHeight="1" x14ac:dyDescent="0.25">
      <c r="B62" s="38" t="s">
        <v>131</v>
      </c>
      <c r="C62" s="44" t="s">
        <v>236</v>
      </c>
      <c r="D62" s="30" t="s">
        <v>24</v>
      </c>
      <c r="E62" s="31" t="s">
        <v>72</v>
      </c>
      <c r="F62" s="43">
        <v>40991</v>
      </c>
      <c r="G62" s="26">
        <v>1</v>
      </c>
      <c r="H62" s="95">
        <v>9.26</v>
      </c>
      <c r="I62" s="47">
        <v>35</v>
      </c>
    </row>
    <row r="63" spans="2:9" ht="18" customHeight="1" x14ac:dyDescent="0.25">
      <c r="B63" s="38" t="s">
        <v>131</v>
      </c>
      <c r="C63" s="29" t="s">
        <v>245</v>
      </c>
      <c r="D63" s="30" t="s">
        <v>24</v>
      </c>
      <c r="E63" s="31" t="s">
        <v>72</v>
      </c>
      <c r="F63" s="32">
        <f>F61</f>
        <v>1991</v>
      </c>
      <c r="G63" s="26">
        <v>1</v>
      </c>
      <c r="H63" s="37">
        <v>7.23</v>
      </c>
      <c r="I63" s="47">
        <v>22</v>
      </c>
    </row>
    <row r="64" spans="2:9" ht="18" customHeight="1" x14ac:dyDescent="0.25">
      <c r="B64" s="38" t="s">
        <v>131</v>
      </c>
      <c r="C64" s="29" t="s">
        <v>280</v>
      </c>
      <c r="D64" s="30" t="s">
        <v>24</v>
      </c>
      <c r="E64" s="31" t="s">
        <v>72</v>
      </c>
      <c r="F64" s="43">
        <v>40879</v>
      </c>
      <c r="G64" s="26">
        <v>1</v>
      </c>
      <c r="H64" s="64">
        <v>4.67</v>
      </c>
      <c r="I64" s="46">
        <v>21</v>
      </c>
    </row>
    <row r="65" spans="2:9" ht="18" customHeight="1" x14ac:dyDescent="0.25">
      <c r="B65" s="38" t="s">
        <v>131</v>
      </c>
      <c r="C65" s="44" t="s">
        <v>316</v>
      </c>
      <c r="D65" s="30" t="s">
        <v>24</v>
      </c>
      <c r="E65" s="31" t="s">
        <v>72</v>
      </c>
      <c r="F65" s="43">
        <v>41003</v>
      </c>
      <c r="G65" s="26">
        <v>1</v>
      </c>
      <c r="H65" s="64">
        <v>8.0239999999999991</v>
      </c>
      <c r="I65" s="47">
        <v>30</v>
      </c>
    </row>
    <row r="66" spans="2:9" ht="18" customHeight="1" x14ac:dyDescent="0.25">
      <c r="B66" s="38" t="s">
        <v>131</v>
      </c>
      <c r="C66" s="29" t="s">
        <v>579</v>
      </c>
      <c r="D66" s="30" t="s">
        <v>24</v>
      </c>
      <c r="E66" s="31" t="s">
        <v>576</v>
      </c>
      <c r="F66" s="43">
        <v>41754</v>
      </c>
      <c r="G66" s="26">
        <v>1</v>
      </c>
      <c r="H66" s="37">
        <v>46.2</v>
      </c>
      <c r="I66" s="34">
        <v>141.37</v>
      </c>
    </row>
    <row r="67" spans="2:9" ht="18" customHeight="1" x14ac:dyDescent="0.25">
      <c r="B67" s="35" t="s">
        <v>86</v>
      </c>
      <c r="C67" s="44" t="s">
        <v>227</v>
      </c>
      <c r="D67" s="36" t="s">
        <v>18</v>
      </c>
      <c r="E67" s="31" t="s">
        <v>72</v>
      </c>
      <c r="F67" s="43">
        <v>41302</v>
      </c>
      <c r="G67" s="26">
        <v>1</v>
      </c>
      <c r="H67" s="33">
        <v>3.4</v>
      </c>
      <c r="I67" s="47">
        <v>10.351000000000001</v>
      </c>
    </row>
    <row r="68" spans="2:9" ht="18" customHeight="1" x14ac:dyDescent="0.25">
      <c r="B68" s="35" t="s">
        <v>86</v>
      </c>
      <c r="C68" s="29" t="s">
        <v>234</v>
      </c>
      <c r="D68" s="36" t="s">
        <v>18</v>
      </c>
      <c r="E68" s="31" t="s">
        <v>72</v>
      </c>
      <c r="F68" s="43">
        <v>41198</v>
      </c>
      <c r="G68" s="26">
        <v>1</v>
      </c>
      <c r="H68" s="37">
        <v>2.15</v>
      </c>
      <c r="I68" s="34">
        <v>6.2590000000000003</v>
      </c>
    </row>
    <row r="69" spans="2:9" ht="18" customHeight="1" x14ac:dyDescent="0.25">
      <c r="B69" s="35" t="s">
        <v>86</v>
      </c>
      <c r="C69" s="29" t="s">
        <v>294</v>
      </c>
      <c r="D69" s="36" t="s">
        <v>18</v>
      </c>
      <c r="E69" s="31" t="s">
        <v>72</v>
      </c>
      <c r="F69" s="43">
        <v>41338</v>
      </c>
      <c r="G69" s="26">
        <v>1</v>
      </c>
      <c r="H69" s="37">
        <v>4.0469999999999997</v>
      </c>
      <c r="I69" s="34">
        <v>12.56</v>
      </c>
    </row>
    <row r="70" spans="2:9" ht="18" customHeight="1" x14ac:dyDescent="0.25">
      <c r="B70" s="35" t="s">
        <v>86</v>
      </c>
      <c r="C70" s="29" t="s">
        <v>303</v>
      </c>
      <c r="D70" s="36" t="s">
        <v>18</v>
      </c>
      <c r="E70" s="31" t="s">
        <v>72</v>
      </c>
      <c r="F70" s="32">
        <v>2005</v>
      </c>
      <c r="G70" s="26">
        <v>1</v>
      </c>
      <c r="H70" s="37">
        <v>14.61</v>
      </c>
      <c r="I70" s="47">
        <v>50</v>
      </c>
    </row>
    <row r="71" spans="2:9" ht="18" customHeight="1" x14ac:dyDescent="0.25">
      <c r="B71" s="35" t="s">
        <v>86</v>
      </c>
      <c r="C71" s="29" t="s">
        <v>432</v>
      </c>
      <c r="D71" s="36" t="s">
        <v>18</v>
      </c>
      <c r="E71" s="31" t="s">
        <v>69</v>
      </c>
      <c r="F71" s="85">
        <v>41586</v>
      </c>
      <c r="G71" s="26">
        <v>1</v>
      </c>
      <c r="H71" s="45">
        <v>74</v>
      </c>
      <c r="I71" s="46">
        <v>203</v>
      </c>
    </row>
    <row r="72" spans="2:9" ht="18" customHeight="1" x14ac:dyDescent="0.25">
      <c r="B72" s="35" t="s">
        <v>86</v>
      </c>
      <c r="C72" s="29" t="s">
        <v>440</v>
      </c>
      <c r="D72" s="36" t="s">
        <v>18</v>
      </c>
      <c r="E72" s="31" t="s">
        <v>72</v>
      </c>
      <c r="F72" s="85">
        <v>40340</v>
      </c>
      <c r="G72" s="26">
        <v>1</v>
      </c>
      <c r="H72" s="37">
        <v>8.68</v>
      </c>
      <c r="I72" s="47">
        <v>34</v>
      </c>
    </row>
    <row r="73" spans="2:9" ht="18" customHeight="1" x14ac:dyDescent="0.25">
      <c r="B73" s="105" t="s">
        <v>86</v>
      </c>
      <c r="C73" s="56" t="s">
        <v>149</v>
      </c>
      <c r="D73" s="97" t="s">
        <v>18</v>
      </c>
      <c r="E73" s="58" t="s">
        <v>72</v>
      </c>
      <c r="F73" s="85">
        <v>42210</v>
      </c>
      <c r="G73" s="60">
        <v>1</v>
      </c>
      <c r="H73" s="33">
        <v>17.177</v>
      </c>
      <c r="I73" s="61">
        <v>51</v>
      </c>
    </row>
    <row r="74" spans="2:9" ht="18" customHeight="1" x14ac:dyDescent="0.25">
      <c r="B74" s="98" t="s">
        <v>87</v>
      </c>
      <c r="C74" s="29" t="s">
        <v>235</v>
      </c>
      <c r="D74" s="99" t="s">
        <v>6</v>
      </c>
      <c r="E74" s="31" t="s">
        <v>72</v>
      </c>
      <c r="F74" s="43">
        <v>40555</v>
      </c>
      <c r="G74" s="26">
        <v>1</v>
      </c>
      <c r="H74" s="64">
        <v>8.1999999999999993</v>
      </c>
      <c r="I74" s="46">
        <v>60</v>
      </c>
    </row>
    <row r="75" spans="2:9" ht="18" customHeight="1" x14ac:dyDescent="0.25">
      <c r="B75" s="100" t="s">
        <v>87</v>
      </c>
      <c r="C75" s="62" t="s">
        <v>509</v>
      </c>
      <c r="D75" s="99" t="s">
        <v>6</v>
      </c>
      <c r="E75" s="31" t="s">
        <v>72</v>
      </c>
      <c r="F75" s="85">
        <v>41337</v>
      </c>
      <c r="G75" s="26">
        <v>1</v>
      </c>
      <c r="H75" s="37">
        <v>19.109000000000002</v>
      </c>
      <c r="I75" s="34">
        <v>111</v>
      </c>
    </row>
    <row r="76" spans="2:9" ht="18" customHeight="1" x14ac:dyDescent="0.25">
      <c r="B76" s="70" t="s">
        <v>88</v>
      </c>
      <c r="C76" s="39" t="s">
        <v>147</v>
      </c>
      <c r="D76" s="71" t="s">
        <v>44</v>
      </c>
      <c r="E76" s="31" t="s">
        <v>72</v>
      </c>
      <c r="F76" s="72">
        <v>1986</v>
      </c>
      <c r="G76" s="26">
        <v>1</v>
      </c>
      <c r="H76" s="50">
        <v>1.04</v>
      </c>
      <c r="I76" s="51">
        <v>2</v>
      </c>
    </row>
    <row r="77" spans="2:9" ht="18" customHeight="1" x14ac:dyDescent="0.25">
      <c r="B77" s="70" t="s">
        <v>88</v>
      </c>
      <c r="C77" s="39" t="s">
        <v>148</v>
      </c>
      <c r="D77" s="71" t="s">
        <v>44</v>
      </c>
      <c r="E77" s="31" t="s">
        <v>72</v>
      </c>
      <c r="F77" s="72">
        <v>1972</v>
      </c>
      <c r="G77" s="26">
        <v>1</v>
      </c>
      <c r="H77" s="50">
        <v>0.6</v>
      </c>
      <c r="I77" s="51">
        <v>1</v>
      </c>
    </row>
    <row r="78" spans="2:9" ht="18" customHeight="1" x14ac:dyDescent="0.25">
      <c r="B78" s="70" t="s">
        <v>88</v>
      </c>
      <c r="C78" s="39" t="s">
        <v>149</v>
      </c>
      <c r="D78" s="71" t="s">
        <v>44</v>
      </c>
      <c r="E78" s="31" t="s">
        <v>72</v>
      </c>
      <c r="F78" s="72">
        <v>1959</v>
      </c>
      <c r="G78" s="26">
        <v>1</v>
      </c>
      <c r="H78" s="50">
        <v>10.8</v>
      </c>
      <c r="I78" s="51">
        <v>70</v>
      </c>
    </row>
    <row r="79" spans="2:9" ht="18" customHeight="1" x14ac:dyDescent="0.25">
      <c r="B79" s="70" t="s">
        <v>88</v>
      </c>
      <c r="C79" s="39" t="s">
        <v>154</v>
      </c>
      <c r="D79" s="71" t="s">
        <v>44</v>
      </c>
      <c r="E79" s="31" t="s">
        <v>72</v>
      </c>
      <c r="F79" s="86">
        <v>1952</v>
      </c>
      <c r="G79" s="26">
        <v>1</v>
      </c>
      <c r="H79" s="87">
        <v>7.4999999999999997E-2</v>
      </c>
      <c r="I79" s="88">
        <v>0.4</v>
      </c>
    </row>
    <row r="80" spans="2:9" ht="18" customHeight="1" x14ac:dyDescent="0.25">
      <c r="B80" s="101" t="s">
        <v>88</v>
      </c>
      <c r="C80" s="90" t="s">
        <v>657</v>
      </c>
      <c r="D80" s="102" t="s">
        <v>44</v>
      </c>
      <c r="E80" s="58" t="s">
        <v>72</v>
      </c>
      <c r="F80" s="182">
        <v>42145</v>
      </c>
      <c r="G80" s="60">
        <v>1</v>
      </c>
      <c r="H80" s="93">
        <v>6.63</v>
      </c>
      <c r="I80" s="94">
        <v>13</v>
      </c>
    </row>
    <row r="81" spans="2:9" ht="18" customHeight="1" x14ac:dyDescent="0.25">
      <c r="B81" s="35" t="s">
        <v>89</v>
      </c>
      <c r="C81" s="39" t="s">
        <v>155</v>
      </c>
      <c r="D81" s="36" t="s">
        <v>38</v>
      </c>
      <c r="E81" s="31" t="s">
        <v>72</v>
      </c>
      <c r="F81" s="86">
        <v>1934</v>
      </c>
      <c r="G81" s="26">
        <v>1</v>
      </c>
      <c r="H81" s="87">
        <v>1.1200000000000001</v>
      </c>
      <c r="I81" s="88">
        <v>1.25</v>
      </c>
    </row>
    <row r="82" spans="2:9" ht="18" customHeight="1" x14ac:dyDescent="0.25">
      <c r="B82" s="35" t="s">
        <v>89</v>
      </c>
      <c r="C82" s="29" t="s">
        <v>396</v>
      </c>
      <c r="D82" s="36" t="s">
        <v>38</v>
      </c>
      <c r="E82" s="31" t="s">
        <v>69</v>
      </c>
      <c r="F82" s="52">
        <v>41125</v>
      </c>
      <c r="G82" s="26">
        <v>1</v>
      </c>
      <c r="H82" s="64">
        <v>38</v>
      </c>
      <c r="I82" s="46">
        <v>120.5</v>
      </c>
    </row>
    <row r="83" spans="2:9" ht="18" customHeight="1" x14ac:dyDescent="0.25">
      <c r="B83" s="103" t="s">
        <v>89</v>
      </c>
      <c r="C83" s="104" t="s">
        <v>241</v>
      </c>
      <c r="D83" s="29" t="s">
        <v>38</v>
      </c>
      <c r="E83" s="31" t="s">
        <v>72</v>
      </c>
      <c r="F83" s="85">
        <v>40367</v>
      </c>
      <c r="G83" s="26">
        <v>1</v>
      </c>
      <c r="H83" s="37">
        <v>16.425000000000001</v>
      </c>
      <c r="I83" s="47">
        <v>92.2</v>
      </c>
    </row>
    <row r="84" spans="2:9" ht="18" customHeight="1" x14ac:dyDescent="0.25">
      <c r="B84" s="103" t="s">
        <v>89</v>
      </c>
      <c r="C84" s="44" t="s">
        <v>242</v>
      </c>
      <c r="D84" s="29" t="s">
        <v>38</v>
      </c>
      <c r="E84" s="31" t="s">
        <v>72</v>
      </c>
      <c r="F84" s="43">
        <v>41297</v>
      </c>
      <c r="G84" s="26">
        <v>1</v>
      </c>
      <c r="H84" s="45">
        <v>67.16</v>
      </c>
      <c r="I84" s="46">
        <v>185</v>
      </c>
    </row>
    <row r="85" spans="2:9" ht="18" customHeight="1" x14ac:dyDescent="0.25">
      <c r="B85" s="103" t="s">
        <v>89</v>
      </c>
      <c r="C85" s="44" t="s">
        <v>424</v>
      </c>
      <c r="D85" s="29" t="s">
        <v>38</v>
      </c>
      <c r="E85" s="31" t="s">
        <v>69</v>
      </c>
      <c r="F85" s="43">
        <v>41060</v>
      </c>
      <c r="G85" s="26">
        <v>1</v>
      </c>
      <c r="H85" s="37">
        <v>28.22</v>
      </c>
      <c r="I85" s="63">
        <v>71.55</v>
      </c>
    </row>
    <row r="86" spans="2:9" ht="18" customHeight="1" x14ac:dyDescent="0.25">
      <c r="B86" s="103" t="s">
        <v>89</v>
      </c>
      <c r="C86" s="29" t="s">
        <v>307</v>
      </c>
      <c r="D86" s="29" t="s">
        <v>38</v>
      </c>
      <c r="E86" s="31" t="s">
        <v>72</v>
      </c>
      <c r="F86" s="32">
        <v>2008</v>
      </c>
      <c r="G86" s="26">
        <v>1</v>
      </c>
      <c r="H86" s="37">
        <v>28</v>
      </c>
      <c r="I86" s="47">
        <v>123</v>
      </c>
    </row>
    <row r="87" spans="2:9" ht="18" customHeight="1" x14ac:dyDescent="0.25">
      <c r="B87" s="105" t="s">
        <v>89</v>
      </c>
      <c r="C87" s="56" t="s">
        <v>658</v>
      </c>
      <c r="D87" s="56" t="s">
        <v>38</v>
      </c>
      <c r="E87" s="58" t="s">
        <v>72</v>
      </c>
      <c r="F87" s="85">
        <v>41060</v>
      </c>
      <c r="G87" s="60">
        <v>1</v>
      </c>
      <c r="H87" s="33">
        <v>41</v>
      </c>
      <c r="I87" s="61">
        <v>150.69999999999999</v>
      </c>
    </row>
    <row r="88" spans="2:9" ht="18" customHeight="1" x14ac:dyDescent="0.25">
      <c r="B88" s="105" t="s">
        <v>89</v>
      </c>
      <c r="C88" s="56" t="s">
        <v>659</v>
      </c>
      <c r="D88" s="56" t="s">
        <v>38</v>
      </c>
      <c r="E88" s="58" t="s">
        <v>72</v>
      </c>
      <c r="F88" s="85">
        <v>41166</v>
      </c>
      <c r="G88" s="60">
        <v>1</v>
      </c>
      <c r="H88" s="33">
        <v>6.08</v>
      </c>
      <c r="I88" s="61">
        <v>33.700000000000003</v>
      </c>
    </row>
    <row r="89" spans="2:9" ht="18" customHeight="1" x14ac:dyDescent="0.25">
      <c r="B89" s="106" t="s">
        <v>90</v>
      </c>
      <c r="C89" s="39" t="s">
        <v>166</v>
      </c>
      <c r="D89" s="31" t="s">
        <v>7</v>
      </c>
      <c r="E89" s="31" t="s">
        <v>72</v>
      </c>
      <c r="F89" s="72">
        <v>1962</v>
      </c>
      <c r="G89" s="26">
        <v>1</v>
      </c>
      <c r="H89" s="50">
        <v>0.55200000000000005</v>
      </c>
      <c r="I89" s="51">
        <v>1</v>
      </c>
    </row>
    <row r="90" spans="2:9" ht="18" customHeight="1" x14ac:dyDescent="0.25">
      <c r="B90" s="107" t="s">
        <v>90</v>
      </c>
      <c r="C90" s="44" t="s">
        <v>660</v>
      </c>
      <c r="D90" s="108" t="s">
        <v>7</v>
      </c>
      <c r="E90" s="31" t="s">
        <v>72</v>
      </c>
      <c r="F90" s="32">
        <v>2006</v>
      </c>
      <c r="G90" s="26">
        <v>1</v>
      </c>
      <c r="H90" s="37">
        <v>14</v>
      </c>
      <c r="I90" s="34">
        <v>55.61</v>
      </c>
    </row>
    <row r="91" spans="2:9" ht="18" customHeight="1" x14ac:dyDescent="0.25">
      <c r="B91" s="107" t="s">
        <v>90</v>
      </c>
      <c r="C91" s="29" t="s">
        <v>208</v>
      </c>
      <c r="D91" s="108" t="s">
        <v>7</v>
      </c>
      <c r="E91" s="31" t="s">
        <v>72</v>
      </c>
      <c r="F91" s="32">
        <v>2010</v>
      </c>
      <c r="G91" s="26">
        <v>1</v>
      </c>
      <c r="H91" s="37">
        <v>2.06</v>
      </c>
      <c r="I91" s="34">
        <v>14.06</v>
      </c>
    </row>
    <row r="92" spans="2:9" ht="18" customHeight="1" x14ac:dyDescent="0.25">
      <c r="B92" s="107" t="s">
        <v>90</v>
      </c>
      <c r="C92" s="29" t="s">
        <v>209</v>
      </c>
      <c r="D92" s="108" t="s">
        <v>7</v>
      </c>
      <c r="E92" s="31" t="s">
        <v>72</v>
      </c>
      <c r="F92" s="43">
        <v>41026</v>
      </c>
      <c r="G92" s="26">
        <v>1</v>
      </c>
      <c r="H92" s="45">
        <v>3.75</v>
      </c>
      <c r="I92" s="47">
        <v>15.07</v>
      </c>
    </row>
    <row r="93" spans="2:9" ht="18" customHeight="1" x14ac:dyDescent="0.25">
      <c r="B93" s="107" t="s">
        <v>90</v>
      </c>
      <c r="C93" s="109" t="s">
        <v>222</v>
      </c>
      <c r="D93" s="108" t="s">
        <v>7</v>
      </c>
      <c r="E93" s="31" t="s">
        <v>72</v>
      </c>
      <c r="F93" s="43">
        <v>41264</v>
      </c>
      <c r="G93" s="26">
        <v>1</v>
      </c>
      <c r="H93" s="37">
        <v>9.6</v>
      </c>
      <c r="I93" s="34">
        <v>44</v>
      </c>
    </row>
    <row r="94" spans="2:9" ht="18" customHeight="1" x14ac:dyDescent="0.25">
      <c r="B94" s="107" t="s">
        <v>90</v>
      </c>
      <c r="C94" s="44" t="s">
        <v>412</v>
      </c>
      <c r="D94" s="108" t="s">
        <v>7</v>
      </c>
      <c r="E94" s="31" t="s">
        <v>72</v>
      </c>
      <c r="F94" s="85">
        <v>41299</v>
      </c>
      <c r="G94" s="26">
        <v>1</v>
      </c>
      <c r="H94" s="37">
        <v>20.12</v>
      </c>
      <c r="I94" s="34">
        <v>32.29</v>
      </c>
    </row>
    <row r="95" spans="2:9" ht="18" customHeight="1" x14ac:dyDescent="0.25">
      <c r="B95" s="107" t="s">
        <v>90</v>
      </c>
      <c r="C95" s="29" t="s">
        <v>417</v>
      </c>
      <c r="D95" s="108" t="s">
        <v>7</v>
      </c>
      <c r="E95" s="31" t="s">
        <v>69</v>
      </c>
      <c r="F95" s="32">
        <v>2010</v>
      </c>
      <c r="G95" s="26">
        <v>1</v>
      </c>
      <c r="H95" s="37">
        <v>38.25</v>
      </c>
      <c r="I95" s="61">
        <v>122.89</v>
      </c>
    </row>
    <row r="96" spans="2:9" ht="18" customHeight="1" x14ac:dyDescent="0.25">
      <c r="B96" s="107" t="s">
        <v>90</v>
      </c>
      <c r="C96" s="44" t="s">
        <v>261</v>
      </c>
      <c r="D96" s="108" t="s">
        <v>7</v>
      </c>
      <c r="E96" s="31" t="s">
        <v>72</v>
      </c>
      <c r="F96" s="43">
        <v>41438</v>
      </c>
      <c r="G96" s="26">
        <v>1</v>
      </c>
      <c r="H96" s="37">
        <v>2.63</v>
      </c>
      <c r="I96" s="34">
        <v>9.4499999999999993</v>
      </c>
    </row>
    <row r="97" spans="2:9" ht="18" customHeight="1" x14ac:dyDescent="0.25">
      <c r="B97" s="107" t="s">
        <v>90</v>
      </c>
      <c r="C97" s="29" t="s">
        <v>315</v>
      </c>
      <c r="D97" s="108" t="s">
        <v>7</v>
      </c>
      <c r="E97" s="31" t="s">
        <v>72</v>
      </c>
      <c r="F97" s="85">
        <v>40824</v>
      </c>
      <c r="G97" s="26">
        <v>1</v>
      </c>
      <c r="H97" s="37">
        <v>9.2650000000000006</v>
      </c>
      <c r="I97" s="63">
        <v>40.69</v>
      </c>
    </row>
    <row r="98" spans="2:9" ht="18" customHeight="1" x14ac:dyDescent="0.25">
      <c r="B98" s="107" t="s">
        <v>90</v>
      </c>
      <c r="C98" s="44" t="s">
        <v>321</v>
      </c>
      <c r="D98" s="108" t="s">
        <v>7</v>
      </c>
      <c r="E98" s="31" t="s">
        <v>72</v>
      </c>
      <c r="F98" s="85">
        <v>40954</v>
      </c>
      <c r="G98" s="26">
        <v>1</v>
      </c>
      <c r="H98" s="37">
        <v>12.045999999999999</v>
      </c>
      <c r="I98" s="34">
        <v>47.56</v>
      </c>
    </row>
    <row r="99" spans="2:9" ht="18" customHeight="1" x14ac:dyDescent="0.25">
      <c r="B99" s="107" t="s">
        <v>90</v>
      </c>
      <c r="C99" s="29" t="s">
        <v>446</v>
      </c>
      <c r="D99" s="108" t="s">
        <v>7</v>
      </c>
      <c r="E99" s="31" t="s">
        <v>72</v>
      </c>
      <c r="F99" s="32">
        <v>2006</v>
      </c>
      <c r="G99" s="26">
        <v>1</v>
      </c>
      <c r="H99" s="33">
        <v>16</v>
      </c>
      <c r="I99" s="63">
        <f>106.49-55.61</f>
        <v>50.879999999999995</v>
      </c>
    </row>
    <row r="100" spans="2:9" ht="18" customHeight="1" x14ac:dyDescent="0.25">
      <c r="B100" s="107" t="s">
        <v>90</v>
      </c>
      <c r="C100" s="29" t="s">
        <v>361</v>
      </c>
      <c r="D100" s="108" t="s">
        <v>7</v>
      </c>
      <c r="E100" s="31" t="s">
        <v>72</v>
      </c>
      <c r="F100" s="32">
        <v>2008</v>
      </c>
      <c r="G100" s="26">
        <v>1</v>
      </c>
      <c r="H100" s="37">
        <v>7.5</v>
      </c>
      <c r="I100" s="34">
        <v>35</v>
      </c>
    </row>
    <row r="101" spans="2:9" ht="18" customHeight="1" x14ac:dyDescent="0.25">
      <c r="B101" s="107" t="s">
        <v>90</v>
      </c>
      <c r="C101" s="29" t="s">
        <v>362</v>
      </c>
      <c r="D101" s="108" t="s">
        <v>7</v>
      </c>
      <c r="E101" s="31" t="s">
        <v>69</v>
      </c>
      <c r="F101" s="32">
        <v>2009</v>
      </c>
      <c r="G101" s="26">
        <v>1</v>
      </c>
      <c r="H101" s="37">
        <v>4.76</v>
      </c>
      <c r="I101" s="34">
        <v>14.93</v>
      </c>
    </row>
    <row r="102" spans="2:9" ht="18" customHeight="1" x14ac:dyDescent="0.25">
      <c r="B102" s="107" t="s">
        <v>90</v>
      </c>
      <c r="C102" s="29" t="s">
        <v>373</v>
      </c>
      <c r="D102" s="108" t="s">
        <v>7</v>
      </c>
      <c r="E102" s="31" t="s">
        <v>72</v>
      </c>
      <c r="F102" s="52">
        <v>41481</v>
      </c>
      <c r="G102" s="26">
        <v>1</v>
      </c>
      <c r="H102" s="64">
        <v>8.9700000000000006</v>
      </c>
      <c r="I102" s="46">
        <v>24.84</v>
      </c>
    </row>
    <row r="103" spans="2:9" ht="18" customHeight="1" x14ac:dyDescent="0.25">
      <c r="B103" s="110" t="s">
        <v>90</v>
      </c>
      <c r="C103" s="29" t="s">
        <v>246</v>
      </c>
      <c r="D103" s="111" t="s">
        <v>7</v>
      </c>
      <c r="E103" s="31" t="s">
        <v>576</v>
      </c>
      <c r="F103" s="43">
        <v>41711</v>
      </c>
      <c r="G103" s="26">
        <v>1</v>
      </c>
      <c r="H103" s="37">
        <v>6.84</v>
      </c>
      <c r="I103" s="34">
        <v>20</v>
      </c>
    </row>
    <row r="104" spans="2:9" ht="18" customHeight="1" x14ac:dyDescent="0.25">
      <c r="B104" s="183" t="s">
        <v>90</v>
      </c>
      <c r="C104" s="56" t="s">
        <v>661</v>
      </c>
      <c r="D104" s="184" t="s">
        <v>7</v>
      </c>
      <c r="E104" s="58" t="s">
        <v>69</v>
      </c>
      <c r="F104" s="182">
        <v>42132</v>
      </c>
      <c r="G104" s="60">
        <v>1</v>
      </c>
      <c r="H104" s="45">
        <f>41.35-H102</f>
        <v>32.380000000000003</v>
      </c>
      <c r="I104" s="45">
        <f>93.57-I102</f>
        <v>68.72999999999999</v>
      </c>
    </row>
    <row r="105" spans="2:9" ht="18" customHeight="1" x14ac:dyDescent="0.25">
      <c r="B105" s="113" t="s">
        <v>90</v>
      </c>
      <c r="C105" s="56" t="s">
        <v>662</v>
      </c>
      <c r="D105" s="114" t="s">
        <v>7</v>
      </c>
      <c r="E105" s="58" t="s">
        <v>69</v>
      </c>
      <c r="F105" s="65">
        <v>1993</v>
      </c>
      <c r="G105" s="60">
        <v>1</v>
      </c>
      <c r="H105" s="33">
        <v>46.4</v>
      </c>
      <c r="I105" s="63">
        <v>206</v>
      </c>
    </row>
    <row r="106" spans="2:9" ht="18" customHeight="1" x14ac:dyDescent="0.25">
      <c r="B106" s="113" t="s">
        <v>90</v>
      </c>
      <c r="C106" s="56" t="s">
        <v>663</v>
      </c>
      <c r="D106" s="114" t="s">
        <v>7</v>
      </c>
      <c r="E106" s="58" t="s">
        <v>72</v>
      </c>
      <c r="F106" s="65">
        <v>2015</v>
      </c>
      <c r="G106" s="60">
        <v>1</v>
      </c>
      <c r="H106" s="33">
        <v>1.71</v>
      </c>
      <c r="I106" s="63">
        <v>6.5</v>
      </c>
    </row>
    <row r="107" spans="2:9" ht="18" customHeight="1" x14ac:dyDescent="0.25">
      <c r="B107" s="113" t="s">
        <v>90</v>
      </c>
      <c r="C107" s="56" t="s">
        <v>664</v>
      </c>
      <c r="D107" s="114" t="s">
        <v>7</v>
      </c>
      <c r="E107" s="58" t="s">
        <v>72</v>
      </c>
      <c r="F107" s="65">
        <v>1956</v>
      </c>
      <c r="G107" s="60">
        <v>1</v>
      </c>
      <c r="H107" s="33">
        <v>26.4</v>
      </c>
      <c r="I107" s="63">
        <v>150</v>
      </c>
    </row>
    <row r="108" spans="2:9" ht="18" customHeight="1" x14ac:dyDescent="0.25">
      <c r="B108" s="113" t="s">
        <v>90</v>
      </c>
      <c r="C108" s="56" t="s">
        <v>665</v>
      </c>
      <c r="D108" s="114" t="s">
        <v>7</v>
      </c>
      <c r="E108" s="58" t="s">
        <v>72</v>
      </c>
      <c r="F108" s="65">
        <v>1986</v>
      </c>
      <c r="G108" s="60">
        <v>1</v>
      </c>
      <c r="H108" s="33">
        <v>6</v>
      </c>
      <c r="I108" s="63">
        <v>20</v>
      </c>
    </row>
    <row r="109" spans="2:9" ht="18" customHeight="1" x14ac:dyDescent="0.25">
      <c r="B109" s="113" t="s">
        <v>90</v>
      </c>
      <c r="C109" s="56" t="s">
        <v>666</v>
      </c>
      <c r="D109" s="114" t="s">
        <v>7</v>
      </c>
      <c r="E109" s="58" t="s">
        <v>72</v>
      </c>
      <c r="F109" s="65">
        <v>1987</v>
      </c>
      <c r="G109" s="60">
        <v>1</v>
      </c>
      <c r="H109" s="33">
        <v>48</v>
      </c>
      <c r="I109" s="63">
        <v>220</v>
      </c>
    </row>
    <row r="110" spans="2:9" ht="18" customHeight="1" x14ac:dyDescent="0.25">
      <c r="B110" s="110" t="s">
        <v>91</v>
      </c>
      <c r="C110" s="39" t="s">
        <v>172</v>
      </c>
      <c r="D110" s="111" t="s">
        <v>35</v>
      </c>
      <c r="E110" s="112" t="s">
        <v>70</v>
      </c>
      <c r="F110" s="40">
        <v>1960</v>
      </c>
      <c r="G110" s="26">
        <v>1</v>
      </c>
      <c r="H110" s="41">
        <v>8.25</v>
      </c>
      <c r="I110" s="42">
        <v>3</v>
      </c>
    </row>
    <row r="111" spans="2:9" ht="18" customHeight="1" x14ac:dyDescent="0.25">
      <c r="B111" s="110" t="s">
        <v>91</v>
      </c>
      <c r="C111" s="39" t="s">
        <v>188</v>
      </c>
      <c r="D111" s="111" t="s">
        <v>35</v>
      </c>
      <c r="E111" s="31" t="s">
        <v>72</v>
      </c>
      <c r="F111" s="40">
        <v>1989</v>
      </c>
      <c r="G111" s="26">
        <v>1</v>
      </c>
      <c r="H111" s="41">
        <v>13</v>
      </c>
      <c r="I111" s="42">
        <v>36</v>
      </c>
    </row>
    <row r="112" spans="2:9" ht="18" customHeight="1" x14ac:dyDescent="0.25">
      <c r="B112" s="110" t="s">
        <v>91</v>
      </c>
      <c r="C112" s="39" t="s">
        <v>190</v>
      </c>
      <c r="D112" s="111" t="s">
        <v>35</v>
      </c>
      <c r="E112" s="31" t="s">
        <v>72</v>
      </c>
      <c r="F112" s="40">
        <v>1998</v>
      </c>
      <c r="G112" s="26">
        <v>1</v>
      </c>
      <c r="H112" s="41">
        <v>2.2000000000000002</v>
      </c>
      <c r="I112" s="42">
        <v>12.22</v>
      </c>
    </row>
    <row r="113" spans="2:9" ht="18" customHeight="1" x14ac:dyDescent="0.25">
      <c r="B113" s="110" t="s">
        <v>91</v>
      </c>
      <c r="C113" s="29" t="s">
        <v>240</v>
      </c>
      <c r="D113" s="111" t="s">
        <v>35</v>
      </c>
      <c r="E113" s="31" t="s">
        <v>72</v>
      </c>
      <c r="F113" s="43">
        <v>40850</v>
      </c>
      <c r="G113" s="26">
        <v>1</v>
      </c>
      <c r="H113" s="64">
        <v>3.6</v>
      </c>
      <c r="I113" s="46">
        <v>16.510000000000002</v>
      </c>
    </row>
    <row r="114" spans="2:9" ht="18" customHeight="1" x14ac:dyDescent="0.25">
      <c r="B114" s="110" t="s">
        <v>91</v>
      </c>
      <c r="C114" s="29" t="s">
        <v>378</v>
      </c>
      <c r="D114" s="111" t="s">
        <v>35</v>
      </c>
      <c r="E114" s="31" t="s">
        <v>72</v>
      </c>
      <c r="F114" s="32">
        <v>2009</v>
      </c>
      <c r="G114" s="26">
        <v>1</v>
      </c>
      <c r="H114" s="37">
        <v>5.0999999999999996</v>
      </c>
      <c r="I114" s="34">
        <v>20</v>
      </c>
    </row>
    <row r="115" spans="2:9" ht="18" customHeight="1" x14ac:dyDescent="0.25">
      <c r="B115" s="110" t="s">
        <v>91</v>
      </c>
      <c r="C115" s="29" t="s">
        <v>555</v>
      </c>
      <c r="D115" s="111" t="s">
        <v>35</v>
      </c>
      <c r="E115" s="31" t="s">
        <v>576</v>
      </c>
      <c r="F115" s="43">
        <v>41747</v>
      </c>
      <c r="G115" s="26">
        <v>1</v>
      </c>
      <c r="H115" s="37">
        <v>18.77</v>
      </c>
      <c r="I115" s="34">
        <v>83.36</v>
      </c>
    </row>
    <row r="116" spans="2:9" ht="18" customHeight="1" x14ac:dyDescent="0.25">
      <c r="B116" s="103" t="s">
        <v>92</v>
      </c>
      <c r="C116" s="44" t="s">
        <v>239</v>
      </c>
      <c r="D116" s="29" t="s">
        <v>3</v>
      </c>
      <c r="E116" s="31" t="s">
        <v>72</v>
      </c>
      <c r="F116" s="43">
        <v>41592</v>
      </c>
      <c r="G116" s="26">
        <v>1</v>
      </c>
      <c r="H116" s="37">
        <v>2.6</v>
      </c>
      <c r="I116" s="34">
        <v>12</v>
      </c>
    </row>
    <row r="117" spans="2:9" ht="18" customHeight="1" x14ac:dyDescent="0.25">
      <c r="B117" s="103" t="s">
        <v>92</v>
      </c>
      <c r="C117" s="29" t="s">
        <v>255</v>
      </c>
      <c r="D117" s="29" t="s">
        <v>3</v>
      </c>
      <c r="E117" s="31" t="s">
        <v>72</v>
      </c>
      <c r="F117" s="43">
        <v>41421</v>
      </c>
      <c r="G117" s="26">
        <v>1</v>
      </c>
      <c r="H117" s="64">
        <v>42.65</v>
      </c>
      <c r="I117" s="46">
        <v>130</v>
      </c>
    </row>
    <row r="118" spans="2:9" ht="18" customHeight="1" x14ac:dyDescent="0.25">
      <c r="B118" s="103" t="s">
        <v>92</v>
      </c>
      <c r="C118" s="29" t="s">
        <v>502</v>
      </c>
      <c r="D118" s="29" t="s">
        <v>3</v>
      </c>
      <c r="E118" s="31" t="s">
        <v>72</v>
      </c>
      <c r="F118" s="43">
        <v>41375</v>
      </c>
      <c r="G118" s="26">
        <v>1</v>
      </c>
      <c r="H118" s="64">
        <v>26</v>
      </c>
      <c r="I118" s="46">
        <v>85</v>
      </c>
    </row>
    <row r="119" spans="2:9" ht="18" customHeight="1" x14ac:dyDescent="0.25">
      <c r="B119" s="103" t="s">
        <v>92</v>
      </c>
      <c r="C119" s="29" t="s">
        <v>263</v>
      </c>
      <c r="D119" s="29" t="s">
        <v>3</v>
      </c>
      <c r="E119" s="31" t="s">
        <v>72</v>
      </c>
      <c r="F119" s="115">
        <v>41087</v>
      </c>
      <c r="G119" s="26">
        <v>1</v>
      </c>
      <c r="H119" s="37">
        <v>29.4</v>
      </c>
      <c r="I119" s="34">
        <v>117</v>
      </c>
    </row>
    <row r="120" spans="2:9" ht="18" customHeight="1" x14ac:dyDescent="0.25">
      <c r="B120" s="103" t="s">
        <v>92</v>
      </c>
      <c r="C120" s="29" t="s">
        <v>504</v>
      </c>
      <c r="D120" s="29" t="s">
        <v>3</v>
      </c>
      <c r="E120" s="31" t="s">
        <v>69</v>
      </c>
      <c r="F120" s="32">
        <v>2010</v>
      </c>
      <c r="G120" s="26">
        <v>1</v>
      </c>
      <c r="H120" s="37">
        <v>69.349999999999994</v>
      </c>
      <c r="I120" s="47">
        <v>223</v>
      </c>
    </row>
    <row r="121" spans="2:9" ht="18" customHeight="1" x14ac:dyDescent="0.25">
      <c r="B121" s="103" t="s">
        <v>92</v>
      </c>
      <c r="C121" s="29" t="s">
        <v>302</v>
      </c>
      <c r="D121" s="29" t="s">
        <v>3</v>
      </c>
      <c r="E121" s="31" t="s">
        <v>69</v>
      </c>
      <c r="F121" s="85">
        <v>41627</v>
      </c>
      <c r="G121" s="26">
        <v>1</v>
      </c>
      <c r="H121" s="37">
        <v>191.28</v>
      </c>
      <c r="I121" s="34">
        <v>766</v>
      </c>
    </row>
    <row r="122" spans="2:9" ht="18" customHeight="1" x14ac:dyDescent="0.25">
      <c r="B122" s="103" t="s">
        <v>92</v>
      </c>
      <c r="C122" s="29" t="s">
        <v>310</v>
      </c>
      <c r="D122" s="29" t="s">
        <v>3</v>
      </c>
      <c r="E122" s="31" t="s">
        <v>72</v>
      </c>
      <c r="F122" s="43">
        <v>41389</v>
      </c>
      <c r="G122" s="26">
        <v>1</v>
      </c>
      <c r="H122" s="64">
        <v>23.8</v>
      </c>
      <c r="I122" s="46">
        <v>72.293999999999997</v>
      </c>
    </row>
    <row r="123" spans="2:9" ht="18" customHeight="1" x14ac:dyDescent="0.25">
      <c r="B123" s="103" t="s">
        <v>92</v>
      </c>
      <c r="C123" s="44" t="s">
        <v>314</v>
      </c>
      <c r="D123" s="29" t="s">
        <v>3</v>
      </c>
      <c r="E123" s="31" t="s">
        <v>72</v>
      </c>
      <c r="F123" s="59">
        <v>2009</v>
      </c>
      <c r="G123" s="26">
        <v>1</v>
      </c>
      <c r="H123" s="37">
        <v>4.6760000000000002</v>
      </c>
      <c r="I123" s="47">
        <v>10</v>
      </c>
    </row>
    <row r="124" spans="2:9" ht="18" customHeight="1" x14ac:dyDescent="0.25">
      <c r="B124" s="103" t="s">
        <v>92</v>
      </c>
      <c r="C124" s="44" t="s">
        <v>431</v>
      </c>
      <c r="D124" s="29" t="s">
        <v>3</v>
      </c>
      <c r="E124" s="31" t="s">
        <v>69</v>
      </c>
      <c r="F124" s="43">
        <v>41324</v>
      </c>
      <c r="G124" s="26">
        <v>1</v>
      </c>
      <c r="H124" s="64">
        <v>155.85</v>
      </c>
      <c r="I124" s="47">
        <v>378.38</v>
      </c>
    </row>
    <row r="125" spans="2:9" ht="18" customHeight="1" x14ac:dyDescent="0.25">
      <c r="B125" s="103" t="s">
        <v>92</v>
      </c>
      <c r="C125" s="29" t="s">
        <v>433</v>
      </c>
      <c r="D125" s="29" t="s">
        <v>3</v>
      </c>
      <c r="E125" s="31" t="s">
        <v>69</v>
      </c>
      <c r="F125" s="52">
        <v>41487</v>
      </c>
      <c r="G125" s="26">
        <v>1</v>
      </c>
      <c r="H125" s="64">
        <v>20</v>
      </c>
      <c r="I125" s="46">
        <v>120.215</v>
      </c>
    </row>
    <row r="126" spans="2:9" ht="18" customHeight="1" x14ac:dyDescent="0.25">
      <c r="B126" s="103" t="s">
        <v>92</v>
      </c>
      <c r="C126" s="29" t="s">
        <v>434</v>
      </c>
      <c r="D126" s="29" t="s">
        <v>3</v>
      </c>
      <c r="E126" s="31" t="s">
        <v>69</v>
      </c>
      <c r="F126" s="85">
        <v>40899</v>
      </c>
      <c r="G126" s="26">
        <v>1</v>
      </c>
      <c r="H126" s="64">
        <v>89.42</v>
      </c>
      <c r="I126" s="46">
        <v>203.14</v>
      </c>
    </row>
    <row r="127" spans="2:9" ht="18" customHeight="1" x14ac:dyDescent="0.25">
      <c r="B127" s="103" t="s">
        <v>92</v>
      </c>
      <c r="C127" s="29" t="s">
        <v>435</v>
      </c>
      <c r="D127" s="29" t="s">
        <v>3</v>
      </c>
      <c r="E127" s="31" t="s">
        <v>72</v>
      </c>
      <c r="F127" s="32">
        <v>2006</v>
      </c>
      <c r="G127" s="26">
        <v>1</v>
      </c>
      <c r="H127" s="37">
        <v>49.6</v>
      </c>
      <c r="I127" s="63">
        <v>179</v>
      </c>
    </row>
    <row r="128" spans="2:9" ht="18" customHeight="1" x14ac:dyDescent="0.25">
      <c r="B128" s="103" t="s">
        <v>92</v>
      </c>
      <c r="C128" s="62" t="s">
        <v>364</v>
      </c>
      <c r="D128" s="29" t="s">
        <v>3</v>
      </c>
      <c r="E128" s="31" t="s">
        <v>72</v>
      </c>
      <c r="F128" s="43">
        <v>41331</v>
      </c>
      <c r="G128" s="26">
        <v>1</v>
      </c>
      <c r="H128" s="37">
        <v>49.99</v>
      </c>
      <c r="I128" s="34">
        <v>208</v>
      </c>
    </row>
    <row r="129" spans="2:9" ht="24.75" customHeight="1" x14ac:dyDescent="0.25">
      <c r="B129" s="103" t="s">
        <v>92</v>
      </c>
      <c r="C129" s="44" t="s">
        <v>466</v>
      </c>
      <c r="D129" s="29" t="s">
        <v>3</v>
      </c>
      <c r="E129" s="116" t="s">
        <v>73</v>
      </c>
      <c r="F129" s="43">
        <v>41041</v>
      </c>
      <c r="G129" s="26">
        <v>1</v>
      </c>
      <c r="H129" s="37">
        <v>26.98</v>
      </c>
      <c r="I129" s="34">
        <v>110</v>
      </c>
    </row>
    <row r="130" spans="2:9" s="3" customFormat="1" ht="18" customHeight="1" x14ac:dyDescent="0.25">
      <c r="B130" s="103" t="s">
        <v>92</v>
      </c>
      <c r="C130" s="44" t="s">
        <v>465</v>
      </c>
      <c r="D130" s="29" t="s">
        <v>3</v>
      </c>
      <c r="E130" s="31" t="s">
        <v>69</v>
      </c>
      <c r="F130" s="43">
        <v>41166</v>
      </c>
      <c r="G130" s="26">
        <v>1</v>
      </c>
      <c r="H130" s="37">
        <v>28.54</v>
      </c>
      <c r="I130" s="34">
        <v>95.26</v>
      </c>
    </row>
    <row r="131" spans="2:9" ht="18" customHeight="1" x14ac:dyDescent="0.25">
      <c r="B131" s="103" t="s">
        <v>92</v>
      </c>
      <c r="C131" s="29" t="s">
        <v>456</v>
      </c>
      <c r="D131" s="29" t="s">
        <v>3</v>
      </c>
      <c r="E131" s="31" t="s">
        <v>69</v>
      </c>
      <c r="F131" s="32">
        <v>2010</v>
      </c>
      <c r="G131" s="26">
        <v>1</v>
      </c>
      <c r="H131" s="37">
        <v>310.66000000000003</v>
      </c>
      <c r="I131" s="47">
        <v>1141</v>
      </c>
    </row>
    <row r="132" spans="2:9" ht="18" customHeight="1" x14ac:dyDescent="0.25">
      <c r="B132" s="105" t="s">
        <v>92</v>
      </c>
      <c r="C132" s="56" t="s">
        <v>667</v>
      </c>
      <c r="D132" s="56" t="s">
        <v>3</v>
      </c>
      <c r="E132" s="58" t="s">
        <v>69</v>
      </c>
      <c r="F132" s="85">
        <v>42193</v>
      </c>
      <c r="G132" s="60">
        <v>1</v>
      </c>
      <c r="H132" s="33">
        <v>76</v>
      </c>
      <c r="I132" s="61">
        <v>345</v>
      </c>
    </row>
    <row r="133" spans="2:9" ht="18" customHeight="1" x14ac:dyDescent="0.25">
      <c r="B133" s="105" t="s">
        <v>92</v>
      </c>
      <c r="C133" s="56" t="s">
        <v>668</v>
      </c>
      <c r="D133" s="56" t="s">
        <v>3</v>
      </c>
      <c r="E133" s="58" t="s">
        <v>72</v>
      </c>
      <c r="F133" s="85">
        <v>42035</v>
      </c>
      <c r="G133" s="60">
        <v>1</v>
      </c>
      <c r="H133" s="33">
        <v>81.852999999999994</v>
      </c>
      <c r="I133" s="61">
        <v>234</v>
      </c>
    </row>
    <row r="134" spans="2:9" ht="18" customHeight="1" x14ac:dyDescent="0.25">
      <c r="B134" s="105" t="s">
        <v>92</v>
      </c>
      <c r="C134" s="56" t="s">
        <v>669</v>
      </c>
      <c r="D134" s="56" t="s">
        <v>3</v>
      </c>
      <c r="E134" s="58" t="s">
        <v>72</v>
      </c>
      <c r="F134" s="59">
        <v>1991</v>
      </c>
      <c r="G134" s="60">
        <v>1</v>
      </c>
      <c r="H134" s="33">
        <v>7.5</v>
      </c>
      <c r="I134" s="61">
        <v>33</v>
      </c>
    </row>
    <row r="135" spans="2:9" ht="18" customHeight="1" x14ac:dyDescent="0.25">
      <c r="B135" s="110" t="s">
        <v>93</v>
      </c>
      <c r="C135" s="39" t="s">
        <v>177</v>
      </c>
      <c r="D135" s="111" t="s">
        <v>47</v>
      </c>
      <c r="E135" s="31" t="s">
        <v>69</v>
      </c>
      <c r="F135" s="40">
        <v>1996</v>
      </c>
      <c r="G135" s="26">
        <v>1</v>
      </c>
      <c r="H135" s="41">
        <v>10.199999999999999</v>
      </c>
      <c r="I135" s="42">
        <v>47</v>
      </c>
    </row>
    <row r="136" spans="2:9" ht="18" customHeight="1" x14ac:dyDescent="0.25">
      <c r="B136" s="110" t="s">
        <v>93</v>
      </c>
      <c r="C136" s="29" t="s">
        <v>486</v>
      </c>
      <c r="D136" s="111" t="s">
        <v>47</v>
      </c>
      <c r="E136" s="31" t="s">
        <v>72</v>
      </c>
      <c r="F136" s="59">
        <v>2009</v>
      </c>
      <c r="G136" s="26">
        <v>1</v>
      </c>
      <c r="H136" s="64">
        <v>24.407</v>
      </c>
      <c r="I136" s="47">
        <v>90.5</v>
      </c>
    </row>
    <row r="137" spans="2:9" ht="18" customHeight="1" x14ac:dyDescent="0.25">
      <c r="B137" s="110" t="s">
        <v>93</v>
      </c>
      <c r="C137" s="29" t="s">
        <v>221</v>
      </c>
      <c r="D137" s="111" t="s">
        <v>47</v>
      </c>
      <c r="E137" s="31" t="s">
        <v>72</v>
      </c>
      <c r="F137" s="32">
        <v>2004</v>
      </c>
      <c r="G137" s="26">
        <v>1</v>
      </c>
      <c r="H137" s="37">
        <v>48.5</v>
      </c>
      <c r="I137" s="34">
        <v>74.8</v>
      </c>
    </row>
    <row r="138" spans="2:9" ht="18" customHeight="1" x14ac:dyDescent="0.25">
      <c r="B138" s="110" t="s">
        <v>93</v>
      </c>
      <c r="C138" s="29" t="s">
        <v>498</v>
      </c>
      <c r="D138" s="111" t="s">
        <v>47</v>
      </c>
      <c r="E138" s="31" t="s">
        <v>72</v>
      </c>
      <c r="F138" s="43">
        <v>41306</v>
      </c>
      <c r="G138" s="26">
        <v>1</v>
      </c>
      <c r="H138" s="37">
        <v>1.97</v>
      </c>
      <c r="I138" s="47">
        <v>11</v>
      </c>
    </row>
    <row r="139" spans="2:9" ht="18" customHeight="1" x14ac:dyDescent="0.25">
      <c r="B139" s="110" t="s">
        <v>93</v>
      </c>
      <c r="C139" s="29" t="s">
        <v>269</v>
      </c>
      <c r="D139" s="111" t="s">
        <v>47</v>
      </c>
      <c r="E139" s="31" t="s">
        <v>72</v>
      </c>
      <c r="F139" s="32">
        <f>F131</f>
        <v>2010</v>
      </c>
      <c r="G139" s="26">
        <v>1</v>
      </c>
      <c r="H139" s="37">
        <v>10.01</v>
      </c>
      <c r="I139" s="47">
        <v>43</v>
      </c>
    </row>
    <row r="140" spans="2:9" ht="18" customHeight="1" x14ac:dyDescent="0.25">
      <c r="B140" s="110" t="s">
        <v>93</v>
      </c>
      <c r="C140" s="29" t="s">
        <v>517</v>
      </c>
      <c r="D140" s="111" t="s">
        <v>47</v>
      </c>
      <c r="E140" s="31" t="s">
        <v>72</v>
      </c>
      <c r="F140" s="32">
        <v>2009</v>
      </c>
      <c r="G140" s="26">
        <v>1</v>
      </c>
      <c r="H140" s="37">
        <v>35.258000000000003</v>
      </c>
      <c r="I140" s="34">
        <v>120</v>
      </c>
    </row>
    <row r="141" spans="2:9" ht="18" customHeight="1" x14ac:dyDescent="0.25">
      <c r="B141" s="110" t="s">
        <v>93</v>
      </c>
      <c r="C141" s="29" t="s">
        <v>330</v>
      </c>
      <c r="D141" s="111" t="s">
        <v>47</v>
      </c>
      <c r="E141" s="31" t="s">
        <v>72</v>
      </c>
      <c r="F141" s="185">
        <v>40737</v>
      </c>
      <c r="G141" s="26">
        <v>1</v>
      </c>
      <c r="H141" s="64">
        <v>47.7</v>
      </c>
      <c r="I141" s="46">
        <v>224</v>
      </c>
    </row>
    <row r="142" spans="2:9" ht="18" customHeight="1" x14ac:dyDescent="0.25">
      <c r="B142" s="105" t="s">
        <v>93</v>
      </c>
      <c r="C142" s="29" t="s">
        <v>229</v>
      </c>
      <c r="D142" s="56" t="s">
        <v>47</v>
      </c>
      <c r="E142" s="31" t="s">
        <v>72</v>
      </c>
      <c r="F142" s="85">
        <v>40330</v>
      </c>
      <c r="G142" s="26">
        <v>1</v>
      </c>
      <c r="H142" s="33">
        <v>20.21</v>
      </c>
      <c r="I142" s="47">
        <v>95</v>
      </c>
    </row>
    <row r="143" spans="2:9" ht="18" customHeight="1" x14ac:dyDescent="0.25">
      <c r="B143" s="110" t="s">
        <v>93</v>
      </c>
      <c r="C143" s="29" t="s">
        <v>439</v>
      </c>
      <c r="D143" s="111" t="s">
        <v>47</v>
      </c>
      <c r="E143" s="31" t="s">
        <v>72</v>
      </c>
      <c r="F143" s="32">
        <v>2004</v>
      </c>
      <c r="G143" s="26">
        <v>1</v>
      </c>
      <c r="H143" s="33">
        <v>23.73</v>
      </c>
      <c r="I143" s="63">
        <v>96.34</v>
      </c>
    </row>
    <row r="144" spans="2:9" ht="18" customHeight="1" x14ac:dyDescent="0.25">
      <c r="B144" s="110" t="s">
        <v>93</v>
      </c>
      <c r="C144" s="29" t="s">
        <v>339</v>
      </c>
      <c r="D144" s="111" t="s">
        <v>47</v>
      </c>
      <c r="E144" s="31" t="s">
        <v>72</v>
      </c>
      <c r="F144" s="43">
        <v>41306</v>
      </c>
      <c r="G144" s="26">
        <v>1</v>
      </c>
      <c r="H144" s="37">
        <v>1.958</v>
      </c>
      <c r="I144" s="34">
        <v>7.1</v>
      </c>
    </row>
    <row r="145" spans="2:9" ht="18" customHeight="1" x14ac:dyDescent="0.25">
      <c r="B145" s="110" t="s">
        <v>93</v>
      </c>
      <c r="C145" s="29" t="s">
        <v>344</v>
      </c>
      <c r="D145" s="111" t="s">
        <v>47</v>
      </c>
      <c r="E145" s="31" t="s">
        <v>72</v>
      </c>
      <c r="F145" s="85">
        <v>40872</v>
      </c>
      <c r="G145" s="26">
        <v>1</v>
      </c>
      <c r="H145" s="64">
        <v>8.06</v>
      </c>
      <c r="I145" s="46">
        <v>42.6</v>
      </c>
    </row>
    <row r="146" spans="2:9" ht="18" customHeight="1" x14ac:dyDescent="0.25">
      <c r="B146" s="110" t="s">
        <v>93</v>
      </c>
      <c r="C146" s="29" t="s">
        <v>548</v>
      </c>
      <c r="D146" s="111" t="s">
        <v>47</v>
      </c>
      <c r="E146" s="31" t="s">
        <v>576</v>
      </c>
      <c r="F146" s="43">
        <v>41740</v>
      </c>
      <c r="G146" s="26">
        <v>1</v>
      </c>
      <c r="H146" s="37">
        <v>10.433</v>
      </c>
      <c r="I146" s="34">
        <v>38</v>
      </c>
    </row>
    <row r="147" spans="2:9" ht="18" customHeight="1" x14ac:dyDescent="0.25">
      <c r="B147" s="110" t="s">
        <v>93</v>
      </c>
      <c r="C147" s="29" t="s">
        <v>569</v>
      </c>
      <c r="D147" s="111" t="s">
        <v>47</v>
      </c>
      <c r="E147" s="31" t="s">
        <v>576</v>
      </c>
      <c r="F147" s="43">
        <v>42003</v>
      </c>
      <c r="G147" s="26">
        <v>1</v>
      </c>
      <c r="H147" s="37">
        <v>6.62</v>
      </c>
      <c r="I147" s="34">
        <v>23</v>
      </c>
    </row>
    <row r="148" spans="2:9" ht="18" customHeight="1" x14ac:dyDescent="0.25">
      <c r="B148" s="113" t="s">
        <v>93</v>
      </c>
      <c r="C148" s="56" t="s">
        <v>670</v>
      </c>
      <c r="D148" s="114" t="s">
        <v>47</v>
      </c>
      <c r="E148" s="58" t="s">
        <v>72</v>
      </c>
      <c r="F148" s="65">
        <v>1974</v>
      </c>
      <c r="G148" s="60">
        <v>1</v>
      </c>
      <c r="H148" s="33">
        <v>0.42399999999999999</v>
      </c>
      <c r="I148" s="63">
        <v>1</v>
      </c>
    </row>
    <row r="149" spans="2:9" ht="18" customHeight="1" x14ac:dyDescent="0.25">
      <c r="B149" s="113" t="s">
        <v>93</v>
      </c>
      <c r="C149" s="56" t="s">
        <v>671</v>
      </c>
      <c r="D149" s="114" t="s">
        <v>47</v>
      </c>
      <c r="E149" s="58" t="s">
        <v>72</v>
      </c>
      <c r="F149" s="65">
        <v>1971</v>
      </c>
      <c r="G149" s="60">
        <v>1</v>
      </c>
      <c r="H149" s="33">
        <v>70</v>
      </c>
      <c r="I149" s="63">
        <v>315</v>
      </c>
    </row>
    <row r="150" spans="2:9" ht="18" customHeight="1" x14ac:dyDescent="0.25">
      <c r="B150" s="113" t="s">
        <v>93</v>
      </c>
      <c r="C150" s="56" t="s">
        <v>672</v>
      </c>
      <c r="D150" s="114" t="s">
        <v>47</v>
      </c>
      <c r="E150" s="58" t="s">
        <v>72</v>
      </c>
      <c r="F150" s="65">
        <v>1974</v>
      </c>
      <c r="G150" s="60">
        <v>1</v>
      </c>
      <c r="H150" s="33">
        <v>56</v>
      </c>
      <c r="I150" s="63">
        <v>307</v>
      </c>
    </row>
    <row r="151" spans="2:9" ht="18" customHeight="1" x14ac:dyDescent="0.25">
      <c r="B151" s="113" t="s">
        <v>93</v>
      </c>
      <c r="C151" s="56" t="s">
        <v>673</v>
      </c>
      <c r="D151" s="114" t="s">
        <v>47</v>
      </c>
      <c r="E151" s="58" t="s">
        <v>72</v>
      </c>
      <c r="F151" s="65">
        <v>1967</v>
      </c>
      <c r="G151" s="60">
        <v>1</v>
      </c>
      <c r="H151" s="33">
        <v>0.88</v>
      </c>
      <c r="I151" s="63">
        <v>3.6</v>
      </c>
    </row>
    <row r="152" spans="2:9" ht="18" customHeight="1" x14ac:dyDescent="0.25">
      <c r="B152" s="113" t="s">
        <v>93</v>
      </c>
      <c r="C152" s="56" t="s">
        <v>674</v>
      </c>
      <c r="D152" s="114" t="s">
        <v>47</v>
      </c>
      <c r="E152" s="58" t="s">
        <v>72</v>
      </c>
      <c r="F152" s="65">
        <v>1971</v>
      </c>
      <c r="G152" s="60">
        <v>1</v>
      </c>
      <c r="H152" s="33">
        <v>0.32800000000000001</v>
      </c>
      <c r="I152" s="63">
        <v>1</v>
      </c>
    </row>
    <row r="153" spans="2:9" ht="18" customHeight="1" x14ac:dyDescent="0.25">
      <c r="B153" s="113" t="s">
        <v>93</v>
      </c>
      <c r="C153" s="56" t="s">
        <v>675</v>
      </c>
      <c r="D153" s="114" t="s">
        <v>47</v>
      </c>
      <c r="E153" s="58" t="s">
        <v>69</v>
      </c>
      <c r="F153" s="85">
        <v>42081</v>
      </c>
      <c r="G153" s="60">
        <v>1</v>
      </c>
      <c r="H153" s="33">
        <v>31.57</v>
      </c>
      <c r="I153" s="63">
        <v>99.09</v>
      </c>
    </row>
    <row r="154" spans="2:9" ht="18" customHeight="1" x14ac:dyDescent="0.25">
      <c r="B154" s="113" t="s">
        <v>93</v>
      </c>
      <c r="C154" s="56" t="s">
        <v>676</v>
      </c>
      <c r="D154" s="114" t="s">
        <v>47</v>
      </c>
      <c r="E154" s="58" t="s">
        <v>72</v>
      </c>
      <c r="F154" s="85">
        <v>42301</v>
      </c>
      <c r="G154" s="60">
        <v>1</v>
      </c>
      <c r="H154" s="33">
        <v>22.635999999999999</v>
      </c>
      <c r="I154" s="63">
        <v>75.03</v>
      </c>
    </row>
    <row r="155" spans="2:9" ht="18" customHeight="1" x14ac:dyDescent="0.25">
      <c r="B155" s="106" t="s">
        <v>94</v>
      </c>
      <c r="C155" s="39" t="s">
        <v>159</v>
      </c>
      <c r="D155" s="31" t="s">
        <v>33</v>
      </c>
      <c r="E155" s="31" t="s">
        <v>72</v>
      </c>
      <c r="F155" s="72">
        <v>1954</v>
      </c>
      <c r="G155" s="26">
        <v>1</v>
      </c>
      <c r="H155" s="50">
        <v>4.0919999999999996</v>
      </c>
      <c r="I155" s="51">
        <v>15</v>
      </c>
    </row>
    <row r="156" spans="2:9" ht="18" customHeight="1" x14ac:dyDescent="0.25">
      <c r="B156" s="106" t="s">
        <v>94</v>
      </c>
      <c r="C156" s="29" t="s">
        <v>382</v>
      </c>
      <c r="D156" s="31" t="s">
        <v>33</v>
      </c>
      <c r="E156" s="31" t="s">
        <v>72</v>
      </c>
      <c r="F156" s="186">
        <v>41412</v>
      </c>
      <c r="G156" s="26">
        <v>1</v>
      </c>
      <c r="H156" s="95">
        <v>9.98</v>
      </c>
      <c r="I156" s="47">
        <v>35.67</v>
      </c>
    </row>
    <row r="157" spans="2:9" s="3" customFormat="1" ht="18" customHeight="1" x14ac:dyDescent="0.25">
      <c r="B157" s="118" t="s">
        <v>95</v>
      </c>
      <c r="C157" s="39" t="s">
        <v>151</v>
      </c>
      <c r="D157" s="119" t="s">
        <v>36</v>
      </c>
      <c r="E157" s="31" t="s">
        <v>72</v>
      </c>
      <c r="F157" s="40">
        <v>1993</v>
      </c>
      <c r="G157" s="26">
        <v>1</v>
      </c>
      <c r="H157" s="41">
        <v>9.2639999999999993</v>
      </c>
      <c r="I157" s="42">
        <v>35</v>
      </c>
    </row>
    <row r="158" spans="2:9" ht="18" customHeight="1" x14ac:dyDescent="0.25">
      <c r="B158" s="118" t="s">
        <v>95</v>
      </c>
      <c r="C158" s="39" t="s">
        <v>193</v>
      </c>
      <c r="D158" s="119" t="s">
        <v>36</v>
      </c>
      <c r="E158" s="31" t="s">
        <v>69</v>
      </c>
      <c r="F158" s="40">
        <v>2000</v>
      </c>
      <c r="G158" s="26">
        <v>1</v>
      </c>
      <c r="H158" s="41">
        <v>7</v>
      </c>
      <c r="I158" s="96">
        <v>28.04</v>
      </c>
    </row>
    <row r="159" spans="2:9" ht="18" customHeight="1" x14ac:dyDescent="0.25">
      <c r="B159" s="118" t="s">
        <v>95</v>
      </c>
      <c r="C159" s="29" t="s">
        <v>210</v>
      </c>
      <c r="D159" s="119" t="s">
        <v>36</v>
      </c>
      <c r="E159" s="31" t="s">
        <v>72</v>
      </c>
      <c r="F159" s="32">
        <v>2007</v>
      </c>
      <c r="G159" s="26">
        <v>1</v>
      </c>
      <c r="H159" s="37">
        <v>40.5</v>
      </c>
      <c r="I159" s="47">
        <v>105</v>
      </c>
    </row>
    <row r="160" spans="2:9" ht="18" customHeight="1" x14ac:dyDescent="0.25">
      <c r="B160" s="118" t="s">
        <v>95</v>
      </c>
      <c r="C160" s="44" t="s">
        <v>393</v>
      </c>
      <c r="D160" s="119" t="s">
        <v>36</v>
      </c>
      <c r="E160" s="31" t="s">
        <v>72</v>
      </c>
      <c r="F160" s="43">
        <v>41003</v>
      </c>
      <c r="G160" s="26">
        <v>1</v>
      </c>
      <c r="H160" s="64">
        <v>16.742999999999999</v>
      </c>
      <c r="I160" s="47">
        <v>46.395000000000003</v>
      </c>
    </row>
    <row r="161" spans="2:9" ht="18" customHeight="1" x14ac:dyDescent="0.25">
      <c r="B161" s="118" t="s">
        <v>95</v>
      </c>
      <c r="C161" s="29" t="s">
        <v>233</v>
      </c>
      <c r="D161" s="119" t="s">
        <v>36</v>
      </c>
      <c r="E161" s="31" t="s">
        <v>72</v>
      </c>
      <c r="F161" s="85">
        <v>40275</v>
      </c>
      <c r="G161" s="26">
        <v>1</v>
      </c>
      <c r="H161" s="37">
        <v>9.5399999999999991</v>
      </c>
      <c r="I161" s="47">
        <v>32</v>
      </c>
    </row>
    <row r="162" spans="2:9" ht="18" customHeight="1" x14ac:dyDescent="0.25">
      <c r="B162" s="118" t="s">
        <v>95</v>
      </c>
      <c r="C162" s="29" t="s">
        <v>247</v>
      </c>
      <c r="D162" s="119" t="s">
        <v>36</v>
      </c>
      <c r="E162" s="31" t="s">
        <v>72</v>
      </c>
      <c r="F162" s="32">
        <v>2008</v>
      </c>
      <c r="G162" s="26">
        <v>1</v>
      </c>
      <c r="H162" s="37">
        <v>38.72</v>
      </c>
      <c r="I162" s="34">
        <v>114.26</v>
      </c>
    </row>
    <row r="163" spans="2:9" ht="18" customHeight="1" x14ac:dyDescent="0.25">
      <c r="B163" s="118" t="s">
        <v>95</v>
      </c>
      <c r="C163" s="29" t="s">
        <v>266</v>
      </c>
      <c r="D163" s="119" t="s">
        <v>36</v>
      </c>
      <c r="E163" s="31" t="s">
        <v>72</v>
      </c>
      <c r="F163" s="32">
        <v>2008</v>
      </c>
      <c r="G163" s="26">
        <v>1</v>
      </c>
      <c r="H163" s="37">
        <v>9.26</v>
      </c>
      <c r="I163" s="34">
        <v>36</v>
      </c>
    </row>
    <row r="164" spans="2:9" ht="18" customHeight="1" x14ac:dyDescent="0.25">
      <c r="B164" s="118" t="s">
        <v>95</v>
      </c>
      <c r="C164" s="29" t="s">
        <v>270</v>
      </c>
      <c r="D164" s="119" t="s">
        <v>36</v>
      </c>
      <c r="E164" s="31" t="s">
        <v>72</v>
      </c>
      <c r="F164" s="43">
        <v>40998</v>
      </c>
      <c r="G164" s="26">
        <v>1</v>
      </c>
      <c r="H164" s="37">
        <v>24.265999999999998</v>
      </c>
      <c r="I164" s="34">
        <v>60.26</v>
      </c>
    </row>
    <row r="165" spans="2:9" ht="18" customHeight="1" x14ac:dyDescent="0.25">
      <c r="B165" s="118" t="s">
        <v>95</v>
      </c>
      <c r="C165" s="29" t="s">
        <v>274</v>
      </c>
      <c r="D165" s="119" t="s">
        <v>36</v>
      </c>
      <c r="E165" s="31" t="s">
        <v>72</v>
      </c>
      <c r="F165" s="32">
        <v>2009</v>
      </c>
      <c r="G165" s="26">
        <v>1</v>
      </c>
      <c r="H165" s="37">
        <v>1.8</v>
      </c>
      <c r="I165" s="34">
        <v>4.28</v>
      </c>
    </row>
    <row r="166" spans="2:9" ht="18" customHeight="1" x14ac:dyDescent="0.25">
      <c r="B166" s="118" t="s">
        <v>95</v>
      </c>
      <c r="C166" s="29" t="s">
        <v>277</v>
      </c>
      <c r="D166" s="119" t="s">
        <v>36</v>
      </c>
      <c r="E166" s="31" t="s">
        <v>72</v>
      </c>
      <c r="F166" s="43">
        <v>40619</v>
      </c>
      <c r="G166" s="26">
        <v>1</v>
      </c>
      <c r="H166" s="37">
        <v>142.28</v>
      </c>
      <c r="I166" s="47">
        <v>334.02100000000002</v>
      </c>
    </row>
    <row r="167" spans="2:9" ht="18" customHeight="1" x14ac:dyDescent="0.25">
      <c r="B167" s="118" t="s">
        <v>95</v>
      </c>
      <c r="C167" s="29" t="s">
        <v>287</v>
      </c>
      <c r="D167" s="119" t="s">
        <v>36</v>
      </c>
      <c r="E167" s="31" t="s">
        <v>72</v>
      </c>
      <c r="F167" s="32">
        <v>2009</v>
      </c>
      <c r="G167" s="26">
        <v>1</v>
      </c>
      <c r="H167" s="37">
        <v>34.130000000000003</v>
      </c>
      <c r="I167" s="47">
        <v>107</v>
      </c>
    </row>
    <row r="168" spans="2:9" ht="18" customHeight="1" x14ac:dyDescent="0.25">
      <c r="B168" s="118" t="s">
        <v>95</v>
      </c>
      <c r="C168" s="29" t="s">
        <v>427</v>
      </c>
      <c r="D168" s="119" t="s">
        <v>36</v>
      </c>
      <c r="E168" s="31" t="s">
        <v>69</v>
      </c>
      <c r="F168" s="43">
        <v>41569</v>
      </c>
      <c r="G168" s="26">
        <v>1</v>
      </c>
      <c r="H168" s="37">
        <v>207.92</v>
      </c>
      <c r="I168" s="34">
        <v>502</v>
      </c>
    </row>
    <row r="169" spans="2:9" ht="18" customHeight="1" x14ac:dyDescent="0.25">
      <c r="B169" s="118" t="s">
        <v>95</v>
      </c>
      <c r="C169" s="29" t="s">
        <v>293</v>
      </c>
      <c r="D169" s="119" t="s">
        <v>36</v>
      </c>
      <c r="E169" s="31" t="s">
        <v>72</v>
      </c>
      <c r="F169" s="43">
        <v>41405</v>
      </c>
      <c r="G169" s="26">
        <v>1</v>
      </c>
      <c r="H169" s="37">
        <v>8</v>
      </c>
      <c r="I169" s="34">
        <v>24</v>
      </c>
    </row>
    <row r="170" spans="2:9" ht="18" customHeight="1" x14ac:dyDescent="0.25">
      <c r="B170" s="118" t="s">
        <v>95</v>
      </c>
      <c r="C170" s="29" t="s">
        <v>295</v>
      </c>
      <c r="D170" s="119" t="s">
        <v>36</v>
      </c>
      <c r="E170" s="31" t="s">
        <v>72</v>
      </c>
      <c r="F170" s="32">
        <v>2007</v>
      </c>
      <c r="G170" s="26">
        <v>1</v>
      </c>
      <c r="H170" s="37">
        <v>2.4</v>
      </c>
      <c r="I170" s="34">
        <v>18.72</v>
      </c>
    </row>
    <row r="171" spans="2:9" s="3" customFormat="1" ht="18" customHeight="1" x14ac:dyDescent="0.25">
      <c r="B171" s="118" t="s">
        <v>95</v>
      </c>
      <c r="C171" s="29" t="s">
        <v>298</v>
      </c>
      <c r="D171" s="119" t="s">
        <v>36</v>
      </c>
      <c r="E171" s="31" t="s">
        <v>72</v>
      </c>
      <c r="F171" s="117">
        <v>2005</v>
      </c>
      <c r="G171" s="26">
        <v>1</v>
      </c>
      <c r="H171" s="120">
        <v>23.9</v>
      </c>
      <c r="I171" s="47">
        <v>71</v>
      </c>
    </row>
    <row r="172" spans="2:9" ht="18" customHeight="1" x14ac:dyDescent="0.25">
      <c r="B172" s="118" t="s">
        <v>95</v>
      </c>
      <c r="C172" s="29" t="s">
        <v>300</v>
      </c>
      <c r="D172" s="119" t="s">
        <v>36</v>
      </c>
      <c r="E172" s="31" t="s">
        <v>69</v>
      </c>
      <c r="F172" s="43">
        <v>41088</v>
      </c>
      <c r="G172" s="26">
        <v>1</v>
      </c>
      <c r="H172" s="37">
        <v>8</v>
      </c>
      <c r="I172" s="34">
        <v>26.51</v>
      </c>
    </row>
    <row r="173" spans="2:9" ht="18" customHeight="1" x14ac:dyDescent="0.25">
      <c r="B173" s="118" t="s">
        <v>95</v>
      </c>
      <c r="C173" s="29" t="s">
        <v>429</v>
      </c>
      <c r="D173" s="119" t="s">
        <v>36</v>
      </c>
      <c r="E173" s="31" t="s">
        <v>72</v>
      </c>
      <c r="F173" s="185">
        <v>40647</v>
      </c>
      <c r="G173" s="26">
        <v>1</v>
      </c>
      <c r="H173" s="64">
        <v>4.6093999999999999</v>
      </c>
      <c r="I173" s="46">
        <v>16.100000000000001</v>
      </c>
    </row>
    <row r="174" spans="2:9" ht="18" customHeight="1" x14ac:dyDescent="0.25">
      <c r="B174" s="118" t="s">
        <v>95</v>
      </c>
      <c r="C174" s="29" t="s">
        <v>430</v>
      </c>
      <c r="D174" s="119" t="s">
        <v>36</v>
      </c>
      <c r="E174" s="31" t="s">
        <v>72</v>
      </c>
      <c r="F174" s="32">
        <v>2009</v>
      </c>
      <c r="G174" s="26">
        <v>1</v>
      </c>
      <c r="H174" s="37">
        <v>4.4000000000000004</v>
      </c>
      <c r="I174" s="34">
        <v>13.34</v>
      </c>
    </row>
    <row r="175" spans="2:9" ht="18" customHeight="1" x14ac:dyDescent="0.25">
      <c r="B175" s="118" t="s">
        <v>95</v>
      </c>
      <c r="C175" s="29" t="s">
        <v>318</v>
      </c>
      <c r="D175" s="119" t="s">
        <v>36</v>
      </c>
      <c r="E175" s="31" t="s">
        <v>72</v>
      </c>
      <c r="F175" s="185">
        <v>40724</v>
      </c>
      <c r="G175" s="26">
        <v>1</v>
      </c>
      <c r="H175" s="64">
        <v>1.07</v>
      </c>
      <c r="I175" s="46">
        <v>4.5999999999999996</v>
      </c>
    </row>
    <row r="176" spans="2:9" ht="18" customHeight="1" x14ac:dyDescent="0.25">
      <c r="B176" s="118" t="s">
        <v>95</v>
      </c>
      <c r="C176" s="29" t="s">
        <v>338</v>
      </c>
      <c r="D176" s="119" t="s">
        <v>36</v>
      </c>
      <c r="E176" s="31" t="s">
        <v>72</v>
      </c>
      <c r="F176" s="85">
        <v>40802</v>
      </c>
      <c r="G176" s="26">
        <v>1</v>
      </c>
      <c r="H176" s="37">
        <v>2.66</v>
      </c>
      <c r="I176" s="34">
        <v>9.98</v>
      </c>
    </row>
    <row r="177" spans="2:9" s="3" customFormat="1" ht="18" customHeight="1" x14ac:dyDescent="0.25">
      <c r="B177" s="118" t="s">
        <v>95</v>
      </c>
      <c r="C177" s="29" t="s">
        <v>442</v>
      </c>
      <c r="D177" s="119" t="s">
        <v>36</v>
      </c>
      <c r="E177" s="31" t="s">
        <v>69</v>
      </c>
      <c r="F177" s="43">
        <v>41537</v>
      </c>
      <c r="G177" s="26">
        <v>1</v>
      </c>
      <c r="H177" s="64">
        <v>102.54</v>
      </c>
      <c r="I177" s="46">
        <v>282</v>
      </c>
    </row>
    <row r="178" spans="2:9" ht="18" customHeight="1" x14ac:dyDescent="0.25">
      <c r="B178" s="118" t="s">
        <v>95</v>
      </c>
      <c r="C178" s="29" t="s">
        <v>490</v>
      </c>
      <c r="D178" s="119" t="s">
        <v>36</v>
      </c>
      <c r="E178" s="31" t="s">
        <v>72</v>
      </c>
      <c r="F178" s="32">
        <v>2004</v>
      </c>
      <c r="G178" s="26">
        <v>1</v>
      </c>
      <c r="H178" s="37">
        <v>4.5</v>
      </c>
      <c r="I178" s="34">
        <v>18.88</v>
      </c>
    </row>
    <row r="179" spans="2:9" ht="18" customHeight="1" x14ac:dyDescent="0.25">
      <c r="B179" s="118" t="s">
        <v>95</v>
      </c>
      <c r="C179" s="29" t="s">
        <v>447</v>
      </c>
      <c r="D179" s="119" t="s">
        <v>36</v>
      </c>
      <c r="E179" s="31" t="s">
        <v>72</v>
      </c>
      <c r="F179" s="32">
        <v>2007</v>
      </c>
      <c r="G179" s="26">
        <v>1</v>
      </c>
      <c r="H179" s="37">
        <v>12.3</v>
      </c>
      <c r="I179" s="34">
        <v>48.292999999999999</v>
      </c>
    </row>
    <row r="180" spans="2:9" ht="18" customHeight="1" x14ac:dyDescent="0.25">
      <c r="B180" s="118" t="s">
        <v>95</v>
      </c>
      <c r="C180" s="29" t="s">
        <v>358</v>
      </c>
      <c r="D180" s="119" t="s">
        <v>36</v>
      </c>
      <c r="E180" s="31" t="s">
        <v>72</v>
      </c>
      <c r="F180" s="32">
        <v>2008</v>
      </c>
      <c r="G180" s="26">
        <v>1</v>
      </c>
      <c r="H180" s="37">
        <v>0.82</v>
      </c>
      <c r="I180" s="34">
        <v>5.28</v>
      </c>
    </row>
    <row r="181" spans="2:9" ht="18" customHeight="1" x14ac:dyDescent="0.25">
      <c r="B181" s="118" t="s">
        <v>95</v>
      </c>
      <c r="C181" s="29" t="s">
        <v>449</v>
      </c>
      <c r="D181" s="119" t="s">
        <v>36</v>
      </c>
      <c r="E181" s="31" t="s">
        <v>72</v>
      </c>
      <c r="F181" s="52">
        <v>41121</v>
      </c>
      <c r="G181" s="26">
        <v>1</v>
      </c>
      <c r="H181" s="37">
        <v>1.57</v>
      </c>
      <c r="I181" s="34">
        <v>10.86</v>
      </c>
    </row>
    <row r="182" spans="2:9" ht="18" customHeight="1" x14ac:dyDescent="0.25">
      <c r="B182" s="118" t="s">
        <v>95</v>
      </c>
      <c r="C182" s="62" t="s">
        <v>363</v>
      </c>
      <c r="D182" s="119" t="s">
        <v>36</v>
      </c>
      <c r="E182" s="31" t="s">
        <v>72</v>
      </c>
      <c r="F182" s="43">
        <v>41314</v>
      </c>
      <c r="G182" s="26">
        <v>1</v>
      </c>
      <c r="H182" s="37">
        <v>14.834</v>
      </c>
      <c r="I182" s="34">
        <v>35</v>
      </c>
    </row>
    <row r="183" spans="2:9" ht="18" customHeight="1" x14ac:dyDescent="0.25">
      <c r="B183" s="118" t="s">
        <v>95</v>
      </c>
      <c r="C183" s="44" t="s">
        <v>368</v>
      </c>
      <c r="D183" s="119" t="s">
        <v>36</v>
      </c>
      <c r="E183" s="31" t="s">
        <v>72</v>
      </c>
      <c r="F183" s="43">
        <v>41104</v>
      </c>
      <c r="G183" s="26">
        <v>1</v>
      </c>
      <c r="H183" s="45">
        <v>1.05</v>
      </c>
      <c r="I183" s="46">
        <v>4.59</v>
      </c>
    </row>
    <row r="184" spans="2:9" ht="18" customHeight="1" x14ac:dyDescent="0.25">
      <c r="B184" s="118" t="s">
        <v>95</v>
      </c>
      <c r="C184" s="29" t="s">
        <v>374</v>
      </c>
      <c r="D184" s="119" t="s">
        <v>36</v>
      </c>
      <c r="E184" s="31" t="s">
        <v>72</v>
      </c>
      <c r="F184" s="185">
        <v>40723</v>
      </c>
      <c r="G184" s="26">
        <v>1</v>
      </c>
      <c r="H184" s="64">
        <v>3.794</v>
      </c>
      <c r="I184" s="46">
        <v>14.92</v>
      </c>
    </row>
    <row r="185" spans="2:9" ht="18" customHeight="1" x14ac:dyDescent="0.25">
      <c r="B185" s="110" t="s">
        <v>95</v>
      </c>
      <c r="C185" s="29" t="s">
        <v>463</v>
      </c>
      <c r="D185" s="111" t="s">
        <v>36</v>
      </c>
      <c r="E185" s="31" t="s">
        <v>72</v>
      </c>
      <c r="F185" s="85">
        <v>41026</v>
      </c>
      <c r="G185" s="26">
        <v>1</v>
      </c>
      <c r="H185" s="37">
        <v>5.2</v>
      </c>
      <c r="I185" s="34">
        <v>18.280999999999999</v>
      </c>
    </row>
    <row r="186" spans="2:9" ht="18" customHeight="1" x14ac:dyDescent="0.25">
      <c r="B186" s="113" t="s">
        <v>95</v>
      </c>
      <c r="C186" s="56" t="s">
        <v>677</v>
      </c>
      <c r="D186" s="114" t="s">
        <v>36</v>
      </c>
      <c r="E186" s="58" t="s">
        <v>72</v>
      </c>
      <c r="F186" s="85">
        <v>42073</v>
      </c>
      <c r="G186" s="60">
        <v>1</v>
      </c>
      <c r="H186" s="33">
        <v>27.38</v>
      </c>
      <c r="I186" s="63">
        <v>113</v>
      </c>
    </row>
    <row r="187" spans="2:9" ht="18" customHeight="1" x14ac:dyDescent="0.25">
      <c r="B187" s="113" t="s">
        <v>95</v>
      </c>
      <c r="C187" s="56" t="s">
        <v>678</v>
      </c>
      <c r="D187" s="114" t="s">
        <v>36</v>
      </c>
      <c r="E187" s="58" t="s">
        <v>72</v>
      </c>
      <c r="F187" s="85">
        <v>42075</v>
      </c>
      <c r="G187" s="60">
        <v>1</v>
      </c>
      <c r="H187" s="33">
        <v>18.32</v>
      </c>
      <c r="I187" s="63">
        <v>30.01</v>
      </c>
    </row>
    <row r="188" spans="2:9" ht="18" customHeight="1" x14ac:dyDescent="0.25">
      <c r="B188" s="113" t="s">
        <v>95</v>
      </c>
      <c r="C188" s="56" t="s">
        <v>679</v>
      </c>
      <c r="D188" s="114" t="s">
        <v>36</v>
      </c>
      <c r="E188" s="58" t="s">
        <v>72</v>
      </c>
      <c r="F188" s="65">
        <v>1991</v>
      </c>
      <c r="G188" s="60">
        <v>1</v>
      </c>
      <c r="H188" s="33">
        <v>283.5</v>
      </c>
      <c r="I188" s="63">
        <v>725</v>
      </c>
    </row>
    <row r="189" spans="2:9" ht="18" customHeight="1" x14ac:dyDescent="0.25">
      <c r="B189" s="106" t="s">
        <v>96</v>
      </c>
      <c r="C189" s="39" t="s">
        <v>157</v>
      </c>
      <c r="D189" s="31" t="s">
        <v>53</v>
      </c>
      <c r="E189" s="31" t="s">
        <v>72</v>
      </c>
      <c r="F189" s="72">
        <v>1987</v>
      </c>
      <c r="G189" s="26">
        <v>1</v>
      </c>
      <c r="H189" s="50">
        <v>0.5</v>
      </c>
      <c r="I189" s="51">
        <v>1</v>
      </c>
    </row>
    <row r="190" spans="2:9" ht="18" customHeight="1" x14ac:dyDescent="0.25">
      <c r="B190" s="106" t="s">
        <v>96</v>
      </c>
      <c r="C190" s="39" t="s">
        <v>158</v>
      </c>
      <c r="D190" s="31" t="s">
        <v>53</v>
      </c>
      <c r="E190" s="31" t="s">
        <v>72</v>
      </c>
      <c r="F190" s="72">
        <v>1955</v>
      </c>
      <c r="G190" s="26">
        <v>1</v>
      </c>
      <c r="H190" s="50">
        <v>0.4</v>
      </c>
      <c r="I190" s="51">
        <v>1.5</v>
      </c>
    </row>
    <row r="191" spans="2:9" ht="18" customHeight="1" x14ac:dyDescent="0.25">
      <c r="B191" s="106" t="s">
        <v>96</v>
      </c>
      <c r="C191" s="29" t="s">
        <v>403</v>
      </c>
      <c r="D191" s="31" t="s">
        <v>53</v>
      </c>
      <c r="E191" s="31" t="s">
        <v>69</v>
      </c>
      <c r="F191" s="32">
        <v>2010</v>
      </c>
      <c r="G191" s="26">
        <v>1</v>
      </c>
      <c r="H191" s="37">
        <v>60</v>
      </c>
      <c r="I191" s="47">
        <v>250</v>
      </c>
    </row>
    <row r="192" spans="2:9" ht="18" customHeight="1" x14ac:dyDescent="0.25">
      <c r="B192" s="106" t="s">
        <v>96</v>
      </c>
      <c r="C192" s="29" t="s">
        <v>256</v>
      </c>
      <c r="D192" s="31" t="s">
        <v>53</v>
      </c>
      <c r="E192" s="31" t="s">
        <v>72</v>
      </c>
      <c r="F192" s="43">
        <v>41520</v>
      </c>
      <c r="G192" s="26">
        <v>1</v>
      </c>
      <c r="H192" s="64">
        <v>3.05</v>
      </c>
      <c r="I192" s="46">
        <v>12.5</v>
      </c>
    </row>
    <row r="193" spans="2:9" ht="30" customHeight="1" x14ac:dyDescent="0.25">
      <c r="B193" s="106" t="s">
        <v>96</v>
      </c>
      <c r="C193" s="29" t="s">
        <v>281</v>
      </c>
      <c r="D193" s="31" t="s">
        <v>53</v>
      </c>
      <c r="E193" s="31" t="s">
        <v>72</v>
      </c>
      <c r="F193" s="43" t="s">
        <v>2</v>
      </c>
      <c r="G193" s="26">
        <v>1</v>
      </c>
      <c r="H193" s="64">
        <v>8.48</v>
      </c>
      <c r="I193" s="46">
        <v>30</v>
      </c>
    </row>
    <row r="194" spans="2:9" ht="18" customHeight="1" x14ac:dyDescent="0.25">
      <c r="B194" s="106" t="s">
        <v>96</v>
      </c>
      <c r="C194" s="29" t="s">
        <v>289</v>
      </c>
      <c r="D194" s="31" t="s">
        <v>53</v>
      </c>
      <c r="E194" s="31" t="s">
        <v>72</v>
      </c>
      <c r="F194" s="32">
        <v>2006</v>
      </c>
      <c r="G194" s="26">
        <v>1</v>
      </c>
      <c r="H194" s="37">
        <v>28.81</v>
      </c>
      <c r="I194" s="34">
        <v>51.64</v>
      </c>
    </row>
    <row r="195" spans="2:9" ht="18" customHeight="1" x14ac:dyDescent="0.25">
      <c r="B195" s="106" t="s">
        <v>96</v>
      </c>
      <c r="C195" s="29" t="s">
        <v>523</v>
      </c>
      <c r="D195" s="31" t="s">
        <v>53</v>
      </c>
      <c r="E195" s="31" t="s">
        <v>72</v>
      </c>
      <c r="F195" s="32">
        <f>F194</f>
        <v>2006</v>
      </c>
      <c r="G195" s="26">
        <v>1</v>
      </c>
      <c r="H195" s="37">
        <v>7.35</v>
      </c>
      <c r="I195" s="47">
        <v>25</v>
      </c>
    </row>
    <row r="196" spans="2:9" ht="18" customHeight="1" x14ac:dyDescent="0.25">
      <c r="B196" s="106" t="s">
        <v>96</v>
      </c>
      <c r="C196" s="29" t="s">
        <v>346</v>
      </c>
      <c r="D196" s="31" t="s">
        <v>53</v>
      </c>
      <c r="E196" s="31" t="s">
        <v>72</v>
      </c>
      <c r="F196" s="32">
        <v>2009</v>
      </c>
      <c r="G196" s="26">
        <v>1</v>
      </c>
      <c r="H196" s="37">
        <v>4.9000000000000004</v>
      </c>
      <c r="I196" s="34">
        <v>17</v>
      </c>
    </row>
    <row r="197" spans="2:9" ht="18" customHeight="1" x14ac:dyDescent="0.25">
      <c r="B197" s="106" t="s">
        <v>96</v>
      </c>
      <c r="C197" s="29" t="s">
        <v>348</v>
      </c>
      <c r="D197" s="31" t="s">
        <v>53</v>
      </c>
      <c r="E197" s="31" t="s">
        <v>72</v>
      </c>
      <c r="F197" s="85">
        <v>40866</v>
      </c>
      <c r="G197" s="26">
        <v>1</v>
      </c>
      <c r="H197" s="45">
        <v>14.9</v>
      </c>
      <c r="I197" s="46">
        <v>48.3</v>
      </c>
    </row>
    <row r="198" spans="2:9" ht="18" customHeight="1" x14ac:dyDescent="0.25">
      <c r="B198" s="106" t="s">
        <v>96</v>
      </c>
      <c r="C198" s="44" t="s">
        <v>372</v>
      </c>
      <c r="D198" s="31" t="s">
        <v>53</v>
      </c>
      <c r="E198" s="31" t="s">
        <v>69</v>
      </c>
      <c r="F198" s="185">
        <v>40744</v>
      </c>
      <c r="G198" s="26">
        <v>1</v>
      </c>
      <c r="H198" s="64">
        <v>5.46</v>
      </c>
      <c r="I198" s="46">
        <v>17</v>
      </c>
    </row>
    <row r="199" spans="2:9" s="3" customFormat="1" ht="18" customHeight="1" x14ac:dyDescent="0.25">
      <c r="B199" s="110" t="s">
        <v>96</v>
      </c>
      <c r="C199" s="29" t="s">
        <v>573</v>
      </c>
      <c r="D199" s="111" t="s">
        <v>53</v>
      </c>
      <c r="E199" s="31" t="s">
        <v>576</v>
      </c>
      <c r="F199" s="43">
        <v>41932</v>
      </c>
      <c r="G199" s="26">
        <v>1</v>
      </c>
      <c r="H199" s="37">
        <v>5</v>
      </c>
      <c r="I199" s="34">
        <v>12.57</v>
      </c>
    </row>
    <row r="200" spans="2:9" ht="18" customHeight="1" x14ac:dyDescent="0.25">
      <c r="B200" s="110" t="s">
        <v>96</v>
      </c>
      <c r="C200" s="29" t="s">
        <v>559</v>
      </c>
      <c r="D200" s="111" t="s">
        <v>53</v>
      </c>
      <c r="E200" s="31" t="s">
        <v>576</v>
      </c>
      <c r="F200" s="43">
        <v>41810</v>
      </c>
      <c r="G200" s="26">
        <v>1</v>
      </c>
      <c r="H200" s="37">
        <v>9.06</v>
      </c>
      <c r="I200" s="34">
        <v>26.13</v>
      </c>
    </row>
    <row r="201" spans="2:9" ht="18" customHeight="1" x14ac:dyDescent="0.25">
      <c r="B201" s="110" t="s">
        <v>96</v>
      </c>
      <c r="C201" s="29" t="s">
        <v>567</v>
      </c>
      <c r="D201" s="111" t="s">
        <v>53</v>
      </c>
      <c r="E201" s="31" t="s">
        <v>576</v>
      </c>
      <c r="F201" s="43">
        <v>41950</v>
      </c>
      <c r="G201" s="26">
        <v>1</v>
      </c>
      <c r="H201" s="37">
        <v>3.3879999999999999</v>
      </c>
      <c r="I201" s="34">
        <v>13.4</v>
      </c>
    </row>
    <row r="202" spans="2:9" ht="18" customHeight="1" x14ac:dyDescent="0.25">
      <c r="B202" s="113" t="s">
        <v>96</v>
      </c>
      <c r="C202" s="56" t="s">
        <v>680</v>
      </c>
      <c r="D202" s="114" t="s">
        <v>53</v>
      </c>
      <c r="E202" s="58" t="s">
        <v>72</v>
      </c>
      <c r="F202" s="85">
        <v>42222</v>
      </c>
      <c r="G202" s="60">
        <v>1</v>
      </c>
      <c r="H202" s="33">
        <v>6.79</v>
      </c>
      <c r="I202" s="63">
        <v>15.55</v>
      </c>
    </row>
    <row r="203" spans="2:9" ht="18" customHeight="1" x14ac:dyDescent="0.25">
      <c r="B203" s="113" t="s">
        <v>96</v>
      </c>
      <c r="C203" s="56" t="s">
        <v>681</v>
      </c>
      <c r="D203" s="114" t="s">
        <v>53</v>
      </c>
      <c r="E203" s="58" t="s">
        <v>72</v>
      </c>
      <c r="F203" s="85">
        <v>42279</v>
      </c>
      <c r="G203" s="60">
        <v>1</v>
      </c>
      <c r="H203" s="33">
        <v>153.4</v>
      </c>
      <c r="I203" s="63">
        <v>624</v>
      </c>
    </row>
    <row r="204" spans="2:9" ht="18" customHeight="1" x14ac:dyDescent="0.25">
      <c r="B204" s="113" t="s">
        <v>96</v>
      </c>
      <c r="C204" s="56" t="s">
        <v>682</v>
      </c>
      <c r="D204" s="114" t="s">
        <v>53</v>
      </c>
      <c r="E204" s="58" t="s">
        <v>72</v>
      </c>
      <c r="F204" s="85">
        <v>37288</v>
      </c>
      <c r="G204" s="60">
        <v>1</v>
      </c>
      <c r="H204" s="33">
        <v>510</v>
      </c>
      <c r="I204" s="63">
        <v>1669</v>
      </c>
    </row>
    <row r="205" spans="2:9" ht="18" customHeight="1" x14ac:dyDescent="0.25">
      <c r="B205" s="103" t="s">
        <v>97</v>
      </c>
      <c r="C205" s="29" t="s">
        <v>278</v>
      </c>
      <c r="D205" s="29" t="s">
        <v>42</v>
      </c>
      <c r="E205" s="31" t="s">
        <v>72</v>
      </c>
      <c r="F205" s="32">
        <v>2008</v>
      </c>
      <c r="G205" s="26">
        <v>1</v>
      </c>
      <c r="H205" s="37">
        <v>16.7</v>
      </c>
      <c r="I205" s="34">
        <v>90</v>
      </c>
    </row>
    <row r="206" spans="2:9" ht="18" customHeight="1" x14ac:dyDescent="0.25">
      <c r="B206" s="105" t="s">
        <v>97</v>
      </c>
      <c r="C206" s="56" t="s">
        <v>683</v>
      </c>
      <c r="D206" s="56" t="s">
        <v>42</v>
      </c>
      <c r="E206" s="58" t="s">
        <v>72</v>
      </c>
      <c r="F206" s="85">
        <v>42145</v>
      </c>
      <c r="G206" s="60">
        <v>1</v>
      </c>
      <c r="H206" s="33">
        <v>17</v>
      </c>
      <c r="I206" s="63">
        <v>56</v>
      </c>
    </row>
    <row r="207" spans="2:9" ht="18" customHeight="1" x14ac:dyDescent="0.25">
      <c r="B207" s="106" t="s">
        <v>98</v>
      </c>
      <c r="C207" s="39" t="s">
        <v>182</v>
      </c>
      <c r="D207" s="31" t="s">
        <v>51</v>
      </c>
      <c r="E207" s="31" t="s">
        <v>72</v>
      </c>
      <c r="F207" s="72">
        <v>1965</v>
      </c>
      <c r="G207" s="26">
        <v>1</v>
      </c>
      <c r="H207" s="50">
        <v>6.88E-2</v>
      </c>
      <c r="I207" s="51">
        <v>0.6</v>
      </c>
    </row>
    <row r="208" spans="2:9" ht="18" customHeight="1" x14ac:dyDescent="0.25">
      <c r="B208" s="103" t="s">
        <v>99</v>
      </c>
      <c r="C208" s="62" t="s">
        <v>392</v>
      </c>
      <c r="D208" s="29" t="s">
        <v>50</v>
      </c>
      <c r="E208" s="31" t="s">
        <v>72</v>
      </c>
      <c r="F208" s="43">
        <v>41423</v>
      </c>
      <c r="G208" s="26">
        <v>1</v>
      </c>
      <c r="H208" s="33">
        <v>20.399999999999999</v>
      </c>
      <c r="I208" s="34">
        <v>80.260000000000005</v>
      </c>
    </row>
    <row r="209" spans="2:9" ht="18" customHeight="1" x14ac:dyDescent="0.25">
      <c r="B209" s="103" t="s">
        <v>99</v>
      </c>
      <c r="C209" s="29" t="s">
        <v>397</v>
      </c>
      <c r="D209" s="29" t="s">
        <v>50</v>
      </c>
      <c r="E209" s="31" t="s">
        <v>69</v>
      </c>
      <c r="F209" s="43">
        <v>40563</v>
      </c>
      <c r="G209" s="26">
        <v>1</v>
      </c>
      <c r="H209" s="37">
        <v>47</v>
      </c>
      <c r="I209" s="47">
        <v>166</v>
      </c>
    </row>
    <row r="210" spans="2:9" ht="18" customHeight="1" x14ac:dyDescent="0.25">
      <c r="B210" s="103" t="s">
        <v>99</v>
      </c>
      <c r="C210" s="29" t="s">
        <v>279</v>
      </c>
      <c r="D210" s="29" t="s">
        <v>50</v>
      </c>
      <c r="E210" s="31" t="s">
        <v>72</v>
      </c>
      <c r="F210" s="43">
        <v>41410</v>
      </c>
      <c r="G210" s="26">
        <v>1</v>
      </c>
      <c r="H210" s="37">
        <v>5.29</v>
      </c>
      <c r="I210" s="34">
        <v>36.380000000000003</v>
      </c>
    </row>
    <row r="211" spans="2:9" ht="18" customHeight="1" x14ac:dyDescent="0.25">
      <c r="B211" s="103" t="s">
        <v>99</v>
      </c>
      <c r="C211" s="29" t="s">
        <v>343</v>
      </c>
      <c r="D211" s="29" t="s">
        <v>50</v>
      </c>
      <c r="E211" s="31" t="s">
        <v>72</v>
      </c>
      <c r="F211" s="85">
        <v>40930</v>
      </c>
      <c r="G211" s="26">
        <v>1</v>
      </c>
      <c r="H211" s="64">
        <v>6</v>
      </c>
      <c r="I211" s="46">
        <v>23</v>
      </c>
    </row>
    <row r="212" spans="2:9" ht="18" customHeight="1" x14ac:dyDescent="0.25">
      <c r="B212" s="103" t="s">
        <v>99</v>
      </c>
      <c r="C212" s="29" t="s">
        <v>451</v>
      </c>
      <c r="D212" s="29" t="s">
        <v>50</v>
      </c>
      <c r="E212" s="31" t="s">
        <v>72</v>
      </c>
      <c r="F212" s="43">
        <v>41180</v>
      </c>
      <c r="G212" s="26">
        <v>1</v>
      </c>
      <c r="H212" s="121">
        <v>8.44</v>
      </c>
      <c r="I212" s="122">
        <v>71</v>
      </c>
    </row>
    <row r="213" spans="2:9" ht="18" customHeight="1" x14ac:dyDescent="0.25">
      <c r="B213" s="110" t="s">
        <v>100</v>
      </c>
      <c r="C213" s="39" t="s">
        <v>164</v>
      </c>
      <c r="D213" s="111" t="s">
        <v>41</v>
      </c>
      <c r="E213" s="31" t="s">
        <v>72</v>
      </c>
      <c r="F213" s="72">
        <v>1924</v>
      </c>
      <c r="G213" s="26">
        <v>1</v>
      </c>
      <c r="H213" s="50">
        <v>9.9199999999999997E-2</v>
      </c>
      <c r="I213" s="51">
        <v>0.7</v>
      </c>
    </row>
    <row r="214" spans="2:9" ht="18" customHeight="1" x14ac:dyDescent="0.25">
      <c r="B214" s="110" t="s">
        <v>100</v>
      </c>
      <c r="C214" s="39" t="s">
        <v>165</v>
      </c>
      <c r="D214" s="111" t="s">
        <v>41</v>
      </c>
      <c r="E214" s="31" t="s">
        <v>72</v>
      </c>
      <c r="F214" s="72">
        <v>1928</v>
      </c>
      <c r="G214" s="26">
        <v>1</v>
      </c>
      <c r="H214" s="50">
        <v>1.36</v>
      </c>
      <c r="I214" s="51">
        <v>4</v>
      </c>
    </row>
    <row r="215" spans="2:9" ht="18" customHeight="1" x14ac:dyDescent="0.25">
      <c r="B215" s="110" t="s">
        <v>100</v>
      </c>
      <c r="C215" s="39" t="s">
        <v>471</v>
      </c>
      <c r="D215" s="111" t="s">
        <v>41</v>
      </c>
      <c r="E215" s="31" t="s">
        <v>72</v>
      </c>
      <c r="F215" s="40">
        <v>1998</v>
      </c>
      <c r="G215" s="26">
        <v>1</v>
      </c>
      <c r="H215" s="41">
        <v>84</v>
      </c>
      <c r="I215" s="42">
        <v>429</v>
      </c>
    </row>
    <row r="216" spans="2:9" s="3" customFormat="1" ht="18" customHeight="1" x14ac:dyDescent="0.25">
      <c r="B216" s="110" t="s">
        <v>100</v>
      </c>
      <c r="C216" s="39" t="s">
        <v>186</v>
      </c>
      <c r="D216" s="111" t="s">
        <v>41</v>
      </c>
      <c r="E216" s="31" t="s">
        <v>69</v>
      </c>
      <c r="F216" s="40">
        <v>2005</v>
      </c>
      <c r="G216" s="26">
        <v>1</v>
      </c>
      <c r="H216" s="41">
        <v>100</v>
      </c>
      <c r="I216" s="42">
        <v>423.5</v>
      </c>
    </row>
    <row r="217" spans="2:9" ht="18" customHeight="1" x14ac:dyDescent="0.25">
      <c r="B217" s="110" t="s">
        <v>100</v>
      </c>
      <c r="C217" s="29" t="s">
        <v>684</v>
      </c>
      <c r="D217" s="111" t="s">
        <v>41</v>
      </c>
      <c r="E217" s="31" t="s">
        <v>69</v>
      </c>
      <c r="F217" s="43">
        <v>40634</v>
      </c>
      <c r="G217" s="26">
        <v>1</v>
      </c>
      <c r="H217" s="64">
        <v>27.617999999999999</v>
      </c>
      <c r="I217" s="46">
        <v>94.47</v>
      </c>
    </row>
    <row r="218" spans="2:9" ht="18" customHeight="1" x14ac:dyDescent="0.25">
      <c r="B218" s="110" t="s">
        <v>100</v>
      </c>
      <c r="C218" s="29" t="s">
        <v>323</v>
      </c>
      <c r="D218" s="111" t="s">
        <v>41</v>
      </c>
      <c r="E218" s="31" t="s">
        <v>72</v>
      </c>
      <c r="F218" s="32">
        <v>2001</v>
      </c>
      <c r="G218" s="26">
        <v>1</v>
      </c>
      <c r="H218" s="33">
        <v>3.33</v>
      </c>
      <c r="I218" s="34">
        <v>12.5</v>
      </c>
    </row>
    <row r="219" spans="2:9" ht="18" customHeight="1" x14ac:dyDescent="0.25">
      <c r="B219" s="110" t="s">
        <v>100</v>
      </c>
      <c r="C219" s="44" t="s">
        <v>371</v>
      </c>
      <c r="D219" s="111" t="s">
        <v>41</v>
      </c>
      <c r="E219" s="31" t="s">
        <v>72</v>
      </c>
      <c r="F219" s="185">
        <v>41663</v>
      </c>
      <c r="G219" s="26">
        <v>1</v>
      </c>
      <c r="H219" s="95">
        <v>0.31</v>
      </c>
      <c r="I219" s="46">
        <v>1</v>
      </c>
    </row>
    <row r="220" spans="2:9" ht="18" customHeight="1" x14ac:dyDescent="0.25">
      <c r="B220" s="110" t="s">
        <v>100</v>
      </c>
      <c r="C220" s="29" t="s">
        <v>462</v>
      </c>
      <c r="D220" s="111" t="s">
        <v>41</v>
      </c>
      <c r="E220" s="31" t="s">
        <v>69</v>
      </c>
      <c r="F220" s="32">
        <v>2006</v>
      </c>
      <c r="G220" s="26">
        <v>1</v>
      </c>
      <c r="H220" s="37">
        <v>4.17</v>
      </c>
      <c r="I220" s="34">
        <v>15</v>
      </c>
    </row>
    <row r="221" spans="2:9" ht="18" customHeight="1" x14ac:dyDescent="0.25">
      <c r="B221" s="110" t="s">
        <v>100</v>
      </c>
      <c r="C221" s="29" t="s">
        <v>547</v>
      </c>
      <c r="D221" s="111" t="s">
        <v>41</v>
      </c>
      <c r="E221" s="31" t="s">
        <v>576</v>
      </c>
      <c r="F221" s="43">
        <v>41761</v>
      </c>
      <c r="G221" s="26">
        <v>1</v>
      </c>
      <c r="H221" s="37">
        <v>17.579999999999998</v>
      </c>
      <c r="I221" s="34">
        <v>89.56</v>
      </c>
    </row>
    <row r="222" spans="2:9" ht="18" customHeight="1" x14ac:dyDescent="0.25">
      <c r="B222" s="113" t="s">
        <v>100</v>
      </c>
      <c r="C222" s="90" t="s">
        <v>685</v>
      </c>
      <c r="D222" s="114" t="s">
        <v>41</v>
      </c>
      <c r="E222" s="58" t="s">
        <v>69</v>
      </c>
      <c r="F222" s="187">
        <v>42124</v>
      </c>
      <c r="G222" s="60">
        <v>1</v>
      </c>
      <c r="H222" s="123">
        <v>11.243</v>
      </c>
      <c r="I222" s="96">
        <v>35</v>
      </c>
    </row>
    <row r="223" spans="2:9" ht="18" customHeight="1" x14ac:dyDescent="0.25">
      <c r="B223" s="113" t="s">
        <v>101</v>
      </c>
      <c r="C223" s="39" t="s">
        <v>163</v>
      </c>
      <c r="D223" s="114" t="s">
        <v>59</v>
      </c>
      <c r="E223" s="31" t="s">
        <v>72</v>
      </c>
      <c r="F223" s="40">
        <v>1961</v>
      </c>
      <c r="G223" s="26">
        <v>1</v>
      </c>
      <c r="H223" s="41">
        <v>6.78</v>
      </c>
      <c r="I223" s="42">
        <v>50</v>
      </c>
    </row>
    <row r="224" spans="2:9" ht="18" customHeight="1" x14ac:dyDescent="0.25">
      <c r="B224" s="110" t="s">
        <v>101</v>
      </c>
      <c r="C224" s="39" t="s">
        <v>191</v>
      </c>
      <c r="D224" s="111" t="s">
        <v>59</v>
      </c>
      <c r="E224" s="31" t="s">
        <v>72</v>
      </c>
      <c r="F224" s="40">
        <v>1999</v>
      </c>
      <c r="G224" s="26">
        <v>1</v>
      </c>
      <c r="H224" s="124">
        <v>2.1259999999999999</v>
      </c>
      <c r="I224" s="125">
        <v>11.435</v>
      </c>
    </row>
    <row r="225" spans="2:9" ht="18" customHeight="1" x14ac:dyDescent="0.25">
      <c r="B225" s="110" t="s">
        <v>101</v>
      </c>
      <c r="C225" s="39" t="s">
        <v>192</v>
      </c>
      <c r="D225" s="111" t="s">
        <v>59</v>
      </c>
      <c r="E225" s="31" t="s">
        <v>72</v>
      </c>
      <c r="F225" s="40">
        <v>2000</v>
      </c>
      <c r="G225" s="26">
        <v>1</v>
      </c>
      <c r="H225" s="41">
        <v>2.4980000000000002</v>
      </c>
      <c r="I225" s="42">
        <v>11.307</v>
      </c>
    </row>
    <row r="226" spans="2:9" ht="18" customHeight="1" x14ac:dyDescent="0.25">
      <c r="B226" s="110" t="s">
        <v>101</v>
      </c>
      <c r="C226" s="62" t="s">
        <v>475</v>
      </c>
      <c r="D226" s="111" t="s">
        <v>59</v>
      </c>
      <c r="E226" s="31" t="s">
        <v>72</v>
      </c>
      <c r="F226" s="32">
        <v>2007</v>
      </c>
      <c r="G226" s="26">
        <v>1</v>
      </c>
      <c r="H226" s="33">
        <f>4.082+0.47</f>
        <v>4.5519999999999996</v>
      </c>
      <c r="I226" s="34">
        <v>24.306999999999999</v>
      </c>
    </row>
    <row r="227" spans="2:9" ht="18" customHeight="1" x14ac:dyDescent="0.25">
      <c r="B227" s="110" t="s">
        <v>101</v>
      </c>
      <c r="C227" s="62" t="s">
        <v>476</v>
      </c>
      <c r="D227" s="111" t="s">
        <v>59</v>
      </c>
      <c r="E227" s="31" t="s">
        <v>72</v>
      </c>
      <c r="F227" s="117">
        <v>2007</v>
      </c>
      <c r="G227" s="26">
        <v>1</v>
      </c>
      <c r="H227" s="95">
        <v>3.69</v>
      </c>
      <c r="I227" s="47">
        <v>23.103999999999999</v>
      </c>
    </row>
    <row r="228" spans="2:9" ht="18" customHeight="1" x14ac:dyDescent="0.25">
      <c r="B228" s="110" t="s">
        <v>101</v>
      </c>
      <c r="C228" s="62" t="s">
        <v>477</v>
      </c>
      <c r="D228" s="111" t="s">
        <v>59</v>
      </c>
      <c r="E228" s="31" t="s">
        <v>72</v>
      </c>
      <c r="F228" s="117">
        <v>2009</v>
      </c>
      <c r="G228" s="26">
        <v>1</v>
      </c>
      <c r="H228" s="95">
        <v>1.05</v>
      </c>
      <c r="I228" s="34">
        <v>4</v>
      </c>
    </row>
    <row r="229" spans="2:9" s="3" customFormat="1" ht="18" customHeight="1" x14ac:dyDescent="0.25">
      <c r="B229" s="110" t="s">
        <v>101</v>
      </c>
      <c r="C229" s="62" t="s">
        <v>478</v>
      </c>
      <c r="D229" s="111" t="s">
        <v>59</v>
      </c>
      <c r="E229" s="31" t="s">
        <v>72</v>
      </c>
      <c r="F229" s="117">
        <v>2007</v>
      </c>
      <c r="G229" s="26">
        <v>1</v>
      </c>
      <c r="H229" s="95">
        <f>2*2.008</f>
        <v>4.016</v>
      </c>
      <c r="I229" s="47">
        <v>25.16</v>
      </c>
    </row>
    <row r="230" spans="2:9" s="3" customFormat="1" ht="18" customHeight="1" x14ac:dyDescent="0.25">
      <c r="B230" s="110" t="s">
        <v>101</v>
      </c>
      <c r="C230" s="62" t="s">
        <v>479</v>
      </c>
      <c r="D230" s="111" t="s">
        <v>59</v>
      </c>
      <c r="E230" s="31" t="s">
        <v>72</v>
      </c>
      <c r="F230" s="117">
        <v>2009</v>
      </c>
      <c r="G230" s="26">
        <v>1</v>
      </c>
      <c r="H230" s="95">
        <v>5.7140000000000004</v>
      </c>
      <c r="I230" s="47">
        <v>25</v>
      </c>
    </row>
    <row r="231" spans="2:9" s="3" customFormat="1" ht="18" customHeight="1" x14ac:dyDescent="0.25">
      <c r="B231" s="110" t="s">
        <v>101</v>
      </c>
      <c r="C231" s="44" t="s">
        <v>413</v>
      </c>
      <c r="D231" s="111" t="s">
        <v>59</v>
      </c>
      <c r="E231" s="31" t="s">
        <v>69</v>
      </c>
      <c r="F231" s="43">
        <v>41485</v>
      </c>
      <c r="G231" s="26">
        <v>1</v>
      </c>
      <c r="H231" s="37">
        <v>25</v>
      </c>
      <c r="I231" s="34">
        <v>80</v>
      </c>
    </row>
    <row r="232" spans="2:9" ht="18" customHeight="1" x14ac:dyDescent="0.25">
      <c r="B232" s="110" t="s">
        <v>101</v>
      </c>
      <c r="C232" s="44" t="s">
        <v>238</v>
      </c>
      <c r="D232" s="111" t="s">
        <v>59</v>
      </c>
      <c r="E232" s="31" t="s">
        <v>72</v>
      </c>
      <c r="F232" s="43">
        <v>41313</v>
      </c>
      <c r="G232" s="26">
        <v>1</v>
      </c>
      <c r="H232" s="37">
        <v>19.03</v>
      </c>
      <c r="I232" s="34">
        <v>70</v>
      </c>
    </row>
    <row r="233" spans="2:9" ht="18" customHeight="1" x14ac:dyDescent="0.25">
      <c r="B233" s="110" t="s">
        <v>101</v>
      </c>
      <c r="C233" s="29" t="s">
        <v>197</v>
      </c>
      <c r="D233" s="111" t="s">
        <v>59</v>
      </c>
      <c r="E233" s="31" t="s">
        <v>72</v>
      </c>
      <c r="F233" s="117">
        <v>2009</v>
      </c>
      <c r="G233" s="26">
        <v>1</v>
      </c>
      <c r="H233" s="95">
        <v>63</v>
      </c>
      <c r="I233" s="47">
        <v>330</v>
      </c>
    </row>
    <row r="234" spans="2:9" ht="18" customHeight="1" x14ac:dyDescent="0.25">
      <c r="B234" s="110" t="s">
        <v>101</v>
      </c>
      <c r="C234" s="29" t="s">
        <v>521</v>
      </c>
      <c r="D234" s="111" t="s">
        <v>59</v>
      </c>
      <c r="E234" s="31" t="s">
        <v>69</v>
      </c>
      <c r="F234" s="32">
        <f>F233</f>
        <v>2009</v>
      </c>
      <c r="G234" s="26">
        <v>1</v>
      </c>
      <c r="H234" s="37">
        <v>8.68</v>
      </c>
      <c r="I234" s="47">
        <v>41</v>
      </c>
    </row>
    <row r="235" spans="2:9" ht="18" customHeight="1" x14ac:dyDescent="0.25">
      <c r="B235" s="110" t="s">
        <v>101</v>
      </c>
      <c r="C235" s="44" t="s">
        <v>337</v>
      </c>
      <c r="D235" s="111" t="s">
        <v>59</v>
      </c>
      <c r="E235" s="31" t="s">
        <v>72</v>
      </c>
      <c r="F235" s="43">
        <v>40991</v>
      </c>
      <c r="G235" s="26">
        <v>1</v>
      </c>
      <c r="H235" s="37">
        <v>6.56</v>
      </c>
      <c r="I235" s="34">
        <v>23.36</v>
      </c>
    </row>
    <row r="236" spans="2:9" ht="18" customHeight="1" x14ac:dyDescent="0.25">
      <c r="B236" s="110" t="s">
        <v>101</v>
      </c>
      <c r="C236" s="29" t="s">
        <v>342</v>
      </c>
      <c r="D236" s="111" t="s">
        <v>59</v>
      </c>
      <c r="E236" s="31" t="s">
        <v>72</v>
      </c>
      <c r="F236" s="85">
        <v>40669</v>
      </c>
      <c r="G236" s="26">
        <v>1</v>
      </c>
      <c r="H236" s="64">
        <v>25.49</v>
      </c>
      <c r="I236" s="46">
        <v>101.49</v>
      </c>
    </row>
    <row r="237" spans="2:9" ht="18" customHeight="1" x14ac:dyDescent="0.25">
      <c r="B237" s="110" t="s">
        <v>101</v>
      </c>
      <c r="C237" s="29" t="s">
        <v>365</v>
      </c>
      <c r="D237" s="111" t="s">
        <v>59</v>
      </c>
      <c r="E237" s="31" t="s">
        <v>72</v>
      </c>
      <c r="F237" s="185">
        <v>40728</v>
      </c>
      <c r="G237" s="26">
        <v>1</v>
      </c>
      <c r="H237" s="64">
        <v>1.605</v>
      </c>
      <c r="I237" s="46">
        <v>7.8609999999999998</v>
      </c>
    </row>
    <row r="238" spans="2:9" ht="18" customHeight="1" x14ac:dyDescent="0.25">
      <c r="B238" s="110" t="s">
        <v>101</v>
      </c>
      <c r="C238" s="29" t="s">
        <v>381</v>
      </c>
      <c r="D238" s="111" t="s">
        <v>59</v>
      </c>
      <c r="E238" s="31" t="s">
        <v>72</v>
      </c>
      <c r="F238" s="117">
        <v>2009</v>
      </c>
      <c r="G238" s="26">
        <v>1</v>
      </c>
      <c r="H238" s="95">
        <v>14.000999999999999</v>
      </c>
      <c r="I238" s="47">
        <v>56.16</v>
      </c>
    </row>
    <row r="239" spans="2:9" ht="18" customHeight="1" x14ac:dyDescent="0.25">
      <c r="B239" s="110" t="s">
        <v>101</v>
      </c>
      <c r="C239" s="29" t="s">
        <v>551</v>
      </c>
      <c r="D239" s="111" t="s">
        <v>59</v>
      </c>
      <c r="E239" s="31" t="s">
        <v>576</v>
      </c>
      <c r="F239" s="43">
        <v>41963</v>
      </c>
      <c r="G239" s="26">
        <v>1</v>
      </c>
      <c r="H239" s="37">
        <v>7.52</v>
      </c>
      <c r="I239" s="34">
        <v>19.669</v>
      </c>
    </row>
    <row r="240" spans="2:9" s="3" customFormat="1" ht="18" customHeight="1" x14ac:dyDescent="0.25">
      <c r="B240" s="110" t="s">
        <v>101</v>
      </c>
      <c r="C240" s="29" t="s">
        <v>552</v>
      </c>
      <c r="D240" s="111" t="s">
        <v>59</v>
      </c>
      <c r="E240" s="31" t="s">
        <v>576</v>
      </c>
      <c r="F240" s="43">
        <v>41704</v>
      </c>
      <c r="G240" s="26">
        <v>1</v>
      </c>
      <c r="H240" s="37">
        <v>8.9700000000000006</v>
      </c>
      <c r="I240" s="34">
        <v>25.913</v>
      </c>
    </row>
    <row r="241" spans="2:9" s="3" customFormat="1" ht="18" customHeight="1" x14ac:dyDescent="0.25">
      <c r="B241" s="110" t="s">
        <v>101</v>
      </c>
      <c r="C241" s="29" t="s">
        <v>568</v>
      </c>
      <c r="D241" s="111" t="s">
        <v>59</v>
      </c>
      <c r="E241" s="31" t="s">
        <v>576</v>
      </c>
      <c r="F241" s="43">
        <v>41957</v>
      </c>
      <c r="G241" s="26">
        <v>1</v>
      </c>
      <c r="H241" s="33">
        <v>19.09</v>
      </c>
      <c r="I241" s="63">
        <v>73.790000000000006</v>
      </c>
    </row>
    <row r="242" spans="2:9" s="3" customFormat="1" ht="18" customHeight="1" x14ac:dyDescent="0.25">
      <c r="B242" s="113" t="s">
        <v>101</v>
      </c>
      <c r="C242" s="56" t="s">
        <v>686</v>
      </c>
      <c r="D242" s="114" t="s">
        <v>59</v>
      </c>
      <c r="E242" s="58" t="s">
        <v>72</v>
      </c>
      <c r="F242" s="187">
        <v>42187</v>
      </c>
      <c r="G242" s="60">
        <v>1</v>
      </c>
      <c r="H242" s="33">
        <v>5.14</v>
      </c>
      <c r="I242" s="63">
        <v>17.5</v>
      </c>
    </row>
    <row r="243" spans="2:9" s="3" customFormat="1" ht="18" customHeight="1" x14ac:dyDescent="0.25">
      <c r="B243" s="113" t="s">
        <v>101</v>
      </c>
      <c r="C243" s="56" t="s">
        <v>687</v>
      </c>
      <c r="D243" s="114" t="s">
        <v>59</v>
      </c>
      <c r="E243" s="58" t="s">
        <v>72</v>
      </c>
      <c r="F243" s="187">
        <v>42082</v>
      </c>
      <c r="G243" s="60">
        <v>1</v>
      </c>
      <c r="H243" s="33">
        <v>5.64</v>
      </c>
      <c r="I243" s="63">
        <v>14.41</v>
      </c>
    </row>
    <row r="244" spans="2:9" s="3" customFormat="1" ht="18" customHeight="1" x14ac:dyDescent="0.25">
      <c r="B244" s="113" t="s">
        <v>101</v>
      </c>
      <c r="C244" s="56" t="s">
        <v>688</v>
      </c>
      <c r="D244" s="114" t="s">
        <v>59</v>
      </c>
      <c r="E244" s="58" t="s">
        <v>72</v>
      </c>
      <c r="F244" s="65">
        <v>1957</v>
      </c>
      <c r="G244" s="60">
        <v>1</v>
      </c>
      <c r="H244" s="33">
        <v>0.2</v>
      </c>
      <c r="I244" s="63">
        <v>0.5</v>
      </c>
    </row>
    <row r="245" spans="2:9" s="3" customFormat="1" ht="18" customHeight="1" x14ac:dyDescent="0.25">
      <c r="B245" s="113" t="s">
        <v>697</v>
      </c>
      <c r="C245" s="56" t="s">
        <v>271</v>
      </c>
      <c r="D245" s="114" t="s">
        <v>698</v>
      </c>
      <c r="E245" s="58" t="s">
        <v>72</v>
      </c>
      <c r="F245" s="85">
        <v>40709</v>
      </c>
      <c r="G245" s="60">
        <v>1</v>
      </c>
      <c r="H245" s="33">
        <v>2.8690000000000002</v>
      </c>
      <c r="I245" s="63">
        <v>13.2</v>
      </c>
    </row>
    <row r="246" spans="2:9" ht="18" customHeight="1" x14ac:dyDescent="0.25">
      <c r="B246" s="126" t="s">
        <v>102</v>
      </c>
      <c r="C246" s="29" t="s">
        <v>359</v>
      </c>
      <c r="D246" s="44" t="s">
        <v>64</v>
      </c>
      <c r="E246" s="31" t="s">
        <v>72</v>
      </c>
      <c r="F246" s="185">
        <v>40704</v>
      </c>
      <c r="G246" s="26">
        <v>1</v>
      </c>
      <c r="H246" s="64">
        <v>33</v>
      </c>
      <c r="I246" s="46">
        <v>141</v>
      </c>
    </row>
    <row r="247" spans="2:9" ht="18" customHeight="1" x14ac:dyDescent="0.25">
      <c r="B247" s="127" t="s">
        <v>102</v>
      </c>
      <c r="C247" s="56" t="s">
        <v>689</v>
      </c>
      <c r="D247" s="128" t="s">
        <v>64</v>
      </c>
      <c r="E247" s="58" t="s">
        <v>72</v>
      </c>
      <c r="F247" s="185">
        <v>42250</v>
      </c>
      <c r="G247" s="60">
        <v>1</v>
      </c>
      <c r="H247" s="45">
        <v>1.343</v>
      </c>
      <c r="I247" s="69">
        <v>6</v>
      </c>
    </row>
    <row r="248" spans="2:9" ht="18" customHeight="1" x14ac:dyDescent="0.25">
      <c r="B248" s="103" t="s">
        <v>132</v>
      </c>
      <c r="C248" s="29" t="s">
        <v>532</v>
      </c>
      <c r="D248" s="29" t="s">
        <v>37</v>
      </c>
      <c r="E248" s="31" t="s">
        <v>72</v>
      </c>
      <c r="F248" s="32">
        <v>2009</v>
      </c>
      <c r="G248" s="26">
        <v>1</v>
      </c>
      <c r="H248" s="95">
        <v>14.835000000000001</v>
      </c>
      <c r="I248" s="47">
        <v>56.89</v>
      </c>
    </row>
    <row r="249" spans="2:9" ht="18" customHeight="1" x14ac:dyDescent="0.25">
      <c r="B249" s="110" t="s">
        <v>132</v>
      </c>
      <c r="C249" s="29" t="s">
        <v>553</v>
      </c>
      <c r="D249" s="111" t="s">
        <v>37</v>
      </c>
      <c r="E249" s="31" t="s">
        <v>576</v>
      </c>
      <c r="F249" s="43">
        <v>41985</v>
      </c>
      <c r="G249" s="26">
        <v>1</v>
      </c>
      <c r="H249" s="37">
        <v>35.186</v>
      </c>
      <c r="I249" s="34">
        <v>110</v>
      </c>
    </row>
    <row r="250" spans="2:9" ht="18" customHeight="1" x14ac:dyDescent="0.25">
      <c r="B250" s="110" t="s">
        <v>132</v>
      </c>
      <c r="C250" s="29" t="s">
        <v>561</v>
      </c>
      <c r="D250" s="111" t="s">
        <v>37</v>
      </c>
      <c r="E250" s="31" t="s">
        <v>576</v>
      </c>
      <c r="F250" s="43">
        <v>41957</v>
      </c>
      <c r="G250" s="26">
        <v>1</v>
      </c>
      <c r="H250" s="37">
        <v>21.315000000000001</v>
      </c>
      <c r="I250" s="34">
        <v>83.54</v>
      </c>
    </row>
    <row r="251" spans="2:9" ht="18" customHeight="1" x14ac:dyDescent="0.25">
      <c r="B251" s="106" t="s">
        <v>133</v>
      </c>
      <c r="C251" s="39" t="s">
        <v>175</v>
      </c>
      <c r="D251" s="31" t="s">
        <v>12</v>
      </c>
      <c r="E251" s="31" t="s">
        <v>72</v>
      </c>
      <c r="F251" s="72">
        <v>1950</v>
      </c>
      <c r="G251" s="26">
        <v>1</v>
      </c>
      <c r="H251" s="50">
        <v>0.46400000000000002</v>
      </c>
      <c r="I251" s="51">
        <v>2.5</v>
      </c>
    </row>
    <row r="252" spans="2:9" ht="18" customHeight="1" x14ac:dyDescent="0.25">
      <c r="B252" s="106" t="s">
        <v>133</v>
      </c>
      <c r="C252" s="29" t="s">
        <v>214</v>
      </c>
      <c r="D252" s="31" t="s">
        <v>12</v>
      </c>
      <c r="E252" s="31" t="s">
        <v>72</v>
      </c>
      <c r="F252" s="32">
        <v>2010</v>
      </c>
      <c r="G252" s="26">
        <v>1</v>
      </c>
      <c r="H252" s="37">
        <v>6.85</v>
      </c>
      <c r="I252" s="34">
        <v>21.5</v>
      </c>
    </row>
    <row r="253" spans="2:9" ht="18" customHeight="1" x14ac:dyDescent="0.25">
      <c r="B253" s="126" t="s">
        <v>103</v>
      </c>
      <c r="C253" s="44" t="s">
        <v>204</v>
      </c>
      <c r="D253" s="44" t="s">
        <v>40</v>
      </c>
      <c r="E253" s="31" t="s">
        <v>72</v>
      </c>
      <c r="F253" s="43">
        <v>41319</v>
      </c>
      <c r="G253" s="26">
        <v>1</v>
      </c>
      <c r="H253" s="64">
        <v>4.4000000000000004</v>
      </c>
      <c r="I253" s="46">
        <v>14.41</v>
      </c>
    </row>
    <row r="254" spans="2:9" s="3" customFormat="1" ht="18" customHeight="1" x14ac:dyDescent="0.25">
      <c r="B254" s="126" t="s">
        <v>103</v>
      </c>
      <c r="C254" s="29" t="s">
        <v>220</v>
      </c>
      <c r="D254" s="44" t="s">
        <v>40</v>
      </c>
      <c r="E254" s="31" t="s">
        <v>72</v>
      </c>
      <c r="F254" s="43">
        <v>41535</v>
      </c>
      <c r="G254" s="26">
        <v>1</v>
      </c>
      <c r="H254" s="120">
        <v>5.82</v>
      </c>
      <c r="I254" s="47">
        <v>23.58</v>
      </c>
    </row>
    <row r="255" spans="2:9" ht="18" customHeight="1" x14ac:dyDescent="0.25">
      <c r="B255" s="126" t="s">
        <v>103</v>
      </c>
      <c r="C255" s="29" t="s">
        <v>375</v>
      </c>
      <c r="D255" s="44" t="s">
        <v>40</v>
      </c>
      <c r="E255" s="31" t="s">
        <v>72</v>
      </c>
      <c r="F255" s="185">
        <v>41033</v>
      </c>
      <c r="G255" s="26">
        <v>1</v>
      </c>
      <c r="H255" s="64">
        <v>5.8</v>
      </c>
      <c r="I255" s="46">
        <v>14</v>
      </c>
    </row>
    <row r="256" spans="2:9" ht="18" customHeight="1" x14ac:dyDescent="0.25">
      <c r="B256" s="110" t="s">
        <v>103</v>
      </c>
      <c r="C256" s="29" t="s">
        <v>571</v>
      </c>
      <c r="D256" s="111" t="s">
        <v>40</v>
      </c>
      <c r="E256" s="31" t="s">
        <v>576</v>
      </c>
      <c r="F256" s="43">
        <v>41775</v>
      </c>
      <c r="G256" s="26">
        <v>1</v>
      </c>
      <c r="H256" s="37">
        <v>5.4219999999999997</v>
      </c>
      <c r="I256" s="34">
        <v>18.61</v>
      </c>
    </row>
    <row r="257" spans="2:9" ht="18" customHeight="1" x14ac:dyDescent="0.25">
      <c r="B257" s="113" t="s">
        <v>103</v>
      </c>
      <c r="C257" s="56" t="s">
        <v>690</v>
      </c>
      <c r="D257" s="114" t="s">
        <v>40</v>
      </c>
      <c r="E257" s="58" t="s">
        <v>72</v>
      </c>
      <c r="F257" s="185">
        <v>42294</v>
      </c>
      <c r="G257" s="60">
        <v>1</v>
      </c>
      <c r="H257" s="33">
        <v>12.6</v>
      </c>
      <c r="I257" s="63">
        <v>60</v>
      </c>
    </row>
    <row r="258" spans="2:9" ht="18" customHeight="1" x14ac:dyDescent="0.25">
      <c r="B258" s="113" t="s">
        <v>103</v>
      </c>
      <c r="C258" s="56" t="s">
        <v>691</v>
      </c>
      <c r="D258" s="114" t="s">
        <v>40</v>
      </c>
      <c r="E258" s="58" t="s">
        <v>72</v>
      </c>
      <c r="F258" s="185">
        <v>42122</v>
      </c>
      <c r="G258" s="60">
        <v>1</v>
      </c>
      <c r="H258" s="33">
        <v>7.96</v>
      </c>
      <c r="I258" s="63">
        <v>25</v>
      </c>
    </row>
    <row r="259" spans="2:9" ht="18" customHeight="1" x14ac:dyDescent="0.25">
      <c r="B259" s="113" t="s">
        <v>103</v>
      </c>
      <c r="C259" s="56" t="s">
        <v>692</v>
      </c>
      <c r="D259" s="114" t="s">
        <v>40</v>
      </c>
      <c r="E259" s="58" t="s">
        <v>72</v>
      </c>
      <c r="F259" s="185">
        <v>42129</v>
      </c>
      <c r="G259" s="60">
        <v>1</v>
      </c>
      <c r="H259" s="33">
        <v>1.32</v>
      </c>
      <c r="I259" s="63">
        <v>4.2</v>
      </c>
    </row>
    <row r="260" spans="2:9" ht="18" customHeight="1" x14ac:dyDescent="0.25">
      <c r="B260" s="103" t="s">
        <v>104</v>
      </c>
      <c r="C260" s="29" t="s">
        <v>379</v>
      </c>
      <c r="D260" s="29" t="s">
        <v>20</v>
      </c>
      <c r="E260" s="31" t="s">
        <v>72</v>
      </c>
      <c r="F260" s="32">
        <v>2009</v>
      </c>
      <c r="G260" s="26">
        <v>1</v>
      </c>
      <c r="H260" s="37">
        <v>1.06</v>
      </c>
      <c r="I260" s="34">
        <v>5</v>
      </c>
    </row>
    <row r="261" spans="2:9" ht="18" customHeight="1" x14ac:dyDescent="0.25">
      <c r="B261" s="126" t="s">
        <v>105</v>
      </c>
      <c r="C261" s="44" t="s">
        <v>213</v>
      </c>
      <c r="D261" s="44" t="s">
        <v>58</v>
      </c>
      <c r="E261" s="31" t="s">
        <v>72</v>
      </c>
      <c r="F261" s="85">
        <v>41203</v>
      </c>
      <c r="G261" s="26">
        <v>1</v>
      </c>
      <c r="H261" s="64">
        <v>8.58</v>
      </c>
      <c r="I261" s="46">
        <v>30.03</v>
      </c>
    </row>
    <row r="262" spans="2:9" ht="18" customHeight="1" x14ac:dyDescent="0.25">
      <c r="B262" s="126" t="s">
        <v>105</v>
      </c>
      <c r="C262" s="109" t="s">
        <v>398</v>
      </c>
      <c r="D262" s="44" t="s">
        <v>58</v>
      </c>
      <c r="E262" s="31" t="s">
        <v>69</v>
      </c>
      <c r="F262" s="85">
        <v>41242</v>
      </c>
      <c r="G262" s="26">
        <v>1</v>
      </c>
      <c r="H262" s="37">
        <v>513</v>
      </c>
      <c r="I262" s="34">
        <v>1470</v>
      </c>
    </row>
    <row r="263" spans="2:9" ht="18" customHeight="1" x14ac:dyDescent="0.25">
      <c r="B263" s="126" t="s">
        <v>105</v>
      </c>
      <c r="C263" s="29" t="s">
        <v>259</v>
      </c>
      <c r="D263" s="44" t="s">
        <v>58</v>
      </c>
      <c r="E263" s="31" t="s">
        <v>72</v>
      </c>
      <c r="F263" s="85">
        <v>40271</v>
      </c>
      <c r="G263" s="26">
        <v>1</v>
      </c>
      <c r="H263" s="37">
        <v>6.45</v>
      </c>
      <c r="I263" s="47">
        <v>20</v>
      </c>
    </row>
    <row r="264" spans="2:9" ht="18" customHeight="1" x14ac:dyDescent="0.25">
      <c r="B264" s="126" t="s">
        <v>105</v>
      </c>
      <c r="C264" s="29" t="s">
        <v>275</v>
      </c>
      <c r="D264" s="44" t="s">
        <v>58</v>
      </c>
      <c r="E264" s="31" t="s">
        <v>72</v>
      </c>
      <c r="F264" s="85">
        <f>F262</f>
        <v>41242</v>
      </c>
      <c r="G264" s="26">
        <v>1</v>
      </c>
      <c r="H264" s="37">
        <v>8.1</v>
      </c>
      <c r="I264" s="47">
        <v>40</v>
      </c>
    </row>
    <row r="265" spans="2:9" ht="18" customHeight="1" x14ac:dyDescent="0.25">
      <c r="B265" s="106" t="s">
        <v>106</v>
      </c>
      <c r="C265" s="39" t="s">
        <v>150</v>
      </c>
      <c r="D265" s="31" t="s">
        <v>56</v>
      </c>
      <c r="E265" s="31" t="s">
        <v>72</v>
      </c>
      <c r="F265" s="72">
        <v>1954</v>
      </c>
      <c r="G265" s="26">
        <v>1</v>
      </c>
      <c r="H265" s="50">
        <v>0.4</v>
      </c>
      <c r="I265" s="51">
        <v>1.5</v>
      </c>
    </row>
    <row r="266" spans="2:9" ht="18" customHeight="1" x14ac:dyDescent="0.25">
      <c r="B266" s="106" t="s">
        <v>106</v>
      </c>
      <c r="C266" s="29" t="s">
        <v>410</v>
      </c>
      <c r="D266" s="31" t="s">
        <v>56</v>
      </c>
      <c r="E266" s="31" t="s">
        <v>72</v>
      </c>
      <c r="F266" s="52">
        <v>41151</v>
      </c>
      <c r="G266" s="26">
        <v>1</v>
      </c>
      <c r="H266" s="50">
        <v>11.31</v>
      </c>
      <c r="I266" s="51">
        <v>62.768000000000001</v>
      </c>
    </row>
    <row r="267" spans="2:9" ht="18" customHeight="1" x14ac:dyDescent="0.25">
      <c r="B267" s="106" t="s">
        <v>106</v>
      </c>
      <c r="C267" s="29" t="s">
        <v>320</v>
      </c>
      <c r="D267" s="31" t="s">
        <v>56</v>
      </c>
      <c r="E267" s="31" t="s">
        <v>72</v>
      </c>
      <c r="F267" s="185">
        <v>40597</v>
      </c>
      <c r="G267" s="26">
        <v>1</v>
      </c>
      <c r="H267" s="45">
        <v>17.489999999999998</v>
      </c>
      <c r="I267" s="46">
        <v>97.7</v>
      </c>
    </row>
    <row r="268" spans="2:9" ht="18" customHeight="1" x14ac:dyDescent="0.25">
      <c r="B268" s="103" t="s">
        <v>107</v>
      </c>
      <c r="C268" s="29" t="s">
        <v>326</v>
      </c>
      <c r="D268" s="29" t="s">
        <v>60</v>
      </c>
      <c r="E268" s="31" t="s">
        <v>72</v>
      </c>
      <c r="F268" s="43">
        <v>41068</v>
      </c>
      <c r="G268" s="26">
        <v>1</v>
      </c>
      <c r="H268" s="33">
        <v>40.159999999999997</v>
      </c>
      <c r="I268" s="34">
        <v>248</v>
      </c>
    </row>
    <row r="269" spans="2:9" ht="18" customHeight="1" x14ac:dyDescent="0.25">
      <c r="B269" s="103" t="s">
        <v>107</v>
      </c>
      <c r="C269" s="48" t="s">
        <v>522</v>
      </c>
      <c r="D269" s="29" t="s">
        <v>60</v>
      </c>
      <c r="E269" s="31" t="s">
        <v>72</v>
      </c>
      <c r="F269" s="49" t="s">
        <v>1</v>
      </c>
      <c r="G269" s="26">
        <v>1</v>
      </c>
      <c r="H269" s="50">
        <v>64.28</v>
      </c>
      <c r="I269" s="51">
        <v>450</v>
      </c>
    </row>
    <row r="270" spans="2:9" ht="18" customHeight="1" x14ac:dyDescent="0.25">
      <c r="B270" s="103" t="s">
        <v>107</v>
      </c>
      <c r="C270" s="29" t="s">
        <v>450</v>
      </c>
      <c r="D270" s="29" t="s">
        <v>60</v>
      </c>
      <c r="E270" s="31" t="s">
        <v>69</v>
      </c>
      <c r="F270" s="43">
        <v>40921</v>
      </c>
      <c r="G270" s="26">
        <v>1</v>
      </c>
      <c r="H270" s="45">
        <v>18.5</v>
      </c>
      <c r="I270" s="69">
        <v>50.42</v>
      </c>
    </row>
    <row r="271" spans="2:9" ht="18" customHeight="1" x14ac:dyDescent="0.25">
      <c r="B271" s="103" t="s">
        <v>107</v>
      </c>
      <c r="C271" s="29" t="s">
        <v>458</v>
      </c>
      <c r="D271" s="29" t="s">
        <v>60</v>
      </c>
      <c r="E271" s="31" t="s">
        <v>72</v>
      </c>
      <c r="F271" s="129">
        <v>41263</v>
      </c>
      <c r="G271" s="26">
        <v>1</v>
      </c>
      <c r="H271" s="95">
        <v>14.25</v>
      </c>
      <c r="I271" s="47">
        <v>35.1</v>
      </c>
    </row>
    <row r="272" spans="2:9" ht="18" customHeight="1" x14ac:dyDescent="0.25">
      <c r="B272" s="127" t="s">
        <v>107</v>
      </c>
      <c r="C272" s="56" t="s">
        <v>709</v>
      </c>
      <c r="D272" s="128" t="s">
        <v>60</v>
      </c>
      <c r="E272" s="31" t="s">
        <v>72</v>
      </c>
      <c r="F272" s="59">
        <v>2010</v>
      </c>
      <c r="G272" s="26">
        <v>1</v>
      </c>
      <c r="H272" s="37">
        <v>42.25</v>
      </c>
      <c r="I272" s="47">
        <v>92</v>
      </c>
    </row>
    <row r="273" spans="2:9" ht="18" customHeight="1" x14ac:dyDescent="0.25">
      <c r="B273" s="105" t="s">
        <v>107</v>
      </c>
      <c r="C273" s="56" t="s">
        <v>693</v>
      </c>
      <c r="D273" s="56" t="s">
        <v>60</v>
      </c>
      <c r="E273" s="58" t="s">
        <v>72</v>
      </c>
      <c r="F273" s="185">
        <v>42310</v>
      </c>
      <c r="G273" s="60">
        <v>1</v>
      </c>
      <c r="H273" s="120">
        <v>7.2</v>
      </c>
      <c r="I273" s="61">
        <v>25.2</v>
      </c>
    </row>
    <row r="274" spans="2:9" ht="18" customHeight="1" x14ac:dyDescent="0.25">
      <c r="B274" s="105" t="s">
        <v>107</v>
      </c>
      <c r="C274" s="56" t="s">
        <v>694</v>
      </c>
      <c r="D274" s="56" t="s">
        <v>60</v>
      </c>
      <c r="E274" s="58" t="s">
        <v>72</v>
      </c>
      <c r="F274" s="185">
        <v>42096</v>
      </c>
      <c r="G274" s="60">
        <v>1</v>
      </c>
      <c r="H274" s="120">
        <v>19.568000000000001</v>
      </c>
      <c r="I274" s="61">
        <v>68.489999999999995</v>
      </c>
    </row>
    <row r="275" spans="2:9" ht="18" customHeight="1" x14ac:dyDescent="0.25">
      <c r="B275" s="105" t="s">
        <v>107</v>
      </c>
      <c r="C275" s="56" t="s">
        <v>695</v>
      </c>
      <c r="D275" s="56" t="s">
        <v>60</v>
      </c>
      <c r="E275" s="58" t="s">
        <v>72</v>
      </c>
      <c r="F275" s="185">
        <v>42236</v>
      </c>
      <c r="G275" s="60">
        <v>1</v>
      </c>
      <c r="H275" s="120">
        <v>8.3160000000000007</v>
      </c>
      <c r="I275" s="61">
        <v>24.35</v>
      </c>
    </row>
    <row r="276" spans="2:9" ht="18" customHeight="1" x14ac:dyDescent="0.25">
      <c r="B276" s="105" t="s">
        <v>107</v>
      </c>
      <c r="C276" s="56" t="s">
        <v>696</v>
      </c>
      <c r="D276" s="56" t="s">
        <v>60</v>
      </c>
      <c r="E276" s="58" t="s">
        <v>72</v>
      </c>
      <c r="F276" s="185">
        <v>42251</v>
      </c>
      <c r="G276" s="60">
        <v>1</v>
      </c>
      <c r="H276" s="120">
        <v>69.626999999999995</v>
      </c>
      <c r="I276" s="61">
        <v>241.1</v>
      </c>
    </row>
    <row r="277" spans="2:9" ht="18" customHeight="1" x14ac:dyDescent="0.25">
      <c r="B277" s="126" t="s">
        <v>108</v>
      </c>
      <c r="C277" s="29" t="s">
        <v>284</v>
      </c>
      <c r="D277" s="44" t="s">
        <v>21</v>
      </c>
      <c r="E277" s="31" t="s">
        <v>72</v>
      </c>
      <c r="F277" s="52">
        <v>40641</v>
      </c>
      <c r="G277" s="26">
        <v>1</v>
      </c>
      <c r="H277" s="64">
        <v>14.5</v>
      </c>
      <c r="I277" s="46">
        <v>48</v>
      </c>
    </row>
    <row r="278" spans="2:9" ht="18" customHeight="1" x14ac:dyDescent="0.25">
      <c r="B278" s="126" t="s">
        <v>108</v>
      </c>
      <c r="C278" s="29" t="s">
        <v>336</v>
      </c>
      <c r="D278" s="44" t="s">
        <v>21</v>
      </c>
      <c r="E278" s="31" t="s">
        <v>72</v>
      </c>
      <c r="F278" s="43">
        <v>41319</v>
      </c>
      <c r="G278" s="26">
        <v>1</v>
      </c>
      <c r="H278" s="37">
        <v>18.68</v>
      </c>
      <c r="I278" s="34">
        <v>150</v>
      </c>
    </row>
    <row r="279" spans="2:9" ht="18" customHeight="1" x14ac:dyDescent="0.25">
      <c r="B279" s="127" t="s">
        <v>108</v>
      </c>
      <c r="C279" s="56" t="s">
        <v>699</v>
      </c>
      <c r="D279" s="128" t="s">
        <v>21</v>
      </c>
      <c r="E279" s="58" t="s">
        <v>72</v>
      </c>
      <c r="F279" s="185">
        <v>42144</v>
      </c>
      <c r="G279" s="60">
        <v>1</v>
      </c>
      <c r="H279" s="33">
        <v>101.72</v>
      </c>
      <c r="I279" s="63">
        <v>470</v>
      </c>
    </row>
    <row r="280" spans="2:9" ht="18" customHeight="1" x14ac:dyDescent="0.25">
      <c r="B280" s="106" t="s">
        <v>109</v>
      </c>
      <c r="C280" s="44" t="s">
        <v>218</v>
      </c>
      <c r="D280" s="31" t="s">
        <v>5</v>
      </c>
      <c r="E280" s="31" t="s">
        <v>72</v>
      </c>
      <c r="F280" s="85">
        <v>41243</v>
      </c>
      <c r="G280" s="26">
        <v>1</v>
      </c>
      <c r="H280" s="45">
        <v>3.49</v>
      </c>
      <c r="I280" s="46">
        <v>19.286999999999999</v>
      </c>
    </row>
    <row r="281" spans="2:9" ht="18" customHeight="1" x14ac:dyDescent="0.25">
      <c r="B281" s="106" t="s">
        <v>109</v>
      </c>
      <c r="C281" s="44" t="s">
        <v>499</v>
      </c>
      <c r="D281" s="31" t="s">
        <v>5</v>
      </c>
      <c r="E281" s="31" t="s">
        <v>72</v>
      </c>
      <c r="F281" s="52">
        <v>41347</v>
      </c>
      <c r="G281" s="26">
        <v>1</v>
      </c>
      <c r="H281" s="130">
        <f>5.39+0.04</f>
        <v>5.43</v>
      </c>
      <c r="I281" s="122">
        <v>20.07</v>
      </c>
    </row>
    <row r="282" spans="2:9" ht="18" customHeight="1" x14ac:dyDescent="0.25">
      <c r="B282" s="106" t="s">
        <v>109</v>
      </c>
      <c r="C282" s="29" t="s">
        <v>500</v>
      </c>
      <c r="D282" s="31" t="s">
        <v>5</v>
      </c>
      <c r="E282" s="31" t="s">
        <v>72</v>
      </c>
      <c r="F282" s="43">
        <v>40599</v>
      </c>
      <c r="G282" s="26">
        <v>1</v>
      </c>
      <c r="H282" s="37">
        <v>4.6900000000000004</v>
      </c>
      <c r="I282" s="47">
        <v>16</v>
      </c>
    </row>
    <row r="283" spans="2:9" ht="18" customHeight="1" x14ac:dyDescent="0.25">
      <c r="B283" s="106" t="s">
        <v>109</v>
      </c>
      <c r="C283" s="29" t="s">
        <v>288</v>
      </c>
      <c r="D283" s="31" t="s">
        <v>5</v>
      </c>
      <c r="E283" s="31" t="s">
        <v>72</v>
      </c>
      <c r="F283" s="43">
        <v>41312</v>
      </c>
      <c r="G283" s="26">
        <v>1</v>
      </c>
      <c r="H283" s="37">
        <v>29.25</v>
      </c>
      <c r="I283" s="47">
        <v>108</v>
      </c>
    </row>
    <row r="284" spans="2:9" ht="18" customHeight="1" x14ac:dyDescent="0.25">
      <c r="B284" s="106" t="s">
        <v>109</v>
      </c>
      <c r="C284" s="29" t="s">
        <v>437</v>
      </c>
      <c r="D284" s="31" t="s">
        <v>5</v>
      </c>
      <c r="E284" s="31" t="s">
        <v>72</v>
      </c>
      <c r="F284" s="85">
        <v>41270</v>
      </c>
      <c r="G284" s="26">
        <v>1</v>
      </c>
      <c r="H284" s="121">
        <v>32.548000000000002</v>
      </c>
      <c r="I284" s="122">
        <v>125</v>
      </c>
    </row>
    <row r="285" spans="2:9" ht="18" customHeight="1" x14ac:dyDescent="0.25">
      <c r="B285" s="106" t="s">
        <v>109</v>
      </c>
      <c r="C285" s="29" t="s">
        <v>329</v>
      </c>
      <c r="D285" s="31" t="s">
        <v>5</v>
      </c>
      <c r="E285" s="31" t="s">
        <v>72</v>
      </c>
      <c r="F285" s="43">
        <v>41310</v>
      </c>
      <c r="G285" s="26">
        <v>1</v>
      </c>
      <c r="H285" s="37">
        <v>9.0299999999999994</v>
      </c>
      <c r="I285" s="34">
        <v>31</v>
      </c>
    </row>
    <row r="286" spans="2:9" ht="18" customHeight="1" x14ac:dyDescent="0.25">
      <c r="B286" s="106" t="s">
        <v>109</v>
      </c>
      <c r="C286" s="48" t="s">
        <v>357</v>
      </c>
      <c r="D286" s="31" t="s">
        <v>5</v>
      </c>
      <c r="E286" s="31" t="s">
        <v>72</v>
      </c>
      <c r="F286" s="49">
        <v>2009</v>
      </c>
      <c r="G286" s="26">
        <v>1</v>
      </c>
      <c r="H286" s="50">
        <v>1.98</v>
      </c>
      <c r="I286" s="51">
        <v>10.08</v>
      </c>
    </row>
    <row r="287" spans="2:9" ht="18" customHeight="1" x14ac:dyDescent="0.25">
      <c r="B287" s="103" t="s">
        <v>109</v>
      </c>
      <c r="C287" s="44" t="s">
        <v>533</v>
      </c>
      <c r="D287" s="29" t="s">
        <v>5</v>
      </c>
      <c r="E287" s="31" t="s">
        <v>69</v>
      </c>
      <c r="F287" s="43">
        <v>41285</v>
      </c>
      <c r="G287" s="26">
        <v>1</v>
      </c>
      <c r="H287" s="220">
        <v>24.28</v>
      </c>
      <c r="I287" s="222">
        <v>71.39</v>
      </c>
    </row>
    <row r="288" spans="2:9" ht="18" customHeight="1" x14ac:dyDescent="0.25">
      <c r="B288" s="103" t="s">
        <v>109</v>
      </c>
      <c r="C288" s="44" t="s">
        <v>464</v>
      </c>
      <c r="D288" s="29" t="s">
        <v>5</v>
      </c>
      <c r="E288" s="31" t="s">
        <v>72</v>
      </c>
      <c r="F288" s="43">
        <v>40636</v>
      </c>
      <c r="G288" s="26">
        <v>1</v>
      </c>
      <c r="H288" s="221"/>
      <c r="I288" s="223"/>
    </row>
    <row r="289" spans="2:9" ht="18" customHeight="1" x14ac:dyDescent="0.25">
      <c r="B289" s="103" t="s">
        <v>109</v>
      </c>
      <c r="C289" s="29" t="s">
        <v>376</v>
      </c>
      <c r="D289" s="29" t="s">
        <v>5</v>
      </c>
      <c r="E289" s="31" t="s">
        <v>72</v>
      </c>
      <c r="F289" s="85">
        <v>40373</v>
      </c>
      <c r="G289" s="26">
        <v>1</v>
      </c>
      <c r="H289" s="37">
        <v>22.5</v>
      </c>
      <c r="I289" s="47">
        <v>82.74</v>
      </c>
    </row>
    <row r="290" spans="2:9" s="3" customFormat="1" ht="18" customHeight="1" x14ac:dyDescent="0.25">
      <c r="B290" s="131" t="s">
        <v>110</v>
      </c>
      <c r="C290" s="39" t="s">
        <v>470</v>
      </c>
      <c r="D290" s="132" t="s">
        <v>61</v>
      </c>
      <c r="E290" s="31" t="s">
        <v>72</v>
      </c>
      <c r="F290" s="86">
        <v>1929</v>
      </c>
      <c r="G290" s="26">
        <v>1</v>
      </c>
      <c r="H290" s="87">
        <v>1.04</v>
      </c>
      <c r="I290" s="88">
        <v>2.4500000000000002</v>
      </c>
    </row>
    <row r="291" spans="2:9" ht="18" customHeight="1" x14ac:dyDescent="0.25">
      <c r="B291" s="131" t="s">
        <v>110</v>
      </c>
      <c r="C291" s="29" t="s">
        <v>198</v>
      </c>
      <c r="D291" s="132" t="s">
        <v>61</v>
      </c>
      <c r="E291" s="31" t="s">
        <v>72</v>
      </c>
      <c r="F291" s="85">
        <v>41697</v>
      </c>
      <c r="G291" s="26">
        <v>1</v>
      </c>
      <c r="H291" s="37">
        <v>2.4</v>
      </c>
      <c r="I291" s="34">
        <v>10</v>
      </c>
    </row>
    <row r="292" spans="2:9" ht="18" customHeight="1" x14ac:dyDescent="0.25">
      <c r="B292" s="131" t="s">
        <v>110</v>
      </c>
      <c r="C292" s="29" t="s">
        <v>207</v>
      </c>
      <c r="D292" s="132" t="s">
        <v>61</v>
      </c>
      <c r="E292" s="31" t="s">
        <v>72</v>
      </c>
      <c r="F292" s="32">
        <v>2008</v>
      </c>
      <c r="G292" s="26">
        <v>1</v>
      </c>
      <c r="H292" s="37">
        <v>81</v>
      </c>
      <c r="I292" s="47">
        <v>257</v>
      </c>
    </row>
    <row r="293" spans="2:9" ht="18" customHeight="1" x14ac:dyDescent="0.25">
      <c r="B293" s="131" t="s">
        <v>110</v>
      </c>
      <c r="C293" s="29" t="s">
        <v>480</v>
      </c>
      <c r="D293" s="132" t="s">
        <v>61</v>
      </c>
      <c r="E293" s="31" t="s">
        <v>72</v>
      </c>
      <c r="F293" s="43">
        <v>41408</v>
      </c>
      <c r="G293" s="26">
        <v>1</v>
      </c>
      <c r="H293" s="37">
        <v>8.9109999999999996</v>
      </c>
      <c r="I293" s="47">
        <v>25.8</v>
      </c>
    </row>
    <row r="294" spans="2:9" ht="18" customHeight="1" x14ac:dyDescent="0.25">
      <c r="B294" s="131" t="s">
        <v>110</v>
      </c>
      <c r="C294" s="29" t="s">
        <v>390</v>
      </c>
      <c r="D294" s="132" t="s">
        <v>61</v>
      </c>
      <c r="E294" s="31" t="s">
        <v>72</v>
      </c>
      <c r="F294" s="43">
        <v>41005</v>
      </c>
      <c r="G294" s="26">
        <v>1</v>
      </c>
      <c r="H294" s="64">
        <v>16.350000000000001</v>
      </c>
      <c r="I294" s="47">
        <v>58.18</v>
      </c>
    </row>
    <row r="295" spans="2:9" ht="18" customHeight="1" x14ac:dyDescent="0.25">
      <c r="B295" s="131" t="s">
        <v>110</v>
      </c>
      <c r="C295" s="29" t="s">
        <v>395</v>
      </c>
      <c r="D295" s="132" t="s">
        <v>61</v>
      </c>
      <c r="E295" s="31" t="s">
        <v>72</v>
      </c>
      <c r="F295" s="52">
        <v>40760</v>
      </c>
      <c r="G295" s="26">
        <v>1</v>
      </c>
      <c r="H295" s="64">
        <v>9.19</v>
      </c>
      <c r="I295" s="46">
        <v>35</v>
      </c>
    </row>
    <row r="296" spans="2:9" ht="18" customHeight="1" x14ac:dyDescent="0.25">
      <c r="B296" s="131" t="s">
        <v>110</v>
      </c>
      <c r="C296" s="29" t="s">
        <v>492</v>
      </c>
      <c r="D296" s="132" t="s">
        <v>61</v>
      </c>
      <c r="E296" s="31" t="s">
        <v>72</v>
      </c>
      <c r="F296" s="52">
        <v>41045</v>
      </c>
      <c r="G296" s="26">
        <v>1</v>
      </c>
      <c r="H296" s="45">
        <v>17</v>
      </c>
      <c r="I296" s="46">
        <v>56</v>
      </c>
    </row>
    <row r="297" spans="2:9" ht="18" customHeight="1" x14ac:dyDescent="0.25">
      <c r="B297" s="131" t="s">
        <v>110</v>
      </c>
      <c r="C297" s="29" t="s">
        <v>495</v>
      </c>
      <c r="D297" s="132" t="s">
        <v>61</v>
      </c>
      <c r="E297" s="31" t="s">
        <v>72</v>
      </c>
      <c r="F297" s="85">
        <v>40560</v>
      </c>
      <c r="G297" s="26">
        <v>1</v>
      </c>
      <c r="H297" s="37">
        <v>16.375</v>
      </c>
      <c r="I297" s="47">
        <v>51.18</v>
      </c>
    </row>
    <row r="298" spans="2:9" ht="18" customHeight="1" x14ac:dyDescent="0.25">
      <c r="B298" s="131" t="s">
        <v>110</v>
      </c>
      <c r="C298" s="29" t="s">
        <v>405</v>
      </c>
      <c r="D298" s="132" t="s">
        <v>61</v>
      </c>
      <c r="E298" s="31" t="s">
        <v>72</v>
      </c>
      <c r="F298" s="43">
        <v>41118</v>
      </c>
      <c r="G298" s="26">
        <v>1</v>
      </c>
      <c r="H298" s="37">
        <v>8.41</v>
      </c>
      <c r="I298" s="47">
        <v>29.260999999999999</v>
      </c>
    </row>
    <row r="299" spans="2:9" ht="18" customHeight="1" x14ac:dyDescent="0.25">
      <c r="B299" s="131" t="s">
        <v>110</v>
      </c>
      <c r="C299" s="29" t="s">
        <v>406</v>
      </c>
      <c r="D299" s="132" t="s">
        <v>61</v>
      </c>
      <c r="E299" s="31" t="s">
        <v>72</v>
      </c>
      <c r="F299" s="43">
        <v>41199</v>
      </c>
      <c r="G299" s="26">
        <v>1</v>
      </c>
      <c r="H299" s="37">
        <v>6</v>
      </c>
      <c r="I299" s="47">
        <v>24</v>
      </c>
    </row>
    <row r="300" spans="2:9" ht="18" customHeight="1" x14ac:dyDescent="0.25">
      <c r="B300" s="131" t="s">
        <v>110</v>
      </c>
      <c r="C300" s="44" t="s">
        <v>409</v>
      </c>
      <c r="D300" s="132" t="s">
        <v>61</v>
      </c>
      <c r="E300" s="31" t="s">
        <v>72</v>
      </c>
      <c r="F300" s="52">
        <v>41613</v>
      </c>
      <c r="G300" s="26">
        <v>1</v>
      </c>
      <c r="H300" s="37">
        <v>44.1</v>
      </c>
      <c r="I300" s="34">
        <v>160</v>
      </c>
    </row>
    <row r="301" spans="2:9" ht="18" customHeight="1" x14ac:dyDescent="0.25">
      <c r="B301" s="131" t="s">
        <v>110</v>
      </c>
      <c r="C301" s="29" t="s">
        <v>231</v>
      </c>
      <c r="D301" s="132" t="s">
        <v>61</v>
      </c>
      <c r="E301" s="31" t="s">
        <v>72</v>
      </c>
      <c r="F301" s="43">
        <v>40766</v>
      </c>
      <c r="G301" s="26">
        <v>1</v>
      </c>
      <c r="H301" s="37">
        <v>8.4719999999999995</v>
      </c>
      <c r="I301" s="47">
        <v>35.1</v>
      </c>
    </row>
    <row r="302" spans="2:9" ht="18" customHeight="1" x14ac:dyDescent="0.25">
      <c r="B302" s="131" t="s">
        <v>110</v>
      </c>
      <c r="C302" s="29" t="s">
        <v>232</v>
      </c>
      <c r="D302" s="132" t="s">
        <v>61</v>
      </c>
      <c r="E302" s="31" t="s">
        <v>72</v>
      </c>
      <c r="F302" s="52">
        <v>40815</v>
      </c>
      <c r="G302" s="26">
        <v>1</v>
      </c>
      <c r="H302" s="64">
        <v>9.16</v>
      </c>
      <c r="I302" s="46">
        <v>33</v>
      </c>
    </row>
    <row r="303" spans="2:9" ht="18" customHeight="1" x14ac:dyDescent="0.25">
      <c r="B303" s="131" t="s">
        <v>110</v>
      </c>
      <c r="C303" s="29" t="s">
        <v>423</v>
      </c>
      <c r="D303" s="132" t="s">
        <v>61</v>
      </c>
      <c r="E303" s="31" t="s">
        <v>72</v>
      </c>
      <c r="F303" s="32">
        <v>2009</v>
      </c>
      <c r="G303" s="26">
        <v>1</v>
      </c>
      <c r="H303" s="37">
        <v>9.1</v>
      </c>
      <c r="I303" s="34">
        <v>27.36</v>
      </c>
    </row>
    <row r="304" spans="2:9" ht="18" customHeight="1" x14ac:dyDescent="0.25">
      <c r="B304" s="131" t="s">
        <v>110</v>
      </c>
      <c r="C304" s="29" t="s">
        <v>507</v>
      </c>
      <c r="D304" s="132" t="s">
        <v>61</v>
      </c>
      <c r="E304" s="31" t="s">
        <v>72</v>
      </c>
      <c r="F304" s="43">
        <v>41249</v>
      </c>
      <c r="G304" s="26">
        <v>1</v>
      </c>
      <c r="H304" s="37">
        <v>12.38</v>
      </c>
      <c r="I304" s="34">
        <v>61</v>
      </c>
    </row>
    <row r="305" spans="2:9" ht="18" customHeight="1" x14ac:dyDescent="0.25">
      <c r="B305" s="131" t="s">
        <v>110</v>
      </c>
      <c r="C305" s="29" t="s">
        <v>282</v>
      </c>
      <c r="D305" s="132" t="s">
        <v>61</v>
      </c>
      <c r="E305" s="31" t="s">
        <v>72</v>
      </c>
      <c r="F305" s="43">
        <v>41075</v>
      </c>
      <c r="G305" s="26">
        <v>1</v>
      </c>
      <c r="H305" s="37">
        <v>5.68</v>
      </c>
      <c r="I305" s="34">
        <v>21</v>
      </c>
    </row>
    <row r="306" spans="2:9" ht="18" customHeight="1" x14ac:dyDescent="0.25">
      <c r="B306" s="131" t="s">
        <v>110</v>
      </c>
      <c r="C306" s="29" t="s">
        <v>306</v>
      </c>
      <c r="D306" s="132" t="s">
        <v>61</v>
      </c>
      <c r="E306" s="31" t="s">
        <v>72</v>
      </c>
      <c r="F306" s="43">
        <v>41449</v>
      </c>
      <c r="G306" s="26">
        <v>1</v>
      </c>
      <c r="H306" s="37">
        <v>15.497999999999999</v>
      </c>
      <c r="I306" s="47">
        <v>52.98</v>
      </c>
    </row>
    <row r="307" spans="2:9" ht="18" customHeight="1" x14ac:dyDescent="0.25">
      <c r="B307" s="131" t="s">
        <v>110</v>
      </c>
      <c r="C307" s="29" t="s">
        <v>322</v>
      </c>
      <c r="D307" s="132" t="s">
        <v>61</v>
      </c>
      <c r="E307" s="31" t="s">
        <v>72</v>
      </c>
      <c r="F307" s="85">
        <v>41354</v>
      </c>
      <c r="G307" s="26">
        <v>1</v>
      </c>
      <c r="H307" s="37">
        <v>11.39</v>
      </c>
      <c r="I307" s="34">
        <v>40</v>
      </c>
    </row>
    <row r="308" spans="2:9" ht="18" customHeight="1" x14ac:dyDescent="0.25">
      <c r="B308" s="131" t="s">
        <v>110</v>
      </c>
      <c r="C308" s="29" t="s">
        <v>328</v>
      </c>
      <c r="D308" s="132" t="s">
        <v>61</v>
      </c>
      <c r="E308" s="31" t="s">
        <v>72</v>
      </c>
      <c r="F308" s="43">
        <v>41571</v>
      </c>
      <c r="G308" s="26">
        <v>1</v>
      </c>
      <c r="H308" s="33">
        <v>7.7</v>
      </c>
      <c r="I308" s="34">
        <v>39.61</v>
      </c>
    </row>
    <row r="309" spans="2:9" s="3" customFormat="1" ht="18" customHeight="1" x14ac:dyDescent="0.25">
      <c r="B309" s="131" t="s">
        <v>110</v>
      </c>
      <c r="C309" s="29" t="s">
        <v>347</v>
      </c>
      <c r="D309" s="132" t="s">
        <v>61</v>
      </c>
      <c r="E309" s="31" t="s">
        <v>72</v>
      </c>
      <c r="F309" s="32">
        <v>2010</v>
      </c>
      <c r="G309" s="26">
        <v>1</v>
      </c>
      <c r="H309" s="37">
        <v>20</v>
      </c>
      <c r="I309" s="34">
        <v>108.06</v>
      </c>
    </row>
    <row r="310" spans="2:9" ht="18" customHeight="1" x14ac:dyDescent="0.25">
      <c r="B310" s="131" t="s">
        <v>110</v>
      </c>
      <c r="C310" s="29" t="s">
        <v>524</v>
      </c>
      <c r="D310" s="132" t="s">
        <v>61</v>
      </c>
      <c r="E310" s="31" t="s">
        <v>72</v>
      </c>
      <c r="F310" s="32">
        <v>2010</v>
      </c>
      <c r="G310" s="26">
        <v>1</v>
      </c>
      <c r="H310" s="37">
        <v>21.58</v>
      </c>
      <c r="I310" s="34">
        <v>95.3</v>
      </c>
    </row>
    <row r="311" spans="2:9" ht="18" customHeight="1" x14ac:dyDescent="0.25">
      <c r="B311" s="131" t="s">
        <v>110</v>
      </c>
      <c r="C311" s="29" t="s">
        <v>353</v>
      </c>
      <c r="D311" s="132" t="s">
        <v>61</v>
      </c>
      <c r="E311" s="31" t="s">
        <v>72</v>
      </c>
      <c r="F311" s="43">
        <v>41457</v>
      </c>
      <c r="G311" s="26">
        <v>1</v>
      </c>
      <c r="H311" s="37">
        <v>8.5660000000000007</v>
      </c>
      <c r="I311" s="34">
        <v>25</v>
      </c>
    </row>
    <row r="312" spans="2:9" ht="18" customHeight="1" x14ac:dyDescent="0.25">
      <c r="B312" s="131" t="s">
        <v>110</v>
      </c>
      <c r="C312" s="29" t="s">
        <v>527</v>
      </c>
      <c r="D312" s="132" t="s">
        <v>61</v>
      </c>
      <c r="E312" s="31" t="s">
        <v>72</v>
      </c>
      <c r="F312" s="43">
        <v>41477</v>
      </c>
      <c r="G312" s="26">
        <v>1</v>
      </c>
      <c r="H312" s="37">
        <v>2.5</v>
      </c>
      <c r="I312" s="34">
        <v>11</v>
      </c>
    </row>
    <row r="313" spans="2:9" ht="18" customHeight="1" x14ac:dyDescent="0.25">
      <c r="B313" s="131" t="s">
        <v>110</v>
      </c>
      <c r="C313" s="29" t="s">
        <v>366</v>
      </c>
      <c r="D313" s="132" t="s">
        <v>61</v>
      </c>
      <c r="E313" s="31" t="s">
        <v>72</v>
      </c>
      <c r="F313" s="43">
        <v>41449</v>
      </c>
      <c r="G313" s="26">
        <v>1</v>
      </c>
      <c r="H313" s="37">
        <v>11.939</v>
      </c>
      <c r="I313" s="47">
        <v>40</v>
      </c>
    </row>
    <row r="314" spans="2:9" ht="18" customHeight="1" x14ac:dyDescent="0.25">
      <c r="B314" s="131" t="s">
        <v>110</v>
      </c>
      <c r="C314" s="29" t="s">
        <v>367</v>
      </c>
      <c r="D314" s="132" t="s">
        <v>61</v>
      </c>
      <c r="E314" s="31" t="s">
        <v>72</v>
      </c>
      <c r="F314" s="43">
        <v>41298</v>
      </c>
      <c r="G314" s="26">
        <v>1</v>
      </c>
      <c r="H314" s="37">
        <v>16.64</v>
      </c>
      <c r="I314" s="47">
        <v>60</v>
      </c>
    </row>
    <row r="315" spans="2:9" ht="18" customHeight="1" x14ac:dyDescent="0.25">
      <c r="B315" s="131" t="s">
        <v>110</v>
      </c>
      <c r="C315" s="29" t="s">
        <v>370</v>
      </c>
      <c r="D315" s="132" t="s">
        <v>61</v>
      </c>
      <c r="E315" s="31" t="s">
        <v>72</v>
      </c>
      <c r="F315" s="52">
        <v>41017</v>
      </c>
      <c r="G315" s="26">
        <v>1</v>
      </c>
      <c r="H315" s="37">
        <v>8.5779999999999994</v>
      </c>
      <c r="I315" s="34">
        <v>27</v>
      </c>
    </row>
    <row r="316" spans="2:9" ht="18" customHeight="1" x14ac:dyDescent="0.25">
      <c r="B316" s="131" t="s">
        <v>110</v>
      </c>
      <c r="C316" s="44" t="s">
        <v>454</v>
      </c>
      <c r="D316" s="132" t="s">
        <v>61</v>
      </c>
      <c r="E316" s="31" t="s">
        <v>72</v>
      </c>
      <c r="F316" s="52">
        <v>41240</v>
      </c>
      <c r="G316" s="26">
        <v>1</v>
      </c>
      <c r="H316" s="95">
        <v>8.9459999999999997</v>
      </c>
      <c r="I316" s="46">
        <v>30</v>
      </c>
    </row>
    <row r="317" spans="2:9" ht="18" customHeight="1" x14ac:dyDescent="0.25">
      <c r="B317" s="131" t="s">
        <v>110</v>
      </c>
      <c r="C317" s="29" t="s">
        <v>460</v>
      </c>
      <c r="D317" s="132" t="s">
        <v>61</v>
      </c>
      <c r="E317" s="31" t="s">
        <v>72</v>
      </c>
      <c r="F317" s="32">
        <v>2010</v>
      </c>
      <c r="G317" s="26">
        <v>1</v>
      </c>
      <c r="H317" s="37">
        <v>1.2</v>
      </c>
      <c r="I317" s="47">
        <v>5.64</v>
      </c>
    </row>
    <row r="318" spans="2:9" ht="18" customHeight="1" x14ac:dyDescent="0.25">
      <c r="B318" s="131" t="s">
        <v>110</v>
      </c>
      <c r="C318" s="29" t="s">
        <v>461</v>
      </c>
      <c r="D318" s="132" t="s">
        <v>61</v>
      </c>
      <c r="E318" s="31" t="s">
        <v>72</v>
      </c>
      <c r="F318" s="32">
        <v>2008</v>
      </c>
      <c r="G318" s="26">
        <v>1</v>
      </c>
      <c r="H318" s="37">
        <v>23.6</v>
      </c>
      <c r="I318" s="34">
        <v>88.207999999999998</v>
      </c>
    </row>
    <row r="319" spans="2:9" ht="18" customHeight="1" x14ac:dyDescent="0.25">
      <c r="B319" s="110" t="s">
        <v>110</v>
      </c>
      <c r="C319" s="29" t="s">
        <v>577</v>
      </c>
      <c r="D319" s="111" t="s">
        <v>61</v>
      </c>
      <c r="E319" s="31" t="s">
        <v>576</v>
      </c>
      <c r="F319" s="43">
        <v>41974</v>
      </c>
      <c r="G319" s="26">
        <v>1</v>
      </c>
      <c r="H319" s="37">
        <v>0.63100000000000001</v>
      </c>
      <c r="I319" s="34">
        <v>2.5</v>
      </c>
    </row>
    <row r="320" spans="2:9" s="3" customFormat="1" ht="18" customHeight="1" x14ac:dyDescent="0.25">
      <c r="B320" s="110" t="s">
        <v>110</v>
      </c>
      <c r="C320" s="29" t="s">
        <v>542</v>
      </c>
      <c r="D320" s="111" t="s">
        <v>61</v>
      </c>
      <c r="E320" s="31" t="s">
        <v>576</v>
      </c>
      <c r="F320" s="43">
        <v>41687</v>
      </c>
      <c r="G320" s="26">
        <v>1</v>
      </c>
      <c r="H320" s="33">
        <v>4.6840000000000002</v>
      </c>
      <c r="I320" s="63">
        <v>12.44</v>
      </c>
    </row>
    <row r="321" spans="2:9" ht="21" customHeight="1" x14ac:dyDescent="0.25">
      <c r="B321" s="110" t="s">
        <v>110</v>
      </c>
      <c r="C321" s="29" t="s">
        <v>578</v>
      </c>
      <c r="D321" s="111" t="s">
        <v>61</v>
      </c>
      <c r="E321" s="31" t="s">
        <v>576</v>
      </c>
      <c r="F321" s="43">
        <v>41837</v>
      </c>
      <c r="G321" s="26">
        <v>1</v>
      </c>
      <c r="H321" s="37">
        <v>10.319000000000001</v>
      </c>
      <c r="I321" s="34">
        <v>39.033999999999999</v>
      </c>
    </row>
    <row r="322" spans="2:9" ht="21" customHeight="1" x14ac:dyDescent="0.25">
      <c r="B322" s="113" t="s">
        <v>110</v>
      </c>
      <c r="C322" s="56" t="s">
        <v>700</v>
      </c>
      <c r="D322" s="114" t="s">
        <v>61</v>
      </c>
      <c r="E322" s="58" t="s">
        <v>72</v>
      </c>
      <c r="F322" s="185">
        <v>42299</v>
      </c>
      <c r="G322" s="60">
        <v>1</v>
      </c>
      <c r="H322" s="33">
        <v>7.5</v>
      </c>
      <c r="I322" s="63">
        <v>29.446999999999999</v>
      </c>
    </row>
    <row r="323" spans="2:9" ht="21" customHeight="1" x14ac:dyDescent="0.25">
      <c r="B323" s="113" t="s">
        <v>110</v>
      </c>
      <c r="C323" s="56" t="s">
        <v>701</v>
      </c>
      <c r="D323" s="114" t="s">
        <v>61</v>
      </c>
      <c r="E323" s="58" t="s">
        <v>72</v>
      </c>
      <c r="F323" s="185">
        <v>42020</v>
      </c>
      <c r="G323" s="60">
        <v>1</v>
      </c>
      <c r="H323" s="33">
        <v>25.92</v>
      </c>
      <c r="I323" s="63">
        <v>105</v>
      </c>
    </row>
    <row r="324" spans="2:9" ht="21" customHeight="1" x14ac:dyDescent="0.25">
      <c r="B324" s="113" t="s">
        <v>110</v>
      </c>
      <c r="C324" s="56" t="s">
        <v>702</v>
      </c>
      <c r="D324" s="114" t="s">
        <v>61</v>
      </c>
      <c r="E324" s="58" t="s">
        <v>72</v>
      </c>
      <c r="F324" s="185">
        <v>42042</v>
      </c>
      <c r="G324" s="60">
        <v>1</v>
      </c>
      <c r="H324" s="33">
        <v>9.3620000000000001</v>
      </c>
      <c r="I324" s="63">
        <v>23.338000000000001</v>
      </c>
    </row>
    <row r="325" spans="2:9" ht="21" customHeight="1" x14ac:dyDescent="0.25">
      <c r="B325" s="113" t="s">
        <v>110</v>
      </c>
      <c r="C325" s="56" t="s">
        <v>703</v>
      </c>
      <c r="D325" s="114" t="s">
        <v>61</v>
      </c>
      <c r="E325" s="58" t="s">
        <v>72</v>
      </c>
      <c r="F325" s="185">
        <v>42303</v>
      </c>
      <c r="G325" s="60">
        <v>1</v>
      </c>
      <c r="H325" s="33">
        <v>9.01</v>
      </c>
      <c r="I325" s="63">
        <v>19.73</v>
      </c>
    </row>
    <row r="326" spans="2:9" ht="21" customHeight="1" x14ac:dyDescent="0.25">
      <c r="B326" s="113" t="s">
        <v>110</v>
      </c>
      <c r="C326" s="56" t="s">
        <v>704</v>
      </c>
      <c r="D326" s="114" t="s">
        <v>61</v>
      </c>
      <c r="E326" s="58" t="s">
        <v>72</v>
      </c>
      <c r="F326" s="185">
        <v>42279</v>
      </c>
      <c r="G326" s="60">
        <v>1</v>
      </c>
      <c r="H326" s="33">
        <v>7.9489999999999998</v>
      </c>
      <c r="I326" s="63">
        <v>28.4</v>
      </c>
    </row>
    <row r="327" spans="2:9" ht="21" customHeight="1" x14ac:dyDescent="0.25">
      <c r="B327" s="113" t="s">
        <v>110</v>
      </c>
      <c r="C327" s="56" t="s">
        <v>705</v>
      </c>
      <c r="D327" s="114" t="s">
        <v>61</v>
      </c>
      <c r="E327" s="58" t="s">
        <v>72</v>
      </c>
      <c r="F327" s="185">
        <v>42039</v>
      </c>
      <c r="G327" s="60">
        <v>1</v>
      </c>
      <c r="H327" s="33">
        <v>11.9</v>
      </c>
      <c r="I327" s="63">
        <v>28.42</v>
      </c>
    </row>
    <row r="328" spans="2:9" ht="21" customHeight="1" x14ac:dyDescent="0.25">
      <c r="B328" s="113" t="s">
        <v>110</v>
      </c>
      <c r="C328" s="56" t="s">
        <v>706</v>
      </c>
      <c r="D328" s="114" t="s">
        <v>61</v>
      </c>
      <c r="E328" s="58" t="s">
        <v>72</v>
      </c>
      <c r="F328" s="185">
        <v>42180</v>
      </c>
      <c r="G328" s="60">
        <v>1</v>
      </c>
      <c r="H328" s="33">
        <v>7.08</v>
      </c>
      <c r="I328" s="63">
        <v>23.54</v>
      </c>
    </row>
    <row r="329" spans="2:9" ht="21" customHeight="1" x14ac:dyDescent="0.25">
      <c r="B329" s="113" t="s">
        <v>110</v>
      </c>
      <c r="C329" s="56" t="s">
        <v>707</v>
      </c>
      <c r="D329" s="114" t="s">
        <v>61</v>
      </c>
      <c r="E329" s="58" t="s">
        <v>72</v>
      </c>
      <c r="F329" s="185">
        <v>42124</v>
      </c>
      <c r="G329" s="60">
        <v>1</v>
      </c>
      <c r="H329" s="33">
        <v>9.08</v>
      </c>
      <c r="I329" s="63">
        <v>29.03</v>
      </c>
    </row>
    <row r="330" spans="2:9" ht="18" customHeight="1" x14ac:dyDescent="0.25">
      <c r="B330" s="126" t="s">
        <v>111</v>
      </c>
      <c r="C330" s="44" t="s">
        <v>201</v>
      </c>
      <c r="D330" s="44" t="s">
        <v>52</v>
      </c>
      <c r="E330" s="31" t="s">
        <v>72</v>
      </c>
      <c r="F330" s="43">
        <v>41570</v>
      </c>
      <c r="G330" s="26">
        <v>1</v>
      </c>
      <c r="H330" s="37">
        <v>4.38</v>
      </c>
      <c r="I330" s="34">
        <v>18</v>
      </c>
    </row>
    <row r="331" spans="2:9" ht="18" customHeight="1" x14ac:dyDescent="0.25">
      <c r="B331" s="126" t="s">
        <v>111</v>
      </c>
      <c r="C331" s="109" t="s">
        <v>399</v>
      </c>
      <c r="D331" s="44" t="s">
        <v>52</v>
      </c>
      <c r="E331" s="31" t="s">
        <v>72</v>
      </c>
      <c r="F331" s="85">
        <v>41625</v>
      </c>
      <c r="G331" s="26">
        <v>1</v>
      </c>
      <c r="H331" s="37">
        <v>18.149999999999999</v>
      </c>
      <c r="I331" s="34">
        <v>63.524999999999991</v>
      </c>
    </row>
    <row r="332" spans="2:9" ht="18" customHeight="1" x14ac:dyDescent="0.25">
      <c r="B332" s="126" t="s">
        <v>111</v>
      </c>
      <c r="C332" s="48" t="s">
        <v>496</v>
      </c>
      <c r="D332" s="44" t="s">
        <v>52</v>
      </c>
      <c r="E332" s="31" t="s">
        <v>72</v>
      </c>
      <c r="F332" s="49">
        <v>2009</v>
      </c>
      <c r="G332" s="26">
        <v>1</v>
      </c>
      <c r="H332" s="50">
        <v>110.32</v>
      </c>
      <c r="I332" s="51">
        <v>370</v>
      </c>
    </row>
    <row r="333" spans="2:9" ht="18" customHeight="1" x14ac:dyDescent="0.25">
      <c r="B333" s="126" t="s">
        <v>111</v>
      </c>
      <c r="C333" s="29" t="s">
        <v>283</v>
      </c>
      <c r="D333" s="44" t="s">
        <v>52</v>
      </c>
      <c r="E333" s="31" t="s">
        <v>72</v>
      </c>
      <c r="F333" s="43">
        <v>41393</v>
      </c>
      <c r="G333" s="26">
        <v>1</v>
      </c>
      <c r="H333" s="37">
        <v>5.74</v>
      </c>
      <c r="I333" s="34">
        <v>20.64</v>
      </c>
    </row>
    <row r="334" spans="2:9" ht="18" customHeight="1" x14ac:dyDescent="0.25">
      <c r="B334" s="126" t="s">
        <v>111</v>
      </c>
      <c r="C334" s="29" t="s">
        <v>327</v>
      </c>
      <c r="D334" s="44" t="s">
        <v>52</v>
      </c>
      <c r="E334" s="31" t="s">
        <v>72</v>
      </c>
      <c r="F334" s="43">
        <v>41591</v>
      </c>
      <c r="G334" s="26">
        <v>1</v>
      </c>
      <c r="H334" s="37">
        <v>42</v>
      </c>
      <c r="I334" s="34">
        <v>146</v>
      </c>
    </row>
    <row r="335" spans="2:9" ht="18" customHeight="1" x14ac:dyDescent="0.25">
      <c r="B335" s="110" t="s">
        <v>111</v>
      </c>
      <c r="C335" s="29" t="s">
        <v>554</v>
      </c>
      <c r="D335" s="111" t="s">
        <v>52</v>
      </c>
      <c r="E335" s="31" t="s">
        <v>576</v>
      </c>
      <c r="F335" s="43">
        <v>41859</v>
      </c>
      <c r="G335" s="26">
        <v>1</v>
      </c>
      <c r="H335" s="37">
        <v>5.95</v>
      </c>
      <c r="I335" s="34">
        <v>15.6</v>
      </c>
    </row>
    <row r="336" spans="2:9" ht="18" customHeight="1" x14ac:dyDescent="0.25">
      <c r="B336" s="110" t="s">
        <v>111</v>
      </c>
      <c r="C336" s="29" t="s">
        <v>560</v>
      </c>
      <c r="D336" s="111" t="s">
        <v>52</v>
      </c>
      <c r="E336" s="31" t="s">
        <v>576</v>
      </c>
      <c r="F336" s="43">
        <v>41974</v>
      </c>
      <c r="G336" s="26">
        <v>1</v>
      </c>
      <c r="H336" s="37">
        <v>11.089</v>
      </c>
      <c r="I336" s="34">
        <v>31</v>
      </c>
    </row>
    <row r="337" spans="2:9" s="3" customFormat="1" ht="18" customHeight="1" x14ac:dyDescent="0.25">
      <c r="B337" s="110" t="s">
        <v>111</v>
      </c>
      <c r="C337" s="56" t="s">
        <v>708</v>
      </c>
      <c r="D337" s="111" t="s">
        <v>52</v>
      </c>
      <c r="E337" s="31" t="s">
        <v>576</v>
      </c>
      <c r="F337" s="43">
        <v>41913</v>
      </c>
      <c r="G337" s="26">
        <v>1</v>
      </c>
      <c r="H337" s="37">
        <v>4.0599999999999996</v>
      </c>
      <c r="I337" s="34">
        <v>12.79</v>
      </c>
    </row>
    <row r="338" spans="2:9" ht="18" customHeight="1" x14ac:dyDescent="0.25">
      <c r="B338" s="126" t="s">
        <v>134</v>
      </c>
      <c r="C338" s="44" t="s">
        <v>206</v>
      </c>
      <c r="D338" s="44" t="s">
        <v>30</v>
      </c>
      <c r="E338" s="31" t="s">
        <v>72</v>
      </c>
      <c r="F338" s="43">
        <v>41035</v>
      </c>
      <c r="G338" s="26">
        <v>1</v>
      </c>
      <c r="H338" s="95">
        <v>13.37</v>
      </c>
      <c r="I338" s="47">
        <v>58</v>
      </c>
    </row>
    <row r="339" spans="2:9" ht="18" customHeight="1" x14ac:dyDescent="0.25">
      <c r="B339" s="126" t="s">
        <v>134</v>
      </c>
      <c r="C339" s="29" t="s">
        <v>389</v>
      </c>
      <c r="D339" s="44" t="s">
        <v>30</v>
      </c>
      <c r="E339" s="31" t="s">
        <v>72</v>
      </c>
      <c r="F339" s="43">
        <v>41089</v>
      </c>
      <c r="G339" s="26">
        <v>1</v>
      </c>
      <c r="H339" s="37">
        <v>14.91</v>
      </c>
      <c r="I339" s="61">
        <v>39.479999999999997</v>
      </c>
    </row>
    <row r="340" spans="2:9" ht="18" customHeight="1" x14ac:dyDescent="0.25">
      <c r="B340" s="126" t="s">
        <v>134</v>
      </c>
      <c r="C340" s="44" t="s">
        <v>212</v>
      </c>
      <c r="D340" s="44" t="s">
        <v>30</v>
      </c>
      <c r="E340" s="31" t="s">
        <v>69</v>
      </c>
      <c r="F340" s="43">
        <v>41541</v>
      </c>
      <c r="G340" s="26">
        <v>1</v>
      </c>
      <c r="H340" s="37">
        <v>93</v>
      </c>
      <c r="I340" s="34">
        <v>340</v>
      </c>
    </row>
    <row r="341" spans="2:9" ht="18" customHeight="1" x14ac:dyDescent="0.25">
      <c r="B341" s="126" t="s">
        <v>134</v>
      </c>
      <c r="C341" s="29" t="s">
        <v>223</v>
      </c>
      <c r="D341" s="44" t="s">
        <v>30</v>
      </c>
      <c r="E341" s="31" t="s">
        <v>72</v>
      </c>
      <c r="F341" s="43">
        <v>41316</v>
      </c>
      <c r="G341" s="26">
        <v>1</v>
      </c>
      <c r="H341" s="37">
        <v>66.290000000000006</v>
      </c>
      <c r="I341" s="47">
        <v>224</v>
      </c>
    </row>
    <row r="342" spans="2:9" ht="18" customHeight="1" x14ac:dyDescent="0.25">
      <c r="B342" s="126" t="s">
        <v>134</v>
      </c>
      <c r="C342" s="44" t="s">
        <v>414</v>
      </c>
      <c r="D342" s="44" t="s">
        <v>30</v>
      </c>
      <c r="E342" s="31" t="s">
        <v>72</v>
      </c>
      <c r="F342" s="85">
        <v>41088</v>
      </c>
      <c r="G342" s="26">
        <v>1</v>
      </c>
      <c r="H342" s="95">
        <v>48.5</v>
      </c>
      <c r="I342" s="47">
        <v>140</v>
      </c>
    </row>
    <row r="343" spans="2:9" ht="18" customHeight="1" x14ac:dyDescent="0.25">
      <c r="B343" s="126" t="s">
        <v>134</v>
      </c>
      <c r="C343" s="44" t="s">
        <v>415</v>
      </c>
      <c r="D343" s="44" t="s">
        <v>30</v>
      </c>
      <c r="E343" s="31" t="s">
        <v>72</v>
      </c>
      <c r="F343" s="43">
        <v>41499</v>
      </c>
      <c r="G343" s="26">
        <v>1</v>
      </c>
      <c r="H343" s="95">
        <v>17.7</v>
      </c>
      <c r="I343" s="47">
        <v>50</v>
      </c>
    </row>
    <row r="344" spans="2:9" s="3" customFormat="1" ht="18" customHeight="1" x14ac:dyDescent="0.25">
      <c r="B344" s="126" t="s">
        <v>134</v>
      </c>
      <c r="C344" s="44" t="s">
        <v>252</v>
      </c>
      <c r="D344" s="44" t="s">
        <v>30</v>
      </c>
      <c r="E344" s="31" t="s">
        <v>72</v>
      </c>
      <c r="F344" s="185">
        <v>41901</v>
      </c>
      <c r="G344" s="26">
        <v>1</v>
      </c>
      <c r="H344" s="37">
        <v>28.277999999999999</v>
      </c>
      <c r="I344" s="34">
        <v>85</v>
      </c>
    </row>
    <row r="345" spans="2:9" ht="18" customHeight="1" x14ac:dyDescent="0.25">
      <c r="B345" s="126" t="s">
        <v>134</v>
      </c>
      <c r="C345" s="29" t="s">
        <v>267</v>
      </c>
      <c r="D345" s="44" t="s">
        <v>30</v>
      </c>
      <c r="E345" s="31" t="s">
        <v>72</v>
      </c>
      <c r="F345" s="43">
        <v>41421</v>
      </c>
      <c r="G345" s="26">
        <v>1</v>
      </c>
      <c r="H345" s="37">
        <v>3.0979999999999999</v>
      </c>
      <c r="I345" s="34">
        <v>10.199999999999999</v>
      </c>
    </row>
    <row r="346" spans="2:9" s="3" customFormat="1" ht="18" customHeight="1" x14ac:dyDescent="0.25">
      <c r="B346" s="126" t="s">
        <v>134</v>
      </c>
      <c r="C346" s="29" t="s">
        <v>425</v>
      </c>
      <c r="D346" s="44" t="s">
        <v>30</v>
      </c>
      <c r="E346" s="31" t="s">
        <v>72</v>
      </c>
      <c r="F346" s="85">
        <f>F345</f>
        <v>41421</v>
      </c>
      <c r="G346" s="26">
        <v>1</v>
      </c>
      <c r="H346" s="37">
        <v>1.42</v>
      </c>
      <c r="I346" s="47">
        <v>5.5</v>
      </c>
    </row>
    <row r="347" spans="2:9" ht="18" customHeight="1" x14ac:dyDescent="0.25">
      <c r="B347" s="126" t="s">
        <v>134</v>
      </c>
      <c r="C347" s="29" t="s">
        <v>290</v>
      </c>
      <c r="D347" s="44" t="s">
        <v>30</v>
      </c>
      <c r="E347" s="31" t="s">
        <v>72</v>
      </c>
      <c r="F347" s="32">
        <v>2008</v>
      </c>
      <c r="G347" s="26">
        <v>1</v>
      </c>
      <c r="H347" s="220">
        <v>31.3</v>
      </c>
      <c r="I347" s="222">
        <v>100</v>
      </c>
    </row>
    <row r="348" spans="2:9" s="3" customFormat="1" ht="18" customHeight="1" x14ac:dyDescent="0.25">
      <c r="B348" s="126" t="s">
        <v>134</v>
      </c>
      <c r="C348" s="29" t="s">
        <v>510</v>
      </c>
      <c r="D348" s="44" t="s">
        <v>30</v>
      </c>
      <c r="E348" s="31" t="s">
        <v>72</v>
      </c>
      <c r="F348" s="32">
        <v>2009</v>
      </c>
      <c r="G348" s="26">
        <v>1</v>
      </c>
      <c r="H348" s="221"/>
      <c r="I348" s="223"/>
    </row>
    <row r="349" spans="2:9" s="3" customFormat="1" ht="18" customHeight="1" x14ac:dyDescent="0.25">
      <c r="B349" s="126" t="s">
        <v>134</v>
      </c>
      <c r="C349" s="29" t="s">
        <v>291</v>
      </c>
      <c r="D349" s="44" t="s">
        <v>30</v>
      </c>
      <c r="E349" s="31" t="s">
        <v>72</v>
      </c>
      <c r="F349" s="85">
        <v>39554</v>
      </c>
      <c r="G349" s="26">
        <v>1</v>
      </c>
      <c r="H349" s="37">
        <v>5.2</v>
      </c>
      <c r="I349" s="34">
        <v>20</v>
      </c>
    </row>
    <row r="350" spans="2:9" ht="18" customHeight="1" x14ac:dyDescent="0.25">
      <c r="B350" s="126" t="s">
        <v>134</v>
      </c>
      <c r="C350" s="44" t="s">
        <v>514</v>
      </c>
      <c r="D350" s="44" t="s">
        <v>30</v>
      </c>
      <c r="E350" s="31" t="s">
        <v>72</v>
      </c>
      <c r="F350" s="43">
        <v>41094</v>
      </c>
      <c r="G350" s="26">
        <v>1</v>
      </c>
      <c r="H350" s="37">
        <v>38.6</v>
      </c>
      <c r="I350" s="47">
        <v>105</v>
      </c>
    </row>
    <row r="351" spans="2:9" ht="18" customHeight="1" x14ac:dyDescent="0.25">
      <c r="B351" s="126" t="s">
        <v>134</v>
      </c>
      <c r="C351" s="29" t="s">
        <v>308</v>
      </c>
      <c r="D351" s="44" t="s">
        <v>30</v>
      </c>
      <c r="E351" s="31" t="s">
        <v>72</v>
      </c>
      <c r="F351" s="85">
        <v>40851</v>
      </c>
      <c r="G351" s="26">
        <v>1</v>
      </c>
      <c r="H351" s="64">
        <v>9.74</v>
      </c>
      <c r="I351" s="46">
        <v>41</v>
      </c>
    </row>
    <row r="352" spans="2:9" ht="18" customHeight="1" x14ac:dyDescent="0.25">
      <c r="B352" s="126" t="s">
        <v>134</v>
      </c>
      <c r="C352" s="29" t="s">
        <v>312</v>
      </c>
      <c r="D352" s="44" t="s">
        <v>30</v>
      </c>
      <c r="E352" s="31" t="s">
        <v>72</v>
      </c>
      <c r="F352" s="43">
        <v>41334</v>
      </c>
      <c r="G352" s="26">
        <v>1</v>
      </c>
      <c r="H352" s="33">
        <v>25.452000000000002</v>
      </c>
      <c r="I352" s="47">
        <v>74.92</v>
      </c>
    </row>
    <row r="353" spans="2:9" ht="18" customHeight="1" x14ac:dyDescent="0.25">
      <c r="B353" s="126" t="s">
        <v>134</v>
      </c>
      <c r="C353" s="29" t="s">
        <v>438</v>
      </c>
      <c r="D353" s="44" t="s">
        <v>30</v>
      </c>
      <c r="E353" s="31" t="s">
        <v>72</v>
      </c>
      <c r="F353" s="85">
        <v>40843</v>
      </c>
      <c r="G353" s="26">
        <v>1</v>
      </c>
      <c r="H353" s="37">
        <v>37.700000000000003</v>
      </c>
      <c r="I353" s="34">
        <v>130</v>
      </c>
    </row>
    <row r="354" spans="2:9" ht="22.5" customHeight="1" x14ac:dyDescent="0.25">
      <c r="B354" s="126" t="s">
        <v>134</v>
      </c>
      <c r="C354" s="29" t="s">
        <v>332</v>
      </c>
      <c r="D354" s="44" t="s">
        <v>30</v>
      </c>
      <c r="E354" s="31" t="s">
        <v>72</v>
      </c>
      <c r="F354" s="185">
        <v>40686</v>
      </c>
      <c r="G354" s="26">
        <v>1</v>
      </c>
      <c r="H354" s="64">
        <v>26.579000000000001</v>
      </c>
      <c r="I354" s="46">
        <v>85</v>
      </c>
    </row>
    <row r="355" spans="2:9" ht="18" customHeight="1" x14ac:dyDescent="0.25">
      <c r="B355" s="126" t="s">
        <v>134</v>
      </c>
      <c r="C355" s="29" t="s">
        <v>352</v>
      </c>
      <c r="D355" s="44" t="s">
        <v>30</v>
      </c>
      <c r="E355" s="31" t="s">
        <v>72</v>
      </c>
      <c r="F355" s="43">
        <v>41229</v>
      </c>
      <c r="G355" s="26">
        <v>1</v>
      </c>
      <c r="H355" s="37">
        <v>8.9</v>
      </c>
      <c r="I355" s="34">
        <v>26</v>
      </c>
    </row>
    <row r="356" spans="2:9" ht="18" customHeight="1" x14ac:dyDescent="0.25">
      <c r="B356" s="126" t="s">
        <v>134</v>
      </c>
      <c r="C356" s="29" t="s">
        <v>355</v>
      </c>
      <c r="D356" s="44" t="s">
        <v>30</v>
      </c>
      <c r="E356" s="31" t="s">
        <v>72</v>
      </c>
      <c r="F356" s="32">
        <v>2010</v>
      </c>
      <c r="G356" s="26">
        <v>1</v>
      </c>
      <c r="H356" s="37">
        <v>21.6</v>
      </c>
      <c r="I356" s="47">
        <v>70</v>
      </c>
    </row>
    <row r="357" spans="2:9" ht="18" customHeight="1" x14ac:dyDescent="0.25">
      <c r="B357" s="126" t="s">
        <v>134</v>
      </c>
      <c r="C357" s="44" t="s">
        <v>360</v>
      </c>
      <c r="D357" s="44" t="s">
        <v>30</v>
      </c>
      <c r="E357" s="31" t="s">
        <v>72</v>
      </c>
      <c r="F357" s="185">
        <v>41192</v>
      </c>
      <c r="G357" s="26">
        <v>1</v>
      </c>
      <c r="H357" s="64">
        <v>8.73</v>
      </c>
      <c r="I357" s="46">
        <v>30</v>
      </c>
    </row>
    <row r="358" spans="2:9" ht="18" customHeight="1" x14ac:dyDescent="0.25">
      <c r="B358" s="126" t="s">
        <v>134</v>
      </c>
      <c r="C358" s="29" t="s">
        <v>528</v>
      </c>
      <c r="D358" s="44" t="s">
        <v>30</v>
      </c>
      <c r="E358" s="31" t="s">
        <v>72</v>
      </c>
      <c r="F358" s="43">
        <v>41272</v>
      </c>
      <c r="G358" s="26">
        <v>1</v>
      </c>
      <c r="H358" s="33">
        <v>18.5</v>
      </c>
      <c r="I358" s="63">
        <v>69.680000000000007</v>
      </c>
    </row>
    <row r="359" spans="2:9" ht="18" customHeight="1" x14ac:dyDescent="0.25">
      <c r="B359" s="126" t="s">
        <v>134</v>
      </c>
      <c r="C359" s="29" t="s">
        <v>385</v>
      </c>
      <c r="D359" s="44" t="s">
        <v>30</v>
      </c>
      <c r="E359" s="31" t="s">
        <v>72</v>
      </c>
      <c r="F359" s="43">
        <v>41425</v>
      </c>
      <c r="G359" s="26">
        <v>1</v>
      </c>
      <c r="H359" s="37">
        <v>10.566000000000001</v>
      </c>
      <c r="I359" s="34">
        <v>32</v>
      </c>
    </row>
    <row r="360" spans="2:9" ht="18" customHeight="1" x14ac:dyDescent="0.25">
      <c r="B360" s="110" t="s">
        <v>134</v>
      </c>
      <c r="C360" s="29" t="s">
        <v>540</v>
      </c>
      <c r="D360" s="111" t="s">
        <v>30</v>
      </c>
      <c r="E360" s="31" t="s">
        <v>576</v>
      </c>
      <c r="F360" s="43">
        <v>41870</v>
      </c>
      <c r="G360" s="26">
        <v>1</v>
      </c>
      <c r="H360" s="37">
        <v>7.33</v>
      </c>
      <c r="I360" s="34">
        <v>25</v>
      </c>
    </row>
    <row r="361" spans="2:9" ht="18" customHeight="1" x14ac:dyDescent="0.25">
      <c r="B361" s="110" t="s">
        <v>134</v>
      </c>
      <c r="C361" s="29" t="s">
        <v>549</v>
      </c>
      <c r="D361" s="111" t="s">
        <v>30</v>
      </c>
      <c r="E361" s="31" t="s">
        <v>576</v>
      </c>
      <c r="F361" s="85">
        <v>41649</v>
      </c>
      <c r="G361" s="26">
        <v>1</v>
      </c>
      <c r="H361" s="37">
        <v>49.2</v>
      </c>
      <c r="I361" s="34">
        <v>152.13</v>
      </c>
    </row>
    <row r="362" spans="2:9" ht="18" customHeight="1" x14ac:dyDescent="0.25">
      <c r="B362" s="110" t="s">
        <v>134</v>
      </c>
      <c r="C362" s="29" t="s">
        <v>558</v>
      </c>
      <c r="D362" s="111" t="s">
        <v>30</v>
      </c>
      <c r="E362" s="31" t="s">
        <v>576</v>
      </c>
      <c r="F362" s="43">
        <v>41830</v>
      </c>
      <c r="G362" s="26">
        <v>1</v>
      </c>
      <c r="H362" s="33">
        <v>35.6</v>
      </c>
      <c r="I362" s="63">
        <v>118.8</v>
      </c>
    </row>
    <row r="363" spans="2:9" ht="18" customHeight="1" x14ac:dyDescent="0.25">
      <c r="B363" s="110" t="s">
        <v>134</v>
      </c>
      <c r="C363" s="29" t="s">
        <v>565</v>
      </c>
      <c r="D363" s="111" t="s">
        <v>30</v>
      </c>
      <c r="E363" s="31" t="s">
        <v>576</v>
      </c>
      <c r="F363" s="43">
        <v>41802</v>
      </c>
      <c r="G363" s="26">
        <v>1</v>
      </c>
      <c r="H363" s="37">
        <v>3.43</v>
      </c>
      <c r="I363" s="34">
        <v>10.16</v>
      </c>
    </row>
    <row r="364" spans="2:9" s="3" customFormat="1" ht="18" customHeight="1" x14ac:dyDescent="0.25">
      <c r="B364" s="118" t="s">
        <v>134</v>
      </c>
      <c r="C364" s="44" t="s">
        <v>572</v>
      </c>
      <c r="D364" s="119" t="s">
        <v>30</v>
      </c>
      <c r="E364" s="31" t="s">
        <v>576</v>
      </c>
      <c r="F364" s="43">
        <v>41929</v>
      </c>
      <c r="G364" s="26">
        <v>1</v>
      </c>
      <c r="H364" s="95">
        <v>3.9780000000000002</v>
      </c>
      <c r="I364" s="47">
        <v>10.063000000000001</v>
      </c>
    </row>
    <row r="365" spans="2:9" s="3" customFormat="1" ht="18" customHeight="1" x14ac:dyDescent="0.25">
      <c r="B365" s="133" t="s">
        <v>134</v>
      </c>
      <c r="C365" s="44" t="s">
        <v>468</v>
      </c>
      <c r="D365" s="134" t="s">
        <v>30</v>
      </c>
      <c r="E365" s="31" t="s">
        <v>69</v>
      </c>
      <c r="F365" s="43">
        <v>41061</v>
      </c>
      <c r="G365" s="26">
        <v>1</v>
      </c>
      <c r="H365" s="95">
        <v>229.69</v>
      </c>
      <c r="I365" s="47">
        <v>900</v>
      </c>
    </row>
    <row r="366" spans="2:9" s="3" customFormat="1" ht="18" customHeight="1" x14ac:dyDescent="0.25">
      <c r="B366" s="133" t="s">
        <v>134</v>
      </c>
      <c r="C366" s="128" t="s">
        <v>710</v>
      </c>
      <c r="D366" s="134" t="s">
        <v>30</v>
      </c>
      <c r="E366" s="58" t="s">
        <v>72</v>
      </c>
      <c r="F366" s="185">
        <v>42296</v>
      </c>
      <c r="G366" s="60">
        <v>1</v>
      </c>
      <c r="H366" s="120">
        <v>23.3</v>
      </c>
      <c r="I366" s="61">
        <v>100</v>
      </c>
    </row>
    <row r="367" spans="2:9" s="3" customFormat="1" ht="18" customHeight="1" x14ac:dyDescent="0.25">
      <c r="B367" s="133" t="s">
        <v>134</v>
      </c>
      <c r="C367" s="128" t="s">
        <v>711</v>
      </c>
      <c r="D367" s="134" t="s">
        <v>30</v>
      </c>
      <c r="E367" s="58" t="s">
        <v>72</v>
      </c>
      <c r="F367" s="185">
        <v>42292</v>
      </c>
      <c r="G367" s="60">
        <v>1</v>
      </c>
      <c r="H367" s="120">
        <v>3.7</v>
      </c>
      <c r="I367" s="61">
        <v>12.52</v>
      </c>
    </row>
    <row r="368" spans="2:9" s="3" customFormat="1" ht="18" customHeight="1" x14ac:dyDescent="0.25">
      <c r="B368" s="133" t="s">
        <v>134</v>
      </c>
      <c r="C368" s="128" t="s">
        <v>712</v>
      </c>
      <c r="D368" s="134" t="s">
        <v>30</v>
      </c>
      <c r="E368" s="58" t="s">
        <v>72</v>
      </c>
      <c r="F368" s="185">
        <v>42305</v>
      </c>
      <c r="G368" s="60">
        <v>1</v>
      </c>
      <c r="H368" s="120">
        <v>10.050000000000001</v>
      </c>
      <c r="I368" s="61">
        <v>39.979999999999997</v>
      </c>
    </row>
    <row r="369" spans="2:9" s="3" customFormat="1" ht="18" customHeight="1" x14ac:dyDescent="0.25">
      <c r="B369" s="133" t="s">
        <v>134</v>
      </c>
      <c r="C369" s="128" t="s">
        <v>713</v>
      </c>
      <c r="D369" s="134" t="s">
        <v>30</v>
      </c>
      <c r="E369" s="58" t="s">
        <v>72</v>
      </c>
      <c r="F369" s="185">
        <v>42292</v>
      </c>
      <c r="G369" s="60">
        <v>1</v>
      </c>
      <c r="H369" s="120">
        <v>23.125</v>
      </c>
      <c r="I369" s="61">
        <v>70</v>
      </c>
    </row>
    <row r="370" spans="2:9" s="3" customFormat="1" ht="18" customHeight="1" x14ac:dyDescent="0.25">
      <c r="B370" s="133" t="s">
        <v>134</v>
      </c>
      <c r="C370" s="128" t="s">
        <v>714</v>
      </c>
      <c r="D370" s="134" t="s">
        <v>30</v>
      </c>
      <c r="E370" s="58" t="s">
        <v>72</v>
      </c>
      <c r="F370" s="185">
        <v>42047</v>
      </c>
      <c r="G370" s="60">
        <v>1</v>
      </c>
      <c r="H370" s="120">
        <v>9.18</v>
      </c>
      <c r="I370" s="61">
        <v>34.5</v>
      </c>
    </row>
    <row r="371" spans="2:9" s="3" customFormat="1" ht="18" customHeight="1" x14ac:dyDescent="0.25">
      <c r="B371" s="133" t="s">
        <v>134</v>
      </c>
      <c r="C371" s="128" t="s">
        <v>715</v>
      </c>
      <c r="D371" s="134" t="s">
        <v>30</v>
      </c>
      <c r="E371" s="58" t="s">
        <v>72</v>
      </c>
      <c r="F371" s="185">
        <v>42302</v>
      </c>
      <c r="G371" s="60">
        <v>1</v>
      </c>
      <c r="H371" s="120">
        <v>7</v>
      </c>
      <c r="I371" s="61">
        <v>27</v>
      </c>
    </row>
    <row r="372" spans="2:9" s="3" customFormat="1" ht="18" customHeight="1" x14ac:dyDescent="0.25">
      <c r="B372" s="133" t="s">
        <v>134</v>
      </c>
      <c r="C372" s="128" t="s">
        <v>716</v>
      </c>
      <c r="D372" s="134" t="s">
        <v>30</v>
      </c>
      <c r="E372" s="58" t="s">
        <v>72</v>
      </c>
      <c r="F372" s="185">
        <v>42301</v>
      </c>
      <c r="G372" s="60">
        <v>1</v>
      </c>
      <c r="H372" s="120">
        <v>8.84</v>
      </c>
      <c r="I372" s="61">
        <v>24.84</v>
      </c>
    </row>
    <row r="373" spans="2:9" ht="18" customHeight="1" x14ac:dyDescent="0.25">
      <c r="B373" s="107" t="s">
        <v>135</v>
      </c>
      <c r="C373" s="39" t="s">
        <v>178</v>
      </c>
      <c r="D373" s="108" t="s">
        <v>54</v>
      </c>
      <c r="E373" s="31" t="s">
        <v>72</v>
      </c>
      <c r="F373" s="135">
        <v>1961</v>
      </c>
      <c r="G373" s="26">
        <v>1</v>
      </c>
      <c r="H373" s="136">
        <v>18.600000000000001</v>
      </c>
      <c r="I373" s="137">
        <v>110</v>
      </c>
    </row>
    <row r="374" spans="2:9" ht="18" customHeight="1" x14ac:dyDescent="0.25">
      <c r="B374" s="107" t="s">
        <v>135</v>
      </c>
      <c r="C374" s="29" t="s">
        <v>199</v>
      </c>
      <c r="D374" s="108" t="s">
        <v>54</v>
      </c>
      <c r="E374" s="31" t="s">
        <v>72</v>
      </c>
      <c r="F374" s="43">
        <v>41460</v>
      </c>
      <c r="G374" s="26">
        <v>1</v>
      </c>
      <c r="H374" s="37">
        <v>29.303999999999998</v>
      </c>
      <c r="I374" s="34">
        <v>109</v>
      </c>
    </row>
    <row r="375" spans="2:9" ht="18" customHeight="1" x14ac:dyDescent="0.25">
      <c r="B375" s="107" t="s">
        <v>135</v>
      </c>
      <c r="C375" s="44" t="s">
        <v>487</v>
      </c>
      <c r="D375" s="108" t="s">
        <v>54</v>
      </c>
      <c r="E375" s="31" t="s">
        <v>72</v>
      </c>
      <c r="F375" s="43">
        <v>41258</v>
      </c>
      <c r="G375" s="26">
        <v>1</v>
      </c>
      <c r="H375" s="64">
        <v>4.42</v>
      </c>
      <c r="I375" s="46">
        <v>13.65</v>
      </c>
    </row>
    <row r="376" spans="2:9" s="3" customFormat="1" ht="18" customHeight="1" x14ac:dyDescent="0.25">
      <c r="B376" s="107" t="s">
        <v>135</v>
      </c>
      <c r="C376" s="29" t="s">
        <v>402</v>
      </c>
      <c r="D376" s="108" t="s">
        <v>54</v>
      </c>
      <c r="E376" s="31" t="s">
        <v>72</v>
      </c>
      <c r="F376" s="32">
        <v>2010</v>
      </c>
      <c r="G376" s="26">
        <v>1</v>
      </c>
      <c r="H376" s="33">
        <v>91.4</v>
      </c>
      <c r="I376" s="47">
        <v>360</v>
      </c>
    </row>
    <row r="377" spans="2:9" ht="18" customHeight="1" x14ac:dyDescent="0.25">
      <c r="B377" s="107" t="s">
        <v>135</v>
      </c>
      <c r="C377" s="29" t="s">
        <v>285</v>
      </c>
      <c r="D377" s="108" t="s">
        <v>54</v>
      </c>
      <c r="E377" s="31" t="s">
        <v>72</v>
      </c>
      <c r="F377" s="52">
        <v>40688</v>
      </c>
      <c r="G377" s="26">
        <v>1</v>
      </c>
      <c r="H377" s="64">
        <v>25.2</v>
      </c>
      <c r="I377" s="46">
        <v>126</v>
      </c>
    </row>
    <row r="378" spans="2:9" ht="18" customHeight="1" x14ac:dyDescent="0.25">
      <c r="B378" s="107" t="s">
        <v>135</v>
      </c>
      <c r="C378" s="29" t="s">
        <v>426</v>
      </c>
      <c r="D378" s="108" t="s">
        <v>54</v>
      </c>
      <c r="E378" s="31" t="s">
        <v>72</v>
      </c>
      <c r="F378" s="32">
        <v>2010</v>
      </c>
      <c r="G378" s="26">
        <v>1</v>
      </c>
      <c r="H378" s="37">
        <v>9.5</v>
      </c>
      <c r="I378" s="47">
        <v>40</v>
      </c>
    </row>
    <row r="379" spans="2:9" ht="18" customHeight="1" x14ac:dyDescent="0.25">
      <c r="B379" s="107" t="s">
        <v>135</v>
      </c>
      <c r="C379" s="29" t="s">
        <v>444</v>
      </c>
      <c r="D379" s="108" t="s">
        <v>54</v>
      </c>
      <c r="E379" s="31" t="s">
        <v>72</v>
      </c>
      <c r="F379" s="32">
        <v>2010</v>
      </c>
      <c r="G379" s="26">
        <v>1</v>
      </c>
      <c r="H379" s="37">
        <v>8.8000000000000007</v>
      </c>
      <c r="I379" s="34">
        <v>31.97</v>
      </c>
    </row>
    <row r="380" spans="2:9" ht="18" customHeight="1" x14ac:dyDescent="0.25">
      <c r="B380" s="107" t="s">
        <v>135</v>
      </c>
      <c r="C380" s="29" t="s">
        <v>530</v>
      </c>
      <c r="D380" s="108" t="s">
        <v>54</v>
      </c>
      <c r="E380" s="31" t="s">
        <v>72</v>
      </c>
      <c r="F380" s="32">
        <f>F379</f>
        <v>2010</v>
      </c>
      <c r="G380" s="26">
        <v>1</v>
      </c>
      <c r="H380" s="37">
        <v>62.15</v>
      </c>
      <c r="I380" s="47">
        <v>156</v>
      </c>
    </row>
    <row r="381" spans="2:9" ht="18" customHeight="1" x14ac:dyDescent="0.25">
      <c r="B381" s="107" t="s">
        <v>135</v>
      </c>
      <c r="C381" s="29" t="s">
        <v>531</v>
      </c>
      <c r="D381" s="108" t="s">
        <v>54</v>
      </c>
      <c r="E381" s="31" t="s">
        <v>72</v>
      </c>
      <c r="F381" s="43">
        <v>41541</v>
      </c>
      <c r="G381" s="26">
        <v>1</v>
      </c>
      <c r="H381" s="37">
        <v>19.690000000000001</v>
      </c>
      <c r="I381" s="47">
        <v>100.646</v>
      </c>
    </row>
    <row r="382" spans="2:9" ht="18" customHeight="1" x14ac:dyDescent="0.25">
      <c r="B382" s="107" t="s">
        <v>135</v>
      </c>
      <c r="C382" s="29" t="s">
        <v>383</v>
      </c>
      <c r="D382" s="108" t="s">
        <v>54</v>
      </c>
      <c r="E382" s="31" t="s">
        <v>72</v>
      </c>
      <c r="F382" s="85">
        <f>F381</f>
        <v>41541</v>
      </c>
      <c r="G382" s="26">
        <v>1</v>
      </c>
      <c r="H382" s="95">
        <v>40.24</v>
      </c>
      <c r="I382" s="47">
        <v>180</v>
      </c>
    </row>
    <row r="383" spans="2:9" ht="18" customHeight="1" x14ac:dyDescent="0.25">
      <c r="B383" s="110" t="s">
        <v>135</v>
      </c>
      <c r="C383" s="29" t="s">
        <v>574</v>
      </c>
      <c r="D383" s="111" t="s">
        <v>54</v>
      </c>
      <c r="E383" s="31" t="s">
        <v>576</v>
      </c>
      <c r="F383" s="43">
        <v>41927</v>
      </c>
      <c r="G383" s="26">
        <v>1</v>
      </c>
      <c r="H383" s="37">
        <v>2.36</v>
      </c>
      <c r="I383" s="34">
        <v>9.66</v>
      </c>
    </row>
    <row r="384" spans="2:9" s="3" customFormat="1" ht="18" customHeight="1" x14ac:dyDescent="0.25">
      <c r="B384" s="110" t="s">
        <v>135</v>
      </c>
      <c r="C384" s="29" t="s">
        <v>575</v>
      </c>
      <c r="D384" s="111" t="s">
        <v>54</v>
      </c>
      <c r="E384" s="31" t="s">
        <v>576</v>
      </c>
      <c r="F384" s="43">
        <v>41992</v>
      </c>
      <c r="G384" s="26">
        <v>1</v>
      </c>
      <c r="H384" s="37">
        <v>8.82</v>
      </c>
      <c r="I384" s="34">
        <v>32.543999999999997</v>
      </c>
    </row>
    <row r="385" spans="2:9" ht="18" customHeight="1" x14ac:dyDescent="0.25">
      <c r="B385" s="110" t="s">
        <v>135</v>
      </c>
      <c r="C385" s="29" t="s">
        <v>562</v>
      </c>
      <c r="D385" s="111" t="s">
        <v>54</v>
      </c>
      <c r="E385" s="31" t="s">
        <v>576</v>
      </c>
      <c r="F385" s="43">
        <v>41836</v>
      </c>
      <c r="G385" s="26">
        <v>1</v>
      </c>
      <c r="H385" s="37">
        <v>13.5</v>
      </c>
      <c r="I385" s="34">
        <v>46.89</v>
      </c>
    </row>
    <row r="386" spans="2:9" s="3" customFormat="1" ht="18" customHeight="1" x14ac:dyDescent="0.25">
      <c r="B386" s="110" t="s">
        <v>135</v>
      </c>
      <c r="C386" s="29" t="s">
        <v>570</v>
      </c>
      <c r="D386" s="111" t="s">
        <v>54</v>
      </c>
      <c r="E386" s="31" t="s">
        <v>576</v>
      </c>
      <c r="F386" s="43">
        <v>42004</v>
      </c>
      <c r="G386" s="26">
        <v>1</v>
      </c>
      <c r="H386" s="37">
        <v>3.72</v>
      </c>
      <c r="I386" s="34">
        <v>14.47</v>
      </c>
    </row>
    <row r="387" spans="2:9" ht="18" customHeight="1" x14ac:dyDescent="0.25">
      <c r="B387" s="131" t="s">
        <v>112</v>
      </c>
      <c r="C387" s="39" t="s">
        <v>153</v>
      </c>
      <c r="D387" s="132" t="s">
        <v>9</v>
      </c>
      <c r="E387" s="31" t="s">
        <v>72</v>
      </c>
      <c r="F387" s="86">
        <v>1984</v>
      </c>
      <c r="G387" s="26">
        <v>1</v>
      </c>
      <c r="H387" s="87">
        <v>0.3</v>
      </c>
      <c r="I387" s="88">
        <v>1</v>
      </c>
    </row>
    <row r="388" spans="2:9" ht="18" customHeight="1" x14ac:dyDescent="0.25">
      <c r="B388" s="131" t="s">
        <v>112</v>
      </c>
      <c r="C388" s="29" t="s">
        <v>211</v>
      </c>
      <c r="D388" s="132" t="s">
        <v>9</v>
      </c>
      <c r="E388" s="31" t="s">
        <v>72</v>
      </c>
      <c r="F388" s="32">
        <v>2010</v>
      </c>
      <c r="G388" s="26">
        <v>1</v>
      </c>
      <c r="H388" s="37">
        <v>12.41</v>
      </c>
      <c r="I388" s="47">
        <v>40</v>
      </c>
    </row>
    <row r="389" spans="2:9" ht="18" customHeight="1" x14ac:dyDescent="0.25">
      <c r="B389" s="131" t="s">
        <v>112</v>
      </c>
      <c r="C389" s="44" t="s">
        <v>391</v>
      </c>
      <c r="D389" s="132" t="s">
        <v>9</v>
      </c>
      <c r="E389" s="31" t="s">
        <v>72</v>
      </c>
      <c r="F389" s="52">
        <v>41137</v>
      </c>
      <c r="G389" s="26">
        <v>1</v>
      </c>
      <c r="H389" s="64">
        <v>32.409999999999997</v>
      </c>
      <c r="I389" s="47">
        <v>76.36</v>
      </c>
    </row>
    <row r="390" spans="2:9" ht="18" customHeight="1" x14ac:dyDescent="0.25">
      <c r="B390" s="131" t="s">
        <v>112</v>
      </c>
      <c r="C390" s="29" t="s">
        <v>226</v>
      </c>
      <c r="D390" s="132" t="s">
        <v>9</v>
      </c>
      <c r="E390" s="31" t="s">
        <v>72</v>
      </c>
      <c r="F390" s="32">
        <v>2008</v>
      </c>
      <c r="G390" s="26">
        <v>1</v>
      </c>
      <c r="H390" s="37">
        <v>11</v>
      </c>
      <c r="I390" s="34">
        <v>47</v>
      </c>
    </row>
    <row r="391" spans="2:9" ht="18" customHeight="1" x14ac:dyDescent="0.25">
      <c r="B391" s="131" t="s">
        <v>112</v>
      </c>
      <c r="C391" s="29" t="s">
        <v>228</v>
      </c>
      <c r="D391" s="132" t="s">
        <v>9</v>
      </c>
      <c r="E391" s="31" t="s">
        <v>72</v>
      </c>
      <c r="F391" s="32">
        <v>2009</v>
      </c>
      <c r="G391" s="26">
        <v>1</v>
      </c>
      <c r="H391" s="37">
        <v>16.206</v>
      </c>
      <c r="I391" s="34">
        <v>59.927999999999997</v>
      </c>
    </row>
    <row r="392" spans="2:9" s="3" customFormat="1" ht="18" customHeight="1" x14ac:dyDescent="0.25">
      <c r="B392" s="131" t="s">
        <v>112</v>
      </c>
      <c r="C392" s="44" t="s">
        <v>237</v>
      </c>
      <c r="D392" s="132" t="s">
        <v>9</v>
      </c>
      <c r="E392" s="31" t="s">
        <v>72</v>
      </c>
      <c r="F392" s="85">
        <v>41382</v>
      </c>
      <c r="G392" s="26">
        <v>1</v>
      </c>
      <c r="H392" s="95">
        <v>7.77</v>
      </c>
      <c r="I392" s="47">
        <v>31.17</v>
      </c>
    </row>
    <row r="393" spans="2:9" ht="18" customHeight="1" x14ac:dyDescent="0.25">
      <c r="B393" s="131" t="s">
        <v>112</v>
      </c>
      <c r="C393" s="29" t="s">
        <v>249</v>
      </c>
      <c r="D393" s="132" t="s">
        <v>9</v>
      </c>
      <c r="E393" s="31" t="s">
        <v>72</v>
      </c>
      <c r="F393" s="85">
        <v>41348</v>
      </c>
      <c r="G393" s="26">
        <v>1</v>
      </c>
      <c r="H393" s="37">
        <v>19.04</v>
      </c>
      <c r="I393" s="47">
        <v>35.79</v>
      </c>
    </row>
    <row r="394" spans="2:9" s="3" customFormat="1" ht="18" customHeight="1" x14ac:dyDescent="0.25">
      <c r="B394" s="131" t="s">
        <v>112</v>
      </c>
      <c r="C394" s="29" t="s">
        <v>257</v>
      </c>
      <c r="D394" s="132" t="s">
        <v>9</v>
      </c>
      <c r="E394" s="31" t="s">
        <v>72</v>
      </c>
      <c r="F394" s="85">
        <v>40458</v>
      </c>
      <c r="G394" s="26">
        <v>1</v>
      </c>
      <c r="H394" s="37">
        <v>22.5</v>
      </c>
      <c r="I394" s="47">
        <v>86.97</v>
      </c>
    </row>
    <row r="395" spans="2:9" ht="18" customHeight="1" x14ac:dyDescent="0.25">
      <c r="B395" s="131" t="s">
        <v>112</v>
      </c>
      <c r="C395" s="29" t="s">
        <v>258</v>
      </c>
      <c r="D395" s="132" t="s">
        <v>9</v>
      </c>
      <c r="E395" s="31" t="s">
        <v>72</v>
      </c>
      <c r="F395" s="85">
        <v>40333</v>
      </c>
      <c r="G395" s="26">
        <v>1</v>
      </c>
      <c r="H395" s="37">
        <v>45</v>
      </c>
      <c r="I395" s="47">
        <v>125</v>
      </c>
    </row>
    <row r="396" spans="2:9" ht="18" customHeight="1" x14ac:dyDescent="0.25">
      <c r="B396" s="131" t="s">
        <v>112</v>
      </c>
      <c r="C396" s="29" t="s">
        <v>508</v>
      </c>
      <c r="D396" s="132" t="s">
        <v>9</v>
      </c>
      <c r="E396" s="31" t="s">
        <v>72</v>
      </c>
      <c r="F396" s="32">
        <v>2009</v>
      </c>
      <c r="G396" s="26">
        <v>1</v>
      </c>
      <c r="H396" s="37">
        <v>8.48</v>
      </c>
      <c r="I396" s="34">
        <v>32.42</v>
      </c>
    </row>
    <row r="397" spans="2:9" s="3" customFormat="1" ht="18" customHeight="1" x14ac:dyDescent="0.25">
      <c r="B397" s="131" t="s">
        <v>112</v>
      </c>
      <c r="C397" s="29" t="s">
        <v>324</v>
      </c>
      <c r="D397" s="132" t="s">
        <v>9</v>
      </c>
      <c r="E397" s="31" t="s">
        <v>72</v>
      </c>
      <c r="F397" s="117">
        <v>2010</v>
      </c>
      <c r="G397" s="26">
        <v>1</v>
      </c>
      <c r="H397" s="95">
        <v>24.2</v>
      </c>
      <c r="I397" s="34">
        <v>67</v>
      </c>
    </row>
    <row r="398" spans="2:9" ht="18" customHeight="1" x14ac:dyDescent="0.25">
      <c r="B398" s="131" t="s">
        <v>112</v>
      </c>
      <c r="C398" s="44" t="s">
        <v>335</v>
      </c>
      <c r="D398" s="132" t="s">
        <v>9</v>
      </c>
      <c r="E398" s="31" t="s">
        <v>72</v>
      </c>
      <c r="F398" s="43">
        <v>41015</v>
      </c>
      <c r="G398" s="26">
        <v>1</v>
      </c>
      <c r="H398" s="95">
        <v>26.6</v>
      </c>
      <c r="I398" s="47">
        <v>64.319999999999993</v>
      </c>
    </row>
    <row r="399" spans="2:9" ht="18" customHeight="1" x14ac:dyDescent="0.25">
      <c r="B399" s="131" t="s">
        <v>112</v>
      </c>
      <c r="C399" s="29" t="s">
        <v>377</v>
      </c>
      <c r="D399" s="132" t="s">
        <v>9</v>
      </c>
      <c r="E399" s="31" t="s">
        <v>72</v>
      </c>
      <c r="F399" s="85">
        <v>41523</v>
      </c>
      <c r="G399" s="26">
        <v>1</v>
      </c>
      <c r="H399" s="37">
        <v>4.67</v>
      </c>
      <c r="I399" s="47">
        <v>20.87</v>
      </c>
    </row>
    <row r="400" spans="2:9" ht="18" customHeight="1" x14ac:dyDescent="0.25">
      <c r="B400" s="138" t="s">
        <v>112</v>
      </c>
      <c r="C400" s="56" t="s">
        <v>717</v>
      </c>
      <c r="D400" s="139" t="s">
        <v>9</v>
      </c>
      <c r="E400" s="58" t="s">
        <v>69</v>
      </c>
      <c r="F400" s="85">
        <v>42348</v>
      </c>
      <c r="G400" s="60">
        <v>1</v>
      </c>
      <c r="H400" s="33">
        <v>332.18</v>
      </c>
      <c r="I400" s="61">
        <v>1026</v>
      </c>
    </row>
    <row r="401" spans="2:9" ht="18" customHeight="1" x14ac:dyDescent="0.25">
      <c r="B401" s="138" t="s">
        <v>112</v>
      </c>
      <c r="C401" s="56" t="s">
        <v>718</v>
      </c>
      <c r="D401" s="139" t="s">
        <v>9</v>
      </c>
      <c r="E401" s="58" t="s">
        <v>72</v>
      </c>
      <c r="F401" s="85">
        <v>42306</v>
      </c>
      <c r="G401" s="60">
        <v>1</v>
      </c>
      <c r="H401" s="33">
        <v>1.9550000000000001</v>
      </c>
      <c r="I401" s="61">
        <v>6.42</v>
      </c>
    </row>
    <row r="402" spans="2:9" ht="18" customHeight="1" x14ac:dyDescent="0.25">
      <c r="B402" s="103" t="s">
        <v>113</v>
      </c>
      <c r="C402" s="29" t="s">
        <v>473</v>
      </c>
      <c r="D402" s="29" t="s">
        <v>31</v>
      </c>
      <c r="E402" s="31" t="s">
        <v>69</v>
      </c>
      <c r="F402" s="32">
        <v>2008</v>
      </c>
      <c r="G402" s="26">
        <v>1</v>
      </c>
      <c r="H402" s="95">
        <v>101.94</v>
      </c>
      <c r="I402" s="47">
        <v>315</v>
      </c>
    </row>
    <row r="403" spans="2:9" ht="18" customHeight="1" x14ac:dyDescent="0.25">
      <c r="B403" s="103" t="s">
        <v>113</v>
      </c>
      <c r="C403" s="29" t="s">
        <v>224</v>
      </c>
      <c r="D403" s="29" t="s">
        <v>31</v>
      </c>
      <c r="E403" s="31" t="s">
        <v>72</v>
      </c>
      <c r="F403" s="43">
        <v>41060</v>
      </c>
      <c r="G403" s="26">
        <v>1</v>
      </c>
      <c r="H403" s="37">
        <v>68.861999999999995</v>
      </c>
      <c r="I403" s="34">
        <v>192</v>
      </c>
    </row>
    <row r="404" spans="2:9" ht="18" customHeight="1" x14ac:dyDescent="0.25">
      <c r="B404" s="103" t="s">
        <v>113</v>
      </c>
      <c r="C404" s="29" t="s">
        <v>246</v>
      </c>
      <c r="D404" s="29" t="s">
        <v>31</v>
      </c>
      <c r="E404" s="31" t="s">
        <v>72</v>
      </c>
      <c r="F404" s="43">
        <v>41435</v>
      </c>
      <c r="G404" s="26">
        <v>1</v>
      </c>
      <c r="H404" s="37">
        <v>13</v>
      </c>
      <c r="I404" s="47">
        <v>45</v>
      </c>
    </row>
    <row r="405" spans="2:9" ht="18" customHeight="1" x14ac:dyDescent="0.25">
      <c r="B405" s="103" t="s">
        <v>113</v>
      </c>
      <c r="C405" s="44" t="s">
        <v>265</v>
      </c>
      <c r="D405" s="29" t="s">
        <v>31</v>
      </c>
      <c r="E405" s="31" t="s">
        <v>72</v>
      </c>
      <c r="F405" s="52">
        <v>41213</v>
      </c>
      <c r="G405" s="26">
        <v>1</v>
      </c>
      <c r="H405" s="64">
        <v>19.75</v>
      </c>
      <c r="I405" s="46">
        <v>36</v>
      </c>
    </row>
    <row r="406" spans="2:9" ht="18" customHeight="1" x14ac:dyDescent="0.25">
      <c r="B406" s="103" t="s">
        <v>113</v>
      </c>
      <c r="C406" s="44" t="s">
        <v>276</v>
      </c>
      <c r="D406" s="29" t="s">
        <v>31</v>
      </c>
      <c r="E406" s="31" t="s">
        <v>72</v>
      </c>
      <c r="F406" s="43">
        <v>41515</v>
      </c>
      <c r="G406" s="26">
        <v>1</v>
      </c>
      <c r="H406" s="37">
        <v>13.58</v>
      </c>
      <c r="I406" s="47">
        <v>32.07</v>
      </c>
    </row>
    <row r="407" spans="2:9" ht="18" customHeight="1" x14ac:dyDescent="0.25">
      <c r="B407" s="103" t="s">
        <v>113</v>
      </c>
      <c r="C407" s="29" t="s">
        <v>317</v>
      </c>
      <c r="D407" s="29" t="s">
        <v>31</v>
      </c>
      <c r="E407" s="31" t="s">
        <v>72</v>
      </c>
      <c r="F407" s="43">
        <v>41467</v>
      </c>
      <c r="G407" s="26">
        <v>1</v>
      </c>
      <c r="H407" s="64">
        <v>14.66</v>
      </c>
      <c r="I407" s="46">
        <v>60</v>
      </c>
    </row>
    <row r="408" spans="2:9" ht="18" customHeight="1" x14ac:dyDescent="0.25">
      <c r="B408" s="103" t="s">
        <v>113</v>
      </c>
      <c r="C408" s="29" t="s">
        <v>518</v>
      </c>
      <c r="D408" s="29" t="s">
        <v>31</v>
      </c>
      <c r="E408" s="31" t="s">
        <v>72</v>
      </c>
      <c r="F408" s="43">
        <v>41354</v>
      </c>
      <c r="G408" s="26">
        <v>1</v>
      </c>
      <c r="H408" s="37">
        <v>6.63</v>
      </c>
      <c r="I408" s="34">
        <v>30</v>
      </c>
    </row>
    <row r="409" spans="2:9" ht="18" customHeight="1" x14ac:dyDescent="0.25">
      <c r="B409" s="110" t="s">
        <v>113</v>
      </c>
      <c r="C409" s="29" t="s">
        <v>539</v>
      </c>
      <c r="D409" s="111" t="s">
        <v>31</v>
      </c>
      <c r="E409" s="31" t="s">
        <v>72</v>
      </c>
      <c r="F409" s="43">
        <v>41794</v>
      </c>
      <c r="G409" s="26">
        <v>1</v>
      </c>
      <c r="H409" s="37">
        <v>0.495</v>
      </c>
      <c r="I409" s="34">
        <v>1.5</v>
      </c>
    </row>
    <row r="410" spans="2:9" ht="18" customHeight="1" x14ac:dyDescent="0.25">
      <c r="B410" s="131" t="s">
        <v>114</v>
      </c>
      <c r="C410" s="44" t="s">
        <v>469</v>
      </c>
      <c r="D410" s="132" t="s">
        <v>27</v>
      </c>
      <c r="E410" s="31" t="s">
        <v>72</v>
      </c>
      <c r="F410" s="32">
        <v>2006</v>
      </c>
      <c r="G410" s="26">
        <v>1</v>
      </c>
      <c r="H410" s="37">
        <v>27.27</v>
      </c>
      <c r="I410" s="47">
        <v>86.39</v>
      </c>
    </row>
    <row r="411" spans="2:9" ht="18" customHeight="1" x14ac:dyDescent="0.25">
      <c r="B411" s="131" t="s">
        <v>114</v>
      </c>
      <c r="C411" s="44" t="s">
        <v>474</v>
      </c>
      <c r="D411" s="132" t="s">
        <v>27</v>
      </c>
      <c r="E411" s="31" t="s">
        <v>72</v>
      </c>
      <c r="F411" s="85">
        <v>41257</v>
      </c>
      <c r="G411" s="26">
        <v>1</v>
      </c>
      <c r="H411" s="64">
        <v>16.32</v>
      </c>
      <c r="I411" s="46">
        <v>42.14</v>
      </c>
    </row>
    <row r="412" spans="2:9" ht="18" customHeight="1" x14ac:dyDescent="0.25">
      <c r="B412" s="131" t="s">
        <v>114</v>
      </c>
      <c r="C412" s="44" t="s">
        <v>418</v>
      </c>
      <c r="D412" s="132" t="s">
        <v>27</v>
      </c>
      <c r="E412" s="31" t="s">
        <v>72</v>
      </c>
      <c r="F412" s="52">
        <v>41167</v>
      </c>
      <c r="G412" s="26">
        <v>1</v>
      </c>
      <c r="H412" s="130">
        <v>3.98</v>
      </c>
      <c r="I412" s="141">
        <v>11</v>
      </c>
    </row>
    <row r="413" spans="2:9" ht="18" customHeight="1" x14ac:dyDescent="0.25">
      <c r="B413" s="131" t="s">
        <v>114</v>
      </c>
      <c r="C413" s="44" t="s">
        <v>260</v>
      </c>
      <c r="D413" s="132" t="s">
        <v>27</v>
      </c>
      <c r="E413" s="31" t="s">
        <v>72</v>
      </c>
      <c r="F413" s="85">
        <v>41205</v>
      </c>
      <c r="G413" s="26">
        <v>1</v>
      </c>
      <c r="H413" s="37">
        <v>9.33</v>
      </c>
      <c r="I413" s="63">
        <v>42.42</v>
      </c>
    </row>
    <row r="414" spans="2:9" ht="18" customHeight="1" x14ac:dyDescent="0.25">
      <c r="B414" s="131" t="s">
        <v>114</v>
      </c>
      <c r="C414" s="29" t="s">
        <v>268</v>
      </c>
      <c r="D414" s="132" t="s">
        <v>27</v>
      </c>
      <c r="E414" s="31" t="s">
        <v>72</v>
      </c>
      <c r="F414" s="52">
        <v>41425</v>
      </c>
      <c r="G414" s="26">
        <v>1</v>
      </c>
      <c r="H414" s="37">
        <v>6.8659999999999997</v>
      </c>
      <c r="I414" s="34">
        <v>25.8</v>
      </c>
    </row>
    <row r="415" spans="2:9" ht="18" customHeight="1" x14ac:dyDescent="0.25">
      <c r="B415" s="131" t="s">
        <v>114</v>
      </c>
      <c r="C415" s="44" t="s">
        <v>422</v>
      </c>
      <c r="D415" s="132" t="s">
        <v>27</v>
      </c>
      <c r="E415" s="31" t="s">
        <v>69</v>
      </c>
      <c r="F415" s="43">
        <v>40991</v>
      </c>
      <c r="G415" s="26">
        <v>1</v>
      </c>
      <c r="H415" s="95">
        <v>96</v>
      </c>
      <c r="I415" s="47">
        <v>314</v>
      </c>
    </row>
    <row r="416" spans="2:9" ht="18" customHeight="1" x14ac:dyDescent="0.25">
      <c r="B416" s="131" t="s">
        <v>114</v>
      </c>
      <c r="C416" s="29" t="s">
        <v>292</v>
      </c>
      <c r="D416" s="132" t="s">
        <v>27</v>
      </c>
      <c r="E416" s="31" t="s">
        <v>72</v>
      </c>
      <c r="F416" s="32">
        <v>2009</v>
      </c>
      <c r="G416" s="26">
        <v>1</v>
      </c>
      <c r="H416" s="37">
        <v>10.8</v>
      </c>
      <c r="I416" s="63">
        <v>38.56</v>
      </c>
    </row>
    <row r="417" spans="2:9" ht="18" customHeight="1" x14ac:dyDescent="0.25">
      <c r="B417" s="131" t="s">
        <v>114</v>
      </c>
      <c r="C417" s="140" t="s">
        <v>296</v>
      </c>
      <c r="D417" s="132" t="s">
        <v>27</v>
      </c>
      <c r="E417" s="31" t="s">
        <v>72</v>
      </c>
      <c r="F417" s="85">
        <v>40682</v>
      </c>
      <c r="G417" s="26">
        <v>1</v>
      </c>
      <c r="H417" s="64">
        <v>3.84</v>
      </c>
      <c r="I417" s="46">
        <v>21.56</v>
      </c>
    </row>
    <row r="418" spans="2:9" ht="18" customHeight="1" x14ac:dyDescent="0.25">
      <c r="B418" s="131" t="s">
        <v>114</v>
      </c>
      <c r="C418" s="140" t="s">
        <v>511</v>
      </c>
      <c r="D418" s="132" t="s">
        <v>27</v>
      </c>
      <c r="E418" s="31" t="s">
        <v>72</v>
      </c>
      <c r="F418" s="85">
        <v>40697</v>
      </c>
      <c r="G418" s="26">
        <v>1</v>
      </c>
      <c r="H418" s="64">
        <v>3.08</v>
      </c>
      <c r="I418" s="46">
        <v>18.97</v>
      </c>
    </row>
    <row r="419" spans="2:9" ht="18" customHeight="1" x14ac:dyDescent="0.25">
      <c r="B419" s="131" t="s">
        <v>114</v>
      </c>
      <c r="C419" s="140" t="s">
        <v>512</v>
      </c>
      <c r="D419" s="132" t="s">
        <v>27</v>
      </c>
      <c r="E419" s="31" t="s">
        <v>72</v>
      </c>
      <c r="F419" s="85">
        <v>40871</v>
      </c>
      <c r="G419" s="26">
        <v>1</v>
      </c>
      <c r="H419" s="64">
        <v>10.35</v>
      </c>
      <c r="I419" s="46">
        <v>57.76</v>
      </c>
    </row>
    <row r="420" spans="2:9" ht="18" customHeight="1" x14ac:dyDescent="0.25">
      <c r="B420" s="131" t="s">
        <v>114</v>
      </c>
      <c r="C420" s="44" t="s">
        <v>513</v>
      </c>
      <c r="D420" s="132" t="s">
        <v>27</v>
      </c>
      <c r="E420" s="31" t="s">
        <v>72</v>
      </c>
      <c r="F420" s="85">
        <v>40760</v>
      </c>
      <c r="G420" s="26">
        <v>1</v>
      </c>
      <c r="H420" s="64">
        <v>4.5999999999999996</v>
      </c>
      <c r="I420" s="46">
        <v>21.62</v>
      </c>
    </row>
    <row r="421" spans="2:9" ht="18" customHeight="1" x14ac:dyDescent="0.25">
      <c r="B421" s="131" t="s">
        <v>114</v>
      </c>
      <c r="C421" s="29" t="s">
        <v>333</v>
      </c>
      <c r="D421" s="132" t="s">
        <v>27</v>
      </c>
      <c r="E421" s="31" t="s">
        <v>72</v>
      </c>
      <c r="F421" s="185">
        <v>41635</v>
      </c>
      <c r="G421" s="26">
        <v>1</v>
      </c>
      <c r="H421" s="64">
        <v>36.380000000000003</v>
      </c>
      <c r="I421" s="46">
        <v>83.83</v>
      </c>
    </row>
    <row r="422" spans="2:9" ht="18" customHeight="1" x14ac:dyDescent="0.25">
      <c r="B422" s="131" t="s">
        <v>114</v>
      </c>
      <c r="C422" s="44" t="s">
        <v>350</v>
      </c>
      <c r="D422" s="132" t="s">
        <v>27</v>
      </c>
      <c r="E422" s="31" t="s">
        <v>72</v>
      </c>
      <c r="F422" s="43">
        <v>41005</v>
      </c>
      <c r="G422" s="26">
        <v>1</v>
      </c>
      <c r="H422" s="95">
        <v>18</v>
      </c>
      <c r="I422" s="61">
        <v>68.930000000000007</v>
      </c>
    </row>
    <row r="423" spans="2:9" ht="18" customHeight="1" x14ac:dyDescent="0.25">
      <c r="B423" s="131" t="s">
        <v>114</v>
      </c>
      <c r="C423" s="44" t="s">
        <v>529</v>
      </c>
      <c r="D423" s="132" t="s">
        <v>27</v>
      </c>
      <c r="E423" s="31" t="s">
        <v>72</v>
      </c>
      <c r="F423" s="43">
        <v>40999</v>
      </c>
      <c r="G423" s="26">
        <v>1</v>
      </c>
      <c r="H423" s="64">
        <v>16.66</v>
      </c>
      <c r="I423" s="46">
        <v>49.23</v>
      </c>
    </row>
    <row r="424" spans="2:9" s="3" customFormat="1" ht="18" customHeight="1" x14ac:dyDescent="0.25">
      <c r="B424" s="131" t="s">
        <v>114</v>
      </c>
      <c r="C424" s="29" t="s">
        <v>380</v>
      </c>
      <c r="D424" s="132" t="s">
        <v>27</v>
      </c>
      <c r="E424" s="31" t="s">
        <v>72</v>
      </c>
      <c r="F424" s="85">
        <v>41600</v>
      </c>
      <c r="G424" s="26">
        <v>1</v>
      </c>
      <c r="H424" s="37">
        <v>14.9</v>
      </c>
      <c r="I424" s="63">
        <v>41.33</v>
      </c>
    </row>
    <row r="425" spans="2:9" ht="18" customHeight="1" x14ac:dyDescent="0.25">
      <c r="B425" s="131" t="s">
        <v>114</v>
      </c>
      <c r="C425" s="29" t="s">
        <v>455</v>
      </c>
      <c r="D425" s="132" t="s">
        <v>27</v>
      </c>
      <c r="E425" s="31" t="s">
        <v>72</v>
      </c>
      <c r="F425" s="85">
        <v>40829</v>
      </c>
      <c r="G425" s="26">
        <v>1</v>
      </c>
      <c r="H425" s="64">
        <v>21.9</v>
      </c>
      <c r="I425" s="46">
        <v>70</v>
      </c>
    </row>
    <row r="426" spans="2:9" ht="18" customHeight="1" x14ac:dyDescent="0.25">
      <c r="B426" s="110" t="s">
        <v>114</v>
      </c>
      <c r="C426" s="29" t="s">
        <v>543</v>
      </c>
      <c r="D426" s="111" t="s">
        <v>27</v>
      </c>
      <c r="E426" s="31" t="s">
        <v>69</v>
      </c>
      <c r="F426" s="43">
        <v>41789</v>
      </c>
      <c r="G426" s="26">
        <v>1</v>
      </c>
      <c r="H426" s="37">
        <v>244.83</v>
      </c>
      <c r="I426" s="34">
        <v>842.1</v>
      </c>
    </row>
    <row r="427" spans="2:9" ht="18" customHeight="1" x14ac:dyDescent="0.25">
      <c r="B427" s="110" t="s">
        <v>114</v>
      </c>
      <c r="C427" s="29" t="s">
        <v>556</v>
      </c>
      <c r="D427" s="111" t="s">
        <v>27</v>
      </c>
      <c r="E427" s="31" t="s">
        <v>576</v>
      </c>
      <c r="F427" s="43">
        <v>41751</v>
      </c>
      <c r="G427" s="26">
        <v>1</v>
      </c>
      <c r="H427" s="37">
        <v>7.19</v>
      </c>
      <c r="I427" s="34">
        <v>25.22</v>
      </c>
    </row>
    <row r="428" spans="2:9" ht="18" customHeight="1" x14ac:dyDescent="0.25">
      <c r="B428" s="110" t="s">
        <v>114</v>
      </c>
      <c r="C428" s="29" t="s">
        <v>566</v>
      </c>
      <c r="D428" s="111" t="s">
        <v>27</v>
      </c>
      <c r="E428" s="31" t="s">
        <v>576</v>
      </c>
      <c r="F428" s="43">
        <v>41772</v>
      </c>
      <c r="G428" s="26">
        <v>1</v>
      </c>
      <c r="H428" s="37">
        <v>7.39</v>
      </c>
      <c r="I428" s="34">
        <v>14.03</v>
      </c>
    </row>
    <row r="429" spans="2:9" ht="18" customHeight="1" x14ac:dyDescent="0.25">
      <c r="B429" s="113" t="s">
        <v>114</v>
      </c>
      <c r="C429" s="56" t="s">
        <v>719</v>
      </c>
      <c r="D429" s="114" t="s">
        <v>27</v>
      </c>
      <c r="E429" s="58" t="s">
        <v>69</v>
      </c>
      <c r="F429" s="85">
        <v>42250</v>
      </c>
      <c r="G429" s="60">
        <v>1</v>
      </c>
      <c r="H429" s="33">
        <v>121.654</v>
      </c>
      <c r="I429" s="63">
        <v>409</v>
      </c>
    </row>
    <row r="430" spans="2:9" ht="18" customHeight="1" x14ac:dyDescent="0.25">
      <c r="B430" s="113" t="s">
        <v>114</v>
      </c>
      <c r="C430" s="56" t="s">
        <v>720</v>
      </c>
      <c r="D430" s="114" t="s">
        <v>27</v>
      </c>
      <c r="E430" s="58" t="s">
        <v>72</v>
      </c>
      <c r="F430" s="85">
        <v>42357</v>
      </c>
      <c r="G430" s="60">
        <v>1</v>
      </c>
      <c r="H430" s="33">
        <v>13.6</v>
      </c>
      <c r="I430" s="63">
        <v>37.159999999999997</v>
      </c>
    </row>
    <row r="431" spans="2:9" ht="18" customHeight="1" x14ac:dyDescent="0.25">
      <c r="B431" s="113" t="s">
        <v>114</v>
      </c>
      <c r="C431" s="56" t="s">
        <v>721</v>
      </c>
      <c r="D431" s="114" t="s">
        <v>27</v>
      </c>
      <c r="E431" s="58" t="s">
        <v>72</v>
      </c>
      <c r="F431" s="85">
        <v>42069</v>
      </c>
      <c r="G431" s="60">
        <v>1</v>
      </c>
      <c r="H431" s="33">
        <v>11.7</v>
      </c>
      <c r="I431" s="63">
        <v>33.08</v>
      </c>
    </row>
    <row r="432" spans="2:9" ht="18" customHeight="1" x14ac:dyDescent="0.25">
      <c r="B432" s="113" t="s">
        <v>114</v>
      </c>
      <c r="C432" s="56" t="s">
        <v>722</v>
      </c>
      <c r="D432" s="114" t="s">
        <v>27</v>
      </c>
      <c r="E432" s="58" t="s">
        <v>72</v>
      </c>
      <c r="F432" s="85">
        <v>42103</v>
      </c>
      <c r="G432" s="60">
        <v>1</v>
      </c>
      <c r="H432" s="33">
        <v>6.93</v>
      </c>
      <c r="I432" s="63">
        <v>19.190000000000001</v>
      </c>
    </row>
    <row r="433" spans="2:9" ht="18" customHeight="1" x14ac:dyDescent="0.25">
      <c r="B433" s="113" t="s">
        <v>114</v>
      </c>
      <c r="C433" s="56" t="s">
        <v>723</v>
      </c>
      <c r="D433" s="114" t="s">
        <v>27</v>
      </c>
      <c r="E433" s="58" t="s">
        <v>72</v>
      </c>
      <c r="F433" s="65">
        <v>1960</v>
      </c>
      <c r="G433" s="60">
        <v>1</v>
      </c>
      <c r="H433" s="33">
        <v>26.2</v>
      </c>
      <c r="I433" s="63">
        <v>100</v>
      </c>
    </row>
    <row r="434" spans="2:9" ht="18" customHeight="1" x14ac:dyDescent="0.25">
      <c r="B434" s="106" t="s">
        <v>115</v>
      </c>
      <c r="C434" s="39" t="s">
        <v>183</v>
      </c>
      <c r="D434" s="31" t="s">
        <v>26</v>
      </c>
      <c r="E434" s="31" t="s">
        <v>72</v>
      </c>
      <c r="F434" s="40">
        <v>2001</v>
      </c>
      <c r="G434" s="26">
        <v>1</v>
      </c>
      <c r="H434" s="41">
        <v>2.64</v>
      </c>
      <c r="I434" s="142">
        <v>11</v>
      </c>
    </row>
    <row r="435" spans="2:9" ht="18" customHeight="1" x14ac:dyDescent="0.25">
      <c r="B435" s="106" t="s">
        <v>115</v>
      </c>
      <c r="C435" s="39" t="s">
        <v>184</v>
      </c>
      <c r="D435" s="31" t="s">
        <v>26</v>
      </c>
      <c r="E435" s="31" t="s">
        <v>72</v>
      </c>
      <c r="F435" s="40">
        <v>2001</v>
      </c>
      <c r="G435" s="26">
        <v>1</v>
      </c>
      <c r="H435" s="41">
        <v>8.94</v>
      </c>
      <c r="I435" s="142">
        <v>32</v>
      </c>
    </row>
    <row r="436" spans="2:9" ht="18" customHeight="1" x14ac:dyDescent="0.25">
      <c r="B436" s="106" t="s">
        <v>115</v>
      </c>
      <c r="C436" s="44" t="s">
        <v>491</v>
      </c>
      <c r="D436" s="31" t="s">
        <v>26</v>
      </c>
      <c r="E436" s="58" t="s">
        <v>69</v>
      </c>
      <c r="F436" s="85">
        <v>41266</v>
      </c>
      <c r="G436" s="26">
        <v>1</v>
      </c>
      <c r="H436" s="64">
        <v>48.6</v>
      </c>
      <c r="I436" s="46">
        <v>181.25</v>
      </c>
    </row>
    <row r="437" spans="2:9" ht="18" customHeight="1" x14ac:dyDescent="0.25">
      <c r="B437" s="106" t="s">
        <v>115</v>
      </c>
      <c r="C437" s="29" t="s">
        <v>407</v>
      </c>
      <c r="D437" s="31" t="s">
        <v>26</v>
      </c>
      <c r="E437" s="31" t="s">
        <v>72</v>
      </c>
      <c r="F437" s="43">
        <v>40593</v>
      </c>
      <c r="G437" s="26">
        <v>1</v>
      </c>
      <c r="H437" s="37">
        <v>6.98</v>
      </c>
      <c r="I437" s="61">
        <v>24.51</v>
      </c>
    </row>
    <row r="438" spans="2:9" ht="18" customHeight="1" x14ac:dyDescent="0.25">
      <c r="B438" s="106" t="s">
        <v>115</v>
      </c>
      <c r="C438" s="29" t="s">
        <v>408</v>
      </c>
      <c r="D438" s="31" t="s">
        <v>26</v>
      </c>
      <c r="E438" s="31" t="s">
        <v>72</v>
      </c>
      <c r="F438" s="32">
        <v>2008</v>
      </c>
      <c r="G438" s="26">
        <v>1</v>
      </c>
      <c r="H438" s="37">
        <v>12.63</v>
      </c>
      <c r="I438" s="63">
        <v>37.26</v>
      </c>
    </row>
    <row r="439" spans="2:9" ht="18" customHeight="1" x14ac:dyDescent="0.25">
      <c r="B439" s="106" t="s">
        <v>115</v>
      </c>
      <c r="C439" s="44" t="s">
        <v>297</v>
      </c>
      <c r="D439" s="31" t="s">
        <v>26</v>
      </c>
      <c r="E439" s="31" t="s">
        <v>72</v>
      </c>
      <c r="F439" s="85">
        <v>40697</v>
      </c>
      <c r="G439" s="26">
        <v>1</v>
      </c>
      <c r="H439" s="64">
        <v>4.0999999999999996</v>
      </c>
      <c r="I439" s="46">
        <v>24.27</v>
      </c>
    </row>
    <row r="440" spans="2:9" ht="18" customHeight="1" x14ac:dyDescent="0.25">
      <c r="B440" s="106" t="s">
        <v>115</v>
      </c>
      <c r="C440" s="29" t="s">
        <v>428</v>
      </c>
      <c r="D440" s="31" t="s">
        <v>26</v>
      </c>
      <c r="E440" s="31" t="s">
        <v>72</v>
      </c>
      <c r="F440" s="32">
        <v>2009</v>
      </c>
      <c r="G440" s="26">
        <v>1</v>
      </c>
      <c r="H440" s="37">
        <v>5.76</v>
      </c>
      <c r="I440" s="63">
        <v>41.96</v>
      </c>
    </row>
    <row r="441" spans="2:9" ht="18" customHeight="1" x14ac:dyDescent="0.25">
      <c r="B441" s="106" t="s">
        <v>115</v>
      </c>
      <c r="C441" s="29" t="s">
        <v>369</v>
      </c>
      <c r="D441" s="31" t="s">
        <v>26</v>
      </c>
      <c r="E441" s="31" t="s">
        <v>72</v>
      </c>
      <c r="F441" s="85">
        <v>40717</v>
      </c>
      <c r="G441" s="26">
        <v>1</v>
      </c>
      <c r="H441" s="64">
        <v>12.416</v>
      </c>
      <c r="I441" s="69">
        <v>44.52</v>
      </c>
    </row>
    <row r="442" spans="2:9" ht="18" customHeight="1" x14ac:dyDescent="0.25">
      <c r="B442" s="106" t="s">
        <v>115</v>
      </c>
      <c r="C442" s="29" t="s">
        <v>384</v>
      </c>
      <c r="D442" s="31" t="s">
        <v>26</v>
      </c>
      <c r="E442" s="31" t="s">
        <v>72</v>
      </c>
      <c r="F442" s="32">
        <v>2005</v>
      </c>
      <c r="G442" s="26">
        <v>1</v>
      </c>
      <c r="H442" s="33">
        <v>14.02</v>
      </c>
      <c r="I442" s="34">
        <v>44.18</v>
      </c>
    </row>
    <row r="443" spans="2:9" ht="18" customHeight="1" x14ac:dyDescent="0.25">
      <c r="B443" s="110" t="s">
        <v>115</v>
      </c>
      <c r="C443" s="29" t="s">
        <v>564</v>
      </c>
      <c r="D443" s="111" t="s">
        <v>26</v>
      </c>
      <c r="E443" s="31" t="s">
        <v>576</v>
      </c>
      <c r="F443" s="43">
        <v>41754</v>
      </c>
      <c r="G443" s="26">
        <v>1</v>
      </c>
      <c r="H443" s="37">
        <v>9.7620000000000005</v>
      </c>
      <c r="I443" s="34">
        <v>23.28</v>
      </c>
    </row>
    <row r="444" spans="2:9" ht="18" customHeight="1" x14ac:dyDescent="0.25">
      <c r="B444" s="113" t="s">
        <v>115</v>
      </c>
      <c r="C444" s="56" t="s">
        <v>724</v>
      </c>
      <c r="D444" s="114" t="s">
        <v>26</v>
      </c>
      <c r="E444" s="58" t="s">
        <v>69</v>
      </c>
      <c r="F444" s="85">
        <v>41266</v>
      </c>
      <c r="G444" s="60">
        <v>1</v>
      </c>
      <c r="H444" s="33">
        <v>140.62</v>
      </c>
      <c r="I444" s="63">
        <v>502.72</v>
      </c>
    </row>
    <row r="445" spans="2:9" ht="18" customHeight="1" x14ac:dyDescent="0.25">
      <c r="B445" s="106" t="s">
        <v>116</v>
      </c>
      <c r="C445" s="39" t="s">
        <v>174</v>
      </c>
      <c r="D445" s="31" t="s">
        <v>14</v>
      </c>
      <c r="E445" s="31" t="s">
        <v>72</v>
      </c>
      <c r="F445" s="72">
        <v>1950</v>
      </c>
      <c r="G445" s="26">
        <v>1</v>
      </c>
      <c r="H445" s="50">
        <v>0.39600000000000002</v>
      </c>
      <c r="I445" s="51">
        <v>1.25</v>
      </c>
    </row>
    <row r="446" spans="2:9" ht="18" customHeight="1" x14ac:dyDescent="0.25">
      <c r="B446" s="106" t="s">
        <v>116</v>
      </c>
      <c r="C446" s="29" t="s">
        <v>216</v>
      </c>
      <c r="D446" s="31" t="s">
        <v>14</v>
      </c>
      <c r="E446" s="31" t="s">
        <v>72</v>
      </c>
      <c r="F446" s="32">
        <v>2010</v>
      </c>
      <c r="G446" s="26">
        <v>1</v>
      </c>
      <c r="H446" s="37">
        <v>14.63</v>
      </c>
      <c r="I446" s="34">
        <v>60</v>
      </c>
    </row>
    <row r="447" spans="2:9" s="3" customFormat="1" ht="18" customHeight="1" x14ac:dyDescent="0.25">
      <c r="B447" s="106" t="s">
        <v>116</v>
      </c>
      <c r="C447" s="29" t="s">
        <v>459</v>
      </c>
      <c r="D447" s="31" t="s">
        <v>14</v>
      </c>
      <c r="E447" s="31" t="s">
        <v>72</v>
      </c>
      <c r="F447" s="129">
        <v>41180</v>
      </c>
      <c r="G447" s="26">
        <v>1</v>
      </c>
      <c r="H447" s="95">
        <v>10.677</v>
      </c>
      <c r="I447" s="47">
        <v>33.299999999999997</v>
      </c>
    </row>
    <row r="448" spans="2:9" s="3" customFormat="1" ht="15.75" customHeight="1" x14ac:dyDescent="0.25">
      <c r="B448" s="106" t="s">
        <v>117</v>
      </c>
      <c r="C448" s="39" t="s">
        <v>152</v>
      </c>
      <c r="D448" s="31" t="s">
        <v>39</v>
      </c>
      <c r="E448" s="31" t="s">
        <v>72</v>
      </c>
      <c r="F448" s="72">
        <v>1966</v>
      </c>
      <c r="G448" s="26">
        <v>1</v>
      </c>
      <c r="H448" s="50">
        <v>6.2399999999999997E-2</v>
      </c>
      <c r="I448" s="51">
        <v>0.3</v>
      </c>
    </row>
    <row r="449" spans="2:9" ht="18" customHeight="1" x14ac:dyDescent="0.25">
      <c r="B449" s="106" t="s">
        <v>117</v>
      </c>
      <c r="C449" s="44" t="s">
        <v>225</v>
      </c>
      <c r="D449" s="31" t="s">
        <v>39</v>
      </c>
      <c r="E449" s="31" t="s">
        <v>72</v>
      </c>
      <c r="F449" s="43">
        <v>41110</v>
      </c>
      <c r="G449" s="26">
        <v>1</v>
      </c>
      <c r="H449" s="143">
        <v>1.843</v>
      </c>
      <c r="I449" s="143">
        <v>11.25</v>
      </c>
    </row>
    <row r="450" spans="2:9" ht="18" customHeight="1" x14ac:dyDescent="0.25">
      <c r="B450" s="106" t="s">
        <v>117</v>
      </c>
      <c r="C450" s="29" t="s">
        <v>325</v>
      </c>
      <c r="D450" s="31" t="s">
        <v>39</v>
      </c>
      <c r="E450" s="31" t="s">
        <v>72</v>
      </c>
      <c r="F450" s="85">
        <f>F449</f>
        <v>41110</v>
      </c>
      <c r="G450" s="26">
        <v>1</v>
      </c>
      <c r="H450" s="37">
        <v>30.6</v>
      </c>
      <c r="I450" s="143">
        <v>107.8</v>
      </c>
    </row>
    <row r="451" spans="2:9" ht="18" customHeight="1" x14ac:dyDescent="0.25">
      <c r="B451" s="106" t="s">
        <v>117</v>
      </c>
      <c r="C451" s="29" t="s">
        <v>443</v>
      </c>
      <c r="D451" s="31" t="s">
        <v>39</v>
      </c>
      <c r="E451" s="31" t="s">
        <v>69</v>
      </c>
      <c r="F451" s="85">
        <v>40828</v>
      </c>
      <c r="G451" s="26">
        <v>1</v>
      </c>
      <c r="H451" s="37">
        <v>33.11</v>
      </c>
      <c r="I451" s="143">
        <v>141.35</v>
      </c>
    </row>
    <row r="452" spans="2:9" ht="18" customHeight="1" x14ac:dyDescent="0.25">
      <c r="B452" s="106" t="s">
        <v>117</v>
      </c>
      <c r="C452" s="29" t="s">
        <v>349</v>
      </c>
      <c r="D452" s="31" t="s">
        <v>39</v>
      </c>
      <c r="E452" s="31" t="s">
        <v>72</v>
      </c>
      <c r="F452" s="43">
        <v>41481</v>
      </c>
      <c r="G452" s="26">
        <v>1</v>
      </c>
      <c r="H452" s="37">
        <v>21.436</v>
      </c>
      <c r="I452" s="143">
        <v>79.760000000000005</v>
      </c>
    </row>
    <row r="453" spans="2:9" ht="18" customHeight="1" x14ac:dyDescent="0.25">
      <c r="B453" s="110" t="s">
        <v>117</v>
      </c>
      <c r="C453" s="29" t="s">
        <v>288</v>
      </c>
      <c r="D453" s="111" t="s">
        <v>39</v>
      </c>
      <c r="E453" s="31" t="s">
        <v>576</v>
      </c>
      <c r="F453" s="43">
        <v>41726</v>
      </c>
      <c r="G453" s="26">
        <v>1</v>
      </c>
      <c r="H453" s="37">
        <v>17.100000000000001</v>
      </c>
      <c r="I453" s="34">
        <v>50.78</v>
      </c>
    </row>
    <row r="454" spans="2:9" ht="18" customHeight="1" x14ac:dyDescent="0.25">
      <c r="B454" s="110" t="s">
        <v>117</v>
      </c>
      <c r="C454" s="29" t="s">
        <v>563</v>
      </c>
      <c r="D454" s="111" t="s">
        <v>39</v>
      </c>
      <c r="E454" s="31" t="s">
        <v>576</v>
      </c>
      <c r="F454" s="43">
        <v>41901</v>
      </c>
      <c r="G454" s="26">
        <v>1</v>
      </c>
      <c r="H454" s="37">
        <v>28.96</v>
      </c>
      <c r="I454" s="34">
        <v>82.180999999999997</v>
      </c>
    </row>
    <row r="455" spans="2:9" ht="18" customHeight="1" x14ac:dyDescent="0.25">
      <c r="B455" s="113" t="s">
        <v>117</v>
      </c>
      <c r="C455" s="56" t="s">
        <v>733</v>
      </c>
      <c r="D455" s="114" t="s">
        <v>39</v>
      </c>
      <c r="E455" s="58" t="s">
        <v>72</v>
      </c>
      <c r="F455" s="65">
        <v>1948</v>
      </c>
      <c r="G455" s="60">
        <v>1</v>
      </c>
      <c r="H455" s="33">
        <v>0.4</v>
      </c>
      <c r="I455" s="63">
        <v>0.8</v>
      </c>
    </row>
    <row r="456" spans="2:9" ht="18" customHeight="1" x14ac:dyDescent="0.25">
      <c r="B456" s="144" t="s">
        <v>136</v>
      </c>
      <c r="C456" s="39" t="s">
        <v>196</v>
      </c>
      <c r="D456" s="58" t="s">
        <v>34</v>
      </c>
      <c r="E456" s="58" t="s">
        <v>75</v>
      </c>
      <c r="F456" s="40">
        <v>2002</v>
      </c>
      <c r="G456" s="26">
        <v>1</v>
      </c>
      <c r="H456" s="145">
        <v>11.1</v>
      </c>
      <c r="I456" s="146">
        <v>50</v>
      </c>
    </row>
    <row r="457" spans="2:9" ht="18" customHeight="1" x14ac:dyDescent="0.25">
      <c r="B457" s="103" t="s">
        <v>137</v>
      </c>
      <c r="C457" s="29" t="s">
        <v>436</v>
      </c>
      <c r="D457" s="29" t="s">
        <v>8</v>
      </c>
      <c r="E457" s="31" t="s">
        <v>72</v>
      </c>
      <c r="F457" s="85">
        <v>41473</v>
      </c>
      <c r="G457" s="26">
        <v>1</v>
      </c>
      <c r="H457" s="37">
        <v>11.157</v>
      </c>
      <c r="I457" s="34">
        <v>40</v>
      </c>
    </row>
    <row r="458" spans="2:9" ht="18" customHeight="1" x14ac:dyDescent="0.25">
      <c r="B458" s="103" t="s">
        <v>137</v>
      </c>
      <c r="C458" s="29" t="s">
        <v>526</v>
      </c>
      <c r="D458" s="29" t="s">
        <v>8</v>
      </c>
      <c r="E458" s="31" t="s">
        <v>72</v>
      </c>
      <c r="F458" s="85">
        <v>40563</v>
      </c>
      <c r="G458" s="26">
        <v>1</v>
      </c>
      <c r="H458" s="37">
        <v>6.13</v>
      </c>
      <c r="I458" s="47">
        <v>22.32</v>
      </c>
    </row>
    <row r="459" spans="2:9" ht="18" customHeight="1" x14ac:dyDescent="0.25">
      <c r="B459" s="105" t="s">
        <v>137</v>
      </c>
      <c r="C459" s="56" t="s">
        <v>725</v>
      </c>
      <c r="D459" s="56" t="s">
        <v>8</v>
      </c>
      <c r="E459" s="58" t="s">
        <v>72</v>
      </c>
      <c r="F459" s="85">
        <v>42264</v>
      </c>
      <c r="G459" s="60">
        <v>1</v>
      </c>
      <c r="H459" s="33">
        <v>8.7799999999999994</v>
      </c>
      <c r="I459" s="61">
        <v>21.26</v>
      </c>
    </row>
    <row r="460" spans="2:9" ht="18" customHeight="1" x14ac:dyDescent="0.25">
      <c r="B460" s="105" t="s">
        <v>137</v>
      </c>
      <c r="C460" s="56" t="s">
        <v>726</v>
      </c>
      <c r="D460" s="56" t="s">
        <v>8</v>
      </c>
      <c r="E460" s="58" t="s">
        <v>69</v>
      </c>
      <c r="F460" s="85">
        <v>42127</v>
      </c>
      <c r="G460" s="60">
        <v>1</v>
      </c>
      <c r="H460" s="33">
        <v>84.680999999999997</v>
      </c>
      <c r="I460" s="61">
        <v>304.48</v>
      </c>
    </row>
    <row r="461" spans="2:9" s="3" customFormat="1" ht="18" customHeight="1" x14ac:dyDescent="0.25">
      <c r="B461" s="106" t="s">
        <v>118</v>
      </c>
      <c r="C461" s="39" t="s">
        <v>160</v>
      </c>
      <c r="D461" s="31" t="s">
        <v>46</v>
      </c>
      <c r="E461" s="31" t="s">
        <v>72</v>
      </c>
      <c r="F461" s="72">
        <v>1972</v>
      </c>
      <c r="G461" s="26">
        <v>1</v>
      </c>
      <c r="H461" s="50">
        <v>0.32</v>
      </c>
      <c r="I461" s="51">
        <v>1.6</v>
      </c>
    </row>
    <row r="462" spans="2:9" ht="18" customHeight="1" x14ac:dyDescent="0.25">
      <c r="B462" s="106" t="s">
        <v>118</v>
      </c>
      <c r="C462" s="39" t="s">
        <v>161</v>
      </c>
      <c r="D462" s="31" t="s">
        <v>46</v>
      </c>
      <c r="E462" s="31" t="s">
        <v>72</v>
      </c>
      <c r="F462" s="72">
        <v>1961</v>
      </c>
      <c r="G462" s="26">
        <v>1</v>
      </c>
      <c r="H462" s="147">
        <v>4.5</v>
      </c>
      <c r="I462" s="148">
        <v>2</v>
      </c>
    </row>
    <row r="463" spans="2:9" ht="18" customHeight="1" x14ac:dyDescent="0.25">
      <c r="B463" s="106" t="s">
        <v>118</v>
      </c>
      <c r="C463" s="39" t="s">
        <v>185</v>
      </c>
      <c r="D463" s="31" t="s">
        <v>46</v>
      </c>
      <c r="E463" s="31" t="s">
        <v>72</v>
      </c>
      <c r="F463" s="40">
        <v>1998</v>
      </c>
      <c r="G463" s="26">
        <v>1</v>
      </c>
      <c r="H463" s="41">
        <v>12.5</v>
      </c>
      <c r="I463" s="42">
        <v>59</v>
      </c>
    </row>
    <row r="464" spans="2:9" ht="18" customHeight="1" x14ac:dyDescent="0.25">
      <c r="B464" s="106" t="s">
        <v>118</v>
      </c>
      <c r="C464" s="29" t="s">
        <v>506</v>
      </c>
      <c r="D464" s="31" t="s">
        <v>46</v>
      </c>
      <c r="E464" s="31" t="s">
        <v>72</v>
      </c>
      <c r="F464" s="59">
        <f>F462</f>
        <v>1961</v>
      </c>
      <c r="G464" s="26">
        <v>1</v>
      </c>
      <c r="H464" s="37">
        <v>7.24</v>
      </c>
      <c r="I464" s="47">
        <v>44</v>
      </c>
    </row>
    <row r="465" spans="2:9" s="3" customFormat="1" ht="18" customHeight="1" x14ac:dyDescent="0.25">
      <c r="B465" s="106" t="s">
        <v>118</v>
      </c>
      <c r="C465" s="29" t="s">
        <v>489</v>
      </c>
      <c r="D465" s="31" t="s">
        <v>46</v>
      </c>
      <c r="E465" s="31" t="s">
        <v>72</v>
      </c>
      <c r="F465" s="32">
        <v>2004</v>
      </c>
      <c r="G465" s="26">
        <v>1</v>
      </c>
      <c r="H465" s="33">
        <v>13.34</v>
      </c>
      <c r="I465" s="34">
        <v>88</v>
      </c>
    </row>
    <row r="466" spans="2:9" ht="18" customHeight="1" x14ac:dyDescent="0.25">
      <c r="B466" s="106" t="s">
        <v>118</v>
      </c>
      <c r="C466" s="29" t="s">
        <v>305</v>
      </c>
      <c r="D466" s="31" t="s">
        <v>46</v>
      </c>
      <c r="E466" s="31" t="s">
        <v>72</v>
      </c>
      <c r="F466" s="32">
        <v>2008</v>
      </c>
      <c r="G466" s="26">
        <v>1</v>
      </c>
      <c r="H466" s="37">
        <v>8.6739999999999995</v>
      </c>
      <c r="I466" s="47">
        <v>25.015000000000001</v>
      </c>
    </row>
    <row r="467" spans="2:9" ht="18" customHeight="1" x14ac:dyDescent="0.25">
      <c r="B467" s="106" t="s">
        <v>118</v>
      </c>
      <c r="C467" s="29" t="s">
        <v>341</v>
      </c>
      <c r="D467" s="31" t="s">
        <v>46</v>
      </c>
      <c r="E467" s="31" t="s">
        <v>72</v>
      </c>
      <c r="F467" s="43">
        <v>40963</v>
      </c>
      <c r="G467" s="26">
        <v>1</v>
      </c>
      <c r="H467" s="64">
        <v>0.74</v>
      </c>
      <c r="I467" s="46">
        <v>4</v>
      </c>
    </row>
    <row r="468" spans="2:9" ht="18" customHeight="1" x14ac:dyDescent="0.25">
      <c r="B468" s="110" t="s">
        <v>118</v>
      </c>
      <c r="C468" s="29" t="s">
        <v>541</v>
      </c>
      <c r="D468" s="111" t="s">
        <v>46</v>
      </c>
      <c r="E468" s="31" t="s">
        <v>576</v>
      </c>
      <c r="F468" s="43">
        <v>41719</v>
      </c>
      <c r="G468" s="26">
        <v>1</v>
      </c>
      <c r="H468" s="33">
        <v>3.5</v>
      </c>
      <c r="I468" s="63">
        <v>12.92</v>
      </c>
    </row>
    <row r="469" spans="2:9" ht="18" customHeight="1" x14ac:dyDescent="0.25">
      <c r="B469" s="144" t="s">
        <v>118</v>
      </c>
      <c r="C469" s="29" t="s">
        <v>419</v>
      </c>
      <c r="D469" s="58" t="s">
        <v>46</v>
      </c>
      <c r="E469" s="31" t="s">
        <v>72</v>
      </c>
      <c r="F469" s="32">
        <v>2009</v>
      </c>
      <c r="G469" s="26">
        <v>1</v>
      </c>
      <c r="H469" s="37">
        <v>13.03</v>
      </c>
      <c r="I469" s="34">
        <v>52</v>
      </c>
    </row>
    <row r="470" spans="2:9" ht="18" customHeight="1" x14ac:dyDescent="0.25">
      <c r="B470" s="150" t="s">
        <v>119</v>
      </c>
      <c r="C470" s="151" t="s">
        <v>467</v>
      </c>
      <c r="D470" s="48" t="s">
        <v>25</v>
      </c>
      <c r="E470" s="31" t="s">
        <v>72</v>
      </c>
      <c r="F470" s="40">
        <v>1957</v>
      </c>
      <c r="G470" s="26">
        <v>1</v>
      </c>
      <c r="H470" s="50">
        <v>20.12</v>
      </c>
      <c r="I470" s="149">
        <v>40</v>
      </c>
    </row>
    <row r="471" spans="2:9" ht="18" customHeight="1" x14ac:dyDescent="0.25">
      <c r="B471" s="150" t="s">
        <v>119</v>
      </c>
      <c r="C471" s="151" t="s">
        <v>472</v>
      </c>
      <c r="D471" s="48" t="s">
        <v>25</v>
      </c>
      <c r="E471" s="31" t="s">
        <v>72</v>
      </c>
      <c r="F471" s="40">
        <v>1967</v>
      </c>
      <c r="G471" s="26">
        <v>1</v>
      </c>
      <c r="H471" s="50">
        <v>10</v>
      </c>
      <c r="I471" s="149">
        <v>20</v>
      </c>
    </row>
    <row r="472" spans="2:9" ht="18" customHeight="1" x14ac:dyDescent="0.25">
      <c r="B472" s="150" t="s">
        <v>119</v>
      </c>
      <c r="C472" s="29" t="s">
        <v>304</v>
      </c>
      <c r="D472" s="48" t="s">
        <v>25</v>
      </c>
      <c r="E472" s="31" t="s">
        <v>72</v>
      </c>
      <c r="F472" s="32">
        <v>2007</v>
      </c>
      <c r="G472" s="26">
        <v>1</v>
      </c>
      <c r="H472" s="37">
        <v>5.375</v>
      </c>
      <c r="I472" s="47">
        <v>31.68</v>
      </c>
    </row>
    <row r="473" spans="2:9" ht="18" customHeight="1" x14ac:dyDescent="0.25">
      <c r="B473" s="150" t="s">
        <v>119</v>
      </c>
      <c r="C473" s="29" t="s">
        <v>525</v>
      </c>
      <c r="D473" s="48" t="s">
        <v>25</v>
      </c>
      <c r="E473" s="31" t="s">
        <v>69</v>
      </c>
      <c r="F473" s="32">
        <v>2008</v>
      </c>
      <c r="G473" s="26">
        <v>1</v>
      </c>
      <c r="H473" s="37">
        <v>56.84</v>
      </c>
      <c r="I473" s="34">
        <v>161</v>
      </c>
    </row>
    <row r="474" spans="2:9" ht="18" customHeight="1" x14ac:dyDescent="0.25">
      <c r="B474" s="152" t="s">
        <v>119</v>
      </c>
      <c r="C474" s="56" t="s">
        <v>727</v>
      </c>
      <c r="D474" s="153" t="s">
        <v>25</v>
      </c>
      <c r="E474" s="58" t="s">
        <v>69</v>
      </c>
      <c r="F474" s="85">
        <v>42111</v>
      </c>
      <c r="G474" s="60">
        <v>1</v>
      </c>
      <c r="H474" s="33">
        <v>582.1</v>
      </c>
      <c r="I474" s="63">
        <v>1294.3499999999999</v>
      </c>
    </row>
    <row r="475" spans="2:9" ht="18" customHeight="1" x14ac:dyDescent="0.25">
      <c r="B475" s="152" t="s">
        <v>119</v>
      </c>
      <c r="C475" s="56" t="s">
        <v>728</v>
      </c>
      <c r="D475" s="153" t="s">
        <v>25</v>
      </c>
      <c r="E475" s="58" t="s">
        <v>69</v>
      </c>
      <c r="F475" s="59">
        <v>2008</v>
      </c>
      <c r="G475" s="60">
        <v>1</v>
      </c>
      <c r="H475" s="33">
        <v>127.34</v>
      </c>
      <c r="I475" s="63">
        <v>404.99</v>
      </c>
    </row>
    <row r="476" spans="2:9" ht="18" customHeight="1" x14ac:dyDescent="0.25">
      <c r="B476" s="144" t="s">
        <v>119</v>
      </c>
      <c r="C476" s="48" t="s">
        <v>448</v>
      </c>
      <c r="D476" s="58" t="s">
        <v>25</v>
      </c>
      <c r="E476" s="31" t="s">
        <v>69</v>
      </c>
      <c r="F476" s="181">
        <v>41621</v>
      </c>
      <c r="G476" s="26">
        <v>1</v>
      </c>
      <c r="H476" s="50">
        <v>128.22</v>
      </c>
      <c r="I476" s="51">
        <v>364.25200000000001</v>
      </c>
    </row>
    <row r="477" spans="2:9" ht="18" customHeight="1" x14ac:dyDescent="0.25">
      <c r="B477" s="103" t="s">
        <v>120</v>
      </c>
      <c r="C477" s="29" t="s">
        <v>340</v>
      </c>
      <c r="D477" s="29" t="s">
        <v>16</v>
      </c>
      <c r="E477" s="31" t="s">
        <v>72</v>
      </c>
      <c r="F477" s="43">
        <v>41472</v>
      </c>
      <c r="G477" s="26">
        <v>1</v>
      </c>
      <c r="H477" s="37">
        <v>18.725000000000001</v>
      </c>
      <c r="I477" s="47">
        <v>55</v>
      </c>
    </row>
    <row r="478" spans="2:9" customFormat="1" ht="15.75" x14ac:dyDescent="0.25">
      <c r="B478" s="103" t="s">
        <v>120</v>
      </c>
      <c r="C478" s="29" t="s">
        <v>457</v>
      </c>
      <c r="D478" s="29" t="s">
        <v>16</v>
      </c>
      <c r="E478" s="31" t="s">
        <v>69</v>
      </c>
      <c r="F478" s="43">
        <v>41061</v>
      </c>
      <c r="G478" s="26">
        <v>1</v>
      </c>
      <c r="H478" s="64">
        <v>22.71</v>
      </c>
      <c r="I478" s="46">
        <v>72</v>
      </c>
    </row>
    <row r="479" spans="2:9" customFormat="1" ht="15.75" x14ac:dyDescent="0.25">
      <c r="B479" s="105" t="s">
        <v>120</v>
      </c>
      <c r="C479" s="56" t="s">
        <v>729</v>
      </c>
      <c r="D479" s="56" t="s">
        <v>16</v>
      </c>
      <c r="E479" s="58" t="s">
        <v>72</v>
      </c>
      <c r="F479" s="85">
        <v>42193</v>
      </c>
      <c r="G479" s="60">
        <v>1</v>
      </c>
      <c r="H479" s="45">
        <v>10.000999999999999</v>
      </c>
      <c r="I479" s="69">
        <v>23.98</v>
      </c>
    </row>
    <row r="480" spans="2:9" customFormat="1" ht="15.75" x14ac:dyDescent="0.25">
      <c r="B480" s="106" t="s">
        <v>121</v>
      </c>
      <c r="C480" s="39" t="s">
        <v>162</v>
      </c>
      <c r="D480" s="31" t="s">
        <v>62</v>
      </c>
      <c r="E480" s="31" t="s">
        <v>72</v>
      </c>
      <c r="F480" s="72">
        <v>1961</v>
      </c>
      <c r="G480" s="26">
        <v>1</v>
      </c>
      <c r="H480" s="50">
        <v>0.12</v>
      </c>
      <c r="I480" s="51">
        <v>0.75</v>
      </c>
    </row>
    <row r="481" spans="2:9" customFormat="1" ht="15.75" x14ac:dyDescent="0.25">
      <c r="B481" s="106" t="s">
        <v>121</v>
      </c>
      <c r="C481" s="29" t="s">
        <v>497</v>
      </c>
      <c r="D481" s="31" t="s">
        <v>62</v>
      </c>
      <c r="E481" s="31" t="s">
        <v>72</v>
      </c>
      <c r="F481" s="59">
        <v>2003</v>
      </c>
      <c r="G481" s="26">
        <v>1</v>
      </c>
      <c r="H481" s="37">
        <v>4.4400000000000004</v>
      </c>
      <c r="I481" s="47">
        <v>16</v>
      </c>
    </row>
    <row r="482" spans="2:9" customFormat="1" ht="15.75" x14ac:dyDescent="0.25">
      <c r="B482" s="106" t="s">
        <v>121</v>
      </c>
      <c r="C482" s="29" t="s">
        <v>453</v>
      </c>
      <c r="D482" s="31" t="s">
        <v>62</v>
      </c>
      <c r="E482" s="31" t="s">
        <v>69</v>
      </c>
      <c r="F482" s="32">
        <v>2009</v>
      </c>
      <c r="G482" s="26">
        <v>1</v>
      </c>
      <c r="H482" s="37">
        <v>82</v>
      </c>
      <c r="I482" s="34">
        <v>322</v>
      </c>
    </row>
    <row r="483" spans="2:9" customFormat="1" ht="15.75" x14ac:dyDescent="0.25">
      <c r="B483" s="106" t="s">
        <v>122</v>
      </c>
      <c r="C483" s="44" t="s">
        <v>519</v>
      </c>
      <c r="D483" s="31" t="s">
        <v>63</v>
      </c>
      <c r="E483" s="31" t="s">
        <v>72</v>
      </c>
      <c r="F483" s="185">
        <v>40780</v>
      </c>
      <c r="G483" s="26">
        <v>1</v>
      </c>
      <c r="H483" s="64">
        <v>41.454000000000001</v>
      </c>
      <c r="I483" s="46">
        <v>170</v>
      </c>
    </row>
    <row r="484" spans="2:9" customFormat="1" ht="15.75" x14ac:dyDescent="0.25">
      <c r="B484" s="106" t="s">
        <v>122</v>
      </c>
      <c r="C484" s="29" t="s">
        <v>345</v>
      </c>
      <c r="D484" s="31" t="s">
        <v>63</v>
      </c>
      <c r="E484" s="31" t="s">
        <v>72</v>
      </c>
      <c r="F484" s="59">
        <v>2010</v>
      </c>
      <c r="G484" s="26">
        <v>1</v>
      </c>
      <c r="H484" s="37">
        <v>3.31</v>
      </c>
      <c r="I484" s="47">
        <v>10.199999999999999</v>
      </c>
    </row>
    <row r="485" spans="2:9" customFormat="1" ht="15.75" x14ac:dyDescent="0.25">
      <c r="B485" s="106" t="s">
        <v>123</v>
      </c>
      <c r="C485" s="39" t="s">
        <v>169</v>
      </c>
      <c r="D485" s="31" t="s">
        <v>49</v>
      </c>
      <c r="E485" s="31" t="s">
        <v>72</v>
      </c>
      <c r="F485" s="72">
        <v>1966</v>
      </c>
      <c r="G485" s="26">
        <v>1</v>
      </c>
      <c r="H485" s="50">
        <v>1.216</v>
      </c>
      <c r="I485" s="51">
        <v>2.5</v>
      </c>
    </row>
    <row r="486" spans="2:9" customFormat="1" ht="15.75" x14ac:dyDescent="0.25">
      <c r="B486" s="106" t="s">
        <v>123</v>
      </c>
      <c r="C486" s="39" t="s">
        <v>170</v>
      </c>
      <c r="D486" s="31" t="s">
        <v>49</v>
      </c>
      <c r="E486" s="31" t="s">
        <v>72</v>
      </c>
      <c r="F486" s="72">
        <v>1968</v>
      </c>
      <c r="G486" s="26">
        <v>1</v>
      </c>
      <c r="H486" s="50">
        <v>0.29199999999999998</v>
      </c>
      <c r="I486" s="51">
        <v>1</v>
      </c>
    </row>
    <row r="487" spans="2:9" customFormat="1" ht="15.75" x14ac:dyDescent="0.25">
      <c r="B487" s="110" t="s">
        <v>123</v>
      </c>
      <c r="C487" s="29" t="s">
        <v>557</v>
      </c>
      <c r="D487" s="111" t="s">
        <v>49</v>
      </c>
      <c r="E487" s="31" t="s">
        <v>576</v>
      </c>
      <c r="F487" s="43">
        <v>41740</v>
      </c>
      <c r="G487" s="26">
        <v>1</v>
      </c>
      <c r="H487" s="37">
        <v>3.75</v>
      </c>
      <c r="I487" s="34">
        <v>11.43</v>
      </c>
    </row>
    <row r="488" spans="2:9" customFormat="1" ht="15.75" x14ac:dyDescent="0.25">
      <c r="B488" s="106" t="s">
        <v>138</v>
      </c>
      <c r="C488" s="39" t="s">
        <v>167</v>
      </c>
      <c r="D488" s="31" t="s">
        <v>17</v>
      </c>
      <c r="E488" s="31" t="s">
        <v>72</v>
      </c>
      <c r="F488" s="72">
        <v>1950</v>
      </c>
      <c r="G488" s="26">
        <v>1</v>
      </c>
      <c r="H488" s="50">
        <v>1.07</v>
      </c>
      <c r="I488" s="51">
        <v>1.0649999999999999</v>
      </c>
    </row>
    <row r="489" spans="2:9" customFormat="1" ht="15.75" x14ac:dyDescent="0.25">
      <c r="B489" s="106" t="s">
        <v>138</v>
      </c>
      <c r="C489" s="39" t="s">
        <v>168</v>
      </c>
      <c r="D489" s="31" t="s">
        <v>17</v>
      </c>
      <c r="E489" s="31" t="s">
        <v>72</v>
      </c>
      <c r="F489" s="72">
        <v>1967</v>
      </c>
      <c r="G489" s="26">
        <v>1</v>
      </c>
      <c r="H489" s="50">
        <v>0.39400000000000002</v>
      </c>
      <c r="I489" s="51">
        <v>1</v>
      </c>
    </row>
    <row r="490" spans="2:9" customFormat="1" ht="15.75" x14ac:dyDescent="0.25">
      <c r="B490" s="106" t="s">
        <v>124</v>
      </c>
      <c r="C490" s="39" t="s">
        <v>171</v>
      </c>
      <c r="D490" s="31" t="s">
        <v>32</v>
      </c>
      <c r="E490" s="31" t="s">
        <v>72</v>
      </c>
      <c r="F490" s="72">
        <v>1970</v>
      </c>
      <c r="G490" s="26">
        <v>1</v>
      </c>
      <c r="H490" s="50">
        <v>1.28</v>
      </c>
      <c r="I490" s="51">
        <v>3.5</v>
      </c>
    </row>
    <row r="491" spans="2:9" customFormat="1" ht="15.75" x14ac:dyDescent="0.25">
      <c r="B491" s="106" t="s">
        <v>124</v>
      </c>
      <c r="C491" s="29" t="s">
        <v>394</v>
      </c>
      <c r="D491" s="31" t="s">
        <v>32</v>
      </c>
      <c r="E491" s="31" t="s">
        <v>72</v>
      </c>
      <c r="F491" s="32">
        <v>2009</v>
      </c>
      <c r="G491" s="26">
        <v>1</v>
      </c>
      <c r="H491" s="37">
        <v>29.571999999999999</v>
      </c>
      <c r="I491" s="34">
        <v>95</v>
      </c>
    </row>
    <row r="492" spans="2:9" customFormat="1" ht="15.75" x14ac:dyDescent="0.25">
      <c r="B492" s="106" t="s">
        <v>124</v>
      </c>
      <c r="C492" s="29" t="s">
        <v>309</v>
      </c>
      <c r="D492" s="31" t="s">
        <v>32</v>
      </c>
      <c r="E492" s="31" t="s">
        <v>72</v>
      </c>
      <c r="F492" s="43">
        <v>41136</v>
      </c>
      <c r="G492" s="26">
        <v>1</v>
      </c>
      <c r="H492" s="64">
        <v>16.86</v>
      </c>
      <c r="I492" s="46">
        <v>61.917999999999999</v>
      </c>
    </row>
    <row r="493" spans="2:9" customFormat="1" ht="15.75" x14ac:dyDescent="0.25">
      <c r="B493" s="103" t="s">
        <v>125</v>
      </c>
      <c r="C493" s="29" t="s">
        <v>217</v>
      </c>
      <c r="D493" s="29" t="s">
        <v>29</v>
      </c>
      <c r="E493" s="31" t="s">
        <v>72</v>
      </c>
      <c r="F493" s="43">
        <v>41088</v>
      </c>
      <c r="G493" s="26">
        <v>1</v>
      </c>
      <c r="H493" s="37">
        <v>0.66</v>
      </c>
      <c r="I493" s="34">
        <v>3.2</v>
      </c>
    </row>
    <row r="494" spans="2:9" customFormat="1" ht="15.75" x14ac:dyDescent="0.25">
      <c r="B494" s="103" t="s">
        <v>125</v>
      </c>
      <c r="C494" s="29" t="s">
        <v>299</v>
      </c>
      <c r="D494" s="29" t="s">
        <v>29</v>
      </c>
      <c r="E494" s="31" t="s">
        <v>72</v>
      </c>
      <c r="F494" s="85">
        <f>F492</f>
        <v>41136</v>
      </c>
      <c r="G494" s="26">
        <v>1</v>
      </c>
      <c r="H494" s="37">
        <v>1.59</v>
      </c>
      <c r="I494" s="47">
        <v>8.32</v>
      </c>
    </row>
    <row r="495" spans="2:9" customFormat="1" ht="15.75" x14ac:dyDescent="0.25">
      <c r="B495" s="106" t="s">
        <v>126</v>
      </c>
      <c r="C495" s="39" t="s">
        <v>173</v>
      </c>
      <c r="D495" s="31" t="s">
        <v>4</v>
      </c>
      <c r="E495" s="31" t="s">
        <v>72</v>
      </c>
      <c r="F495" s="72">
        <v>1956</v>
      </c>
      <c r="G495" s="26">
        <v>1</v>
      </c>
      <c r="H495" s="50">
        <v>0.27200000000000002</v>
      </c>
      <c r="I495" s="51">
        <v>0.6</v>
      </c>
    </row>
    <row r="496" spans="2:9" customFormat="1" ht="15.75" x14ac:dyDescent="0.25">
      <c r="B496" s="106" t="s">
        <v>126</v>
      </c>
      <c r="C496" s="29" t="s">
        <v>400</v>
      </c>
      <c r="D496" s="31" t="s">
        <v>4</v>
      </c>
      <c r="E496" s="31" t="s">
        <v>72</v>
      </c>
      <c r="F496" s="32">
        <v>2010</v>
      </c>
      <c r="G496" s="26">
        <v>1</v>
      </c>
      <c r="H496" s="33">
        <v>7.03</v>
      </c>
      <c r="I496" s="47">
        <v>33</v>
      </c>
    </row>
    <row r="497" spans="2:9" customFormat="1" ht="15.75" x14ac:dyDescent="0.25">
      <c r="B497" s="106" t="s">
        <v>126</v>
      </c>
      <c r="C497" s="29" t="s">
        <v>401</v>
      </c>
      <c r="D497" s="31" t="s">
        <v>4</v>
      </c>
      <c r="E497" s="31" t="s">
        <v>72</v>
      </c>
      <c r="F497" s="32">
        <v>2004</v>
      </c>
      <c r="G497" s="26">
        <v>1</v>
      </c>
      <c r="H497" s="33">
        <v>27.33</v>
      </c>
      <c r="I497" s="47">
        <v>112</v>
      </c>
    </row>
    <row r="498" spans="2:9" customFormat="1" ht="15.75" x14ac:dyDescent="0.25">
      <c r="B498" s="106" t="s">
        <v>126</v>
      </c>
      <c r="C498" s="44" t="s">
        <v>251</v>
      </c>
      <c r="D498" s="31" t="s">
        <v>4</v>
      </c>
      <c r="E498" s="31" t="s">
        <v>72</v>
      </c>
      <c r="F498" s="52">
        <v>41019</v>
      </c>
      <c r="G498" s="26">
        <v>1</v>
      </c>
      <c r="H498" s="37">
        <v>20.55</v>
      </c>
      <c r="I498" s="34">
        <v>97.96</v>
      </c>
    </row>
    <row r="499" spans="2:9" customFormat="1" ht="15.75" x14ac:dyDescent="0.25">
      <c r="B499" s="106" t="s">
        <v>126</v>
      </c>
      <c r="C499" s="29" t="s">
        <v>421</v>
      </c>
      <c r="D499" s="31" t="s">
        <v>4</v>
      </c>
      <c r="E499" s="31" t="s">
        <v>72</v>
      </c>
      <c r="F499" s="85">
        <v>41261</v>
      </c>
      <c r="G499" s="26">
        <v>1</v>
      </c>
      <c r="H499" s="37">
        <v>7.98</v>
      </c>
      <c r="I499" s="34">
        <v>40.26</v>
      </c>
    </row>
    <row r="500" spans="2:9" customFormat="1" ht="15.75" x14ac:dyDescent="0.25">
      <c r="B500" s="106" t="s">
        <v>126</v>
      </c>
      <c r="C500" s="29" t="s">
        <v>286</v>
      </c>
      <c r="D500" s="31" t="s">
        <v>4</v>
      </c>
      <c r="E500" s="31" t="s">
        <v>72</v>
      </c>
      <c r="F500" s="85">
        <f>F499</f>
        <v>41261</v>
      </c>
      <c r="G500" s="26">
        <v>1</v>
      </c>
      <c r="H500" s="37">
        <v>7.12</v>
      </c>
      <c r="I500" s="47">
        <v>40.159999999999997</v>
      </c>
    </row>
    <row r="501" spans="2:9" customFormat="1" ht="15.75" x14ac:dyDescent="0.25">
      <c r="B501" s="106" t="s">
        <v>126</v>
      </c>
      <c r="C501" s="29" t="s">
        <v>313</v>
      </c>
      <c r="D501" s="31" t="s">
        <v>4</v>
      </c>
      <c r="E501" s="44" t="s">
        <v>71</v>
      </c>
      <c r="F501" s="185">
        <v>40760</v>
      </c>
      <c r="G501" s="26">
        <v>1</v>
      </c>
      <c r="H501" s="64">
        <v>3.03</v>
      </c>
      <c r="I501" s="46">
        <v>22</v>
      </c>
    </row>
    <row r="502" spans="2:9" customFormat="1" ht="15.75" x14ac:dyDescent="0.25">
      <c r="B502" s="106" t="s">
        <v>126</v>
      </c>
      <c r="C502" s="44" t="s">
        <v>520</v>
      </c>
      <c r="D502" s="31" t="s">
        <v>4</v>
      </c>
      <c r="E502" s="31" t="s">
        <v>72</v>
      </c>
      <c r="F502" s="185">
        <v>41187</v>
      </c>
      <c r="G502" s="26">
        <v>1</v>
      </c>
      <c r="H502" s="95">
        <v>35.630000000000003</v>
      </c>
      <c r="I502" s="46">
        <v>151</v>
      </c>
    </row>
    <row r="503" spans="2:9" customFormat="1" ht="15.75" x14ac:dyDescent="0.25">
      <c r="B503" s="106" t="s">
        <v>126</v>
      </c>
      <c r="C503" s="29" t="s">
        <v>441</v>
      </c>
      <c r="D503" s="31" t="s">
        <v>4</v>
      </c>
      <c r="E503" s="31" t="s">
        <v>72</v>
      </c>
      <c r="F503" s="32">
        <v>2009</v>
      </c>
      <c r="G503" s="26">
        <v>1</v>
      </c>
      <c r="H503" s="37">
        <v>30.1</v>
      </c>
      <c r="I503" s="34">
        <v>137</v>
      </c>
    </row>
    <row r="504" spans="2:9" customFormat="1" ht="15.75" x14ac:dyDescent="0.25">
      <c r="B504" s="106" t="s">
        <v>126</v>
      </c>
      <c r="C504" s="44" t="s">
        <v>445</v>
      </c>
      <c r="D504" s="31" t="s">
        <v>4</v>
      </c>
      <c r="E504" s="31" t="s">
        <v>69</v>
      </c>
      <c r="F504" s="85">
        <v>41615</v>
      </c>
      <c r="G504" s="26">
        <v>1</v>
      </c>
      <c r="H504" s="95">
        <v>27.234000000000002</v>
      </c>
      <c r="I504" s="47">
        <v>80</v>
      </c>
    </row>
    <row r="505" spans="2:9" customFormat="1" ht="15.75" x14ac:dyDescent="0.25">
      <c r="B505" s="106" t="s">
        <v>126</v>
      </c>
      <c r="C505" s="29" t="s">
        <v>356</v>
      </c>
      <c r="D505" s="31" t="s">
        <v>4</v>
      </c>
      <c r="E505" s="31" t="s">
        <v>72</v>
      </c>
      <c r="F505" s="43">
        <v>41201</v>
      </c>
      <c r="G505" s="26">
        <v>1</v>
      </c>
      <c r="H505" s="37">
        <v>6.7439999999999998</v>
      </c>
      <c r="I505" s="47">
        <v>18</v>
      </c>
    </row>
    <row r="506" spans="2:9" customFormat="1" ht="15.75" x14ac:dyDescent="0.25">
      <c r="B506" s="144" t="s">
        <v>126</v>
      </c>
      <c r="C506" s="56" t="s">
        <v>730</v>
      </c>
      <c r="D506" s="58" t="s">
        <v>4</v>
      </c>
      <c r="E506" s="58" t="s">
        <v>72</v>
      </c>
      <c r="F506" s="85">
        <v>42363</v>
      </c>
      <c r="G506" s="60">
        <v>1</v>
      </c>
      <c r="H506" s="33">
        <v>2.74</v>
      </c>
      <c r="I506" s="61">
        <v>5.74</v>
      </c>
    </row>
    <row r="507" spans="2:9" customFormat="1" ht="15.75" x14ac:dyDescent="0.25">
      <c r="B507" s="144" t="s">
        <v>126</v>
      </c>
      <c r="C507" s="56" t="s">
        <v>731</v>
      </c>
      <c r="D507" s="58" t="s">
        <v>4</v>
      </c>
      <c r="E507" s="58" t="s">
        <v>72</v>
      </c>
      <c r="F507" s="85">
        <v>42324</v>
      </c>
      <c r="G507" s="60">
        <v>1</v>
      </c>
      <c r="H507" s="33">
        <v>15</v>
      </c>
      <c r="I507" s="61">
        <v>25</v>
      </c>
    </row>
    <row r="508" spans="2:9" customFormat="1" ht="15.75" x14ac:dyDescent="0.25">
      <c r="B508" s="110" t="s">
        <v>141</v>
      </c>
      <c r="C508" s="39" t="s">
        <v>187</v>
      </c>
      <c r="D508" s="111" t="s">
        <v>140</v>
      </c>
      <c r="E508" s="31" t="s">
        <v>69</v>
      </c>
      <c r="F508" s="40">
        <v>2000</v>
      </c>
      <c r="G508" s="26">
        <v>1</v>
      </c>
      <c r="H508" s="41">
        <v>672</v>
      </c>
      <c r="I508" s="42">
        <v>2516</v>
      </c>
    </row>
    <row r="509" spans="2:9" customFormat="1" ht="15.75" x14ac:dyDescent="0.25">
      <c r="B509" s="103" t="s">
        <v>127</v>
      </c>
      <c r="C509" s="29" t="s">
        <v>319</v>
      </c>
      <c r="D509" s="29" t="s">
        <v>23</v>
      </c>
      <c r="E509" s="31" t="s">
        <v>72</v>
      </c>
      <c r="F509" s="85">
        <v>40606</v>
      </c>
      <c r="G509" s="26">
        <v>1</v>
      </c>
      <c r="H509" s="37">
        <v>22.92</v>
      </c>
      <c r="I509" s="47">
        <v>78</v>
      </c>
    </row>
    <row r="510" spans="2:9" customFormat="1" ht="15.75" x14ac:dyDescent="0.25">
      <c r="B510" s="103" t="s">
        <v>127</v>
      </c>
      <c r="C510" s="29" t="s">
        <v>516</v>
      </c>
      <c r="D510" s="29" t="s">
        <v>23</v>
      </c>
      <c r="E510" s="31" t="s">
        <v>72</v>
      </c>
      <c r="F510" s="32">
        <v>2010</v>
      </c>
      <c r="G510" s="26">
        <v>1</v>
      </c>
      <c r="H510" s="37">
        <v>12.298999999999999</v>
      </c>
      <c r="I510" s="34">
        <v>36</v>
      </c>
    </row>
    <row r="511" spans="2:9" customFormat="1" ht="15.75" x14ac:dyDescent="0.25">
      <c r="B511" s="110" t="s">
        <v>127</v>
      </c>
      <c r="C511" s="29" t="s">
        <v>546</v>
      </c>
      <c r="D511" s="111" t="s">
        <v>23</v>
      </c>
      <c r="E511" s="31" t="s">
        <v>576</v>
      </c>
      <c r="F511" s="43">
        <v>41977</v>
      </c>
      <c r="G511" s="26">
        <v>1</v>
      </c>
      <c r="H511" s="37">
        <v>11.933999999999999</v>
      </c>
      <c r="I511" s="34">
        <v>36.094999999999999</v>
      </c>
    </row>
    <row r="512" spans="2:9" customFormat="1" ht="15.75" x14ac:dyDescent="0.25">
      <c r="B512" s="126" t="s">
        <v>128</v>
      </c>
      <c r="C512" s="29" t="s">
        <v>420</v>
      </c>
      <c r="D512" s="44" t="s">
        <v>13</v>
      </c>
      <c r="E512" s="31" t="s">
        <v>69</v>
      </c>
      <c r="F512" s="85">
        <v>41278</v>
      </c>
      <c r="G512" s="26">
        <v>1</v>
      </c>
      <c r="H512" s="33">
        <v>52</v>
      </c>
      <c r="I512" s="63">
        <v>225.34</v>
      </c>
    </row>
    <row r="513" spans="1:9" customFormat="1" ht="15.75" x14ac:dyDescent="0.25">
      <c r="B513" s="103" t="s">
        <v>139</v>
      </c>
      <c r="C513" s="29" t="s">
        <v>388</v>
      </c>
      <c r="D513" s="29" t="s">
        <v>57</v>
      </c>
      <c r="E513" s="31" t="s">
        <v>69</v>
      </c>
      <c r="F513" s="43">
        <v>40645</v>
      </c>
      <c r="G513" s="26">
        <v>1</v>
      </c>
      <c r="H513" s="64">
        <v>275.52</v>
      </c>
      <c r="I513" s="61">
        <v>881.21</v>
      </c>
    </row>
    <row r="514" spans="1:9" customFormat="1" ht="15.75" x14ac:dyDescent="0.25">
      <c r="B514" s="103" t="s">
        <v>139</v>
      </c>
      <c r="C514" s="29" t="s">
        <v>311</v>
      </c>
      <c r="D514" s="29" t="s">
        <v>57</v>
      </c>
      <c r="E514" s="31" t="s">
        <v>72</v>
      </c>
      <c r="F514" s="43">
        <v>41596</v>
      </c>
      <c r="G514" s="26">
        <v>1</v>
      </c>
      <c r="H514" s="37">
        <v>46.11</v>
      </c>
      <c r="I514" s="47">
        <v>150.61000000000001</v>
      </c>
    </row>
    <row r="515" spans="1:9" customFormat="1" ht="15.75" x14ac:dyDescent="0.25">
      <c r="B515" s="154" t="s">
        <v>139</v>
      </c>
      <c r="C515" s="155" t="s">
        <v>544</v>
      </c>
      <c r="D515" s="155" t="s">
        <v>57</v>
      </c>
      <c r="E515" s="156" t="s">
        <v>576</v>
      </c>
      <c r="F515" s="85">
        <v>42111</v>
      </c>
      <c r="G515" s="26">
        <v>1</v>
      </c>
      <c r="H515" s="157">
        <v>21.27</v>
      </c>
      <c r="I515" s="158">
        <v>58.48</v>
      </c>
    </row>
    <row r="516" spans="1:9" customFormat="1" ht="16.5" thickBot="1" x14ac:dyDescent="0.3">
      <c r="B516" s="159" t="s">
        <v>139</v>
      </c>
      <c r="C516" s="160" t="s">
        <v>732</v>
      </c>
      <c r="D516" s="161" t="s">
        <v>57</v>
      </c>
      <c r="E516" s="162" t="s">
        <v>576</v>
      </c>
      <c r="F516" s="163">
        <v>1957</v>
      </c>
      <c r="G516" s="164">
        <v>1</v>
      </c>
      <c r="H516" s="165">
        <v>1.5840000000000001</v>
      </c>
      <c r="I516" s="166">
        <v>7</v>
      </c>
    </row>
    <row r="517" spans="1:9" ht="20.100000000000001" customHeight="1" x14ac:dyDescent="0.25">
      <c r="A517" s="9" t="s">
        <v>535</v>
      </c>
      <c r="G517" s="2"/>
      <c r="H517" s="180">
        <f>SUM(H4:H516)</f>
        <v>13791.869800000008</v>
      </c>
      <c r="I517" s="180">
        <f>SUM(I4:I516)</f>
        <v>47501.304000000026</v>
      </c>
    </row>
    <row r="518" spans="1:9" ht="20.100000000000001" customHeight="1" x14ac:dyDescent="0.25">
      <c r="A518" s="9" t="s">
        <v>536</v>
      </c>
      <c r="G518" s="2"/>
      <c r="H518" s="180">
        <f>SUM(H4:H517)-H517</f>
        <v>13791.869800000008</v>
      </c>
      <c r="I518" s="180">
        <f>SUM(I4:I517)-I517</f>
        <v>47501.304000000026</v>
      </c>
    </row>
    <row r="521" spans="1:9" ht="20.100000000000001" customHeight="1" x14ac:dyDescent="0.25">
      <c r="F521" s="4"/>
      <c r="G521" s="4"/>
    </row>
    <row r="522" spans="1:9" ht="20.100000000000001" customHeight="1" x14ac:dyDescent="0.25">
      <c r="F522" s="4"/>
      <c r="G522" s="4"/>
    </row>
  </sheetData>
  <autoFilter ref="B3:I518">
    <sortState ref="B4:I536">
      <sortCondition ref="B3:B459"/>
    </sortState>
  </autoFilter>
  <mergeCells count="7">
    <mergeCell ref="H347:H348"/>
    <mergeCell ref="I347:I348"/>
    <mergeCell ref="B2:I2"/>
    <mergeCell ref="H13:H14"/>
    <mergeCell ref="I13:I14"/>
    <mergeCell ref="H287:H288"/>
    <mergeCell ref="I287:I288"/>
  </mergeCells>
  <conditionalFormatting sqref="H469:I469 H473:I476 H478:I515">
    <cfRule type="cellIs" dxfId="8106" priority="9" stopIfTrue="1" operator="equal">
      <formula>0</formula>
    </cfRule>
    <cfRule type="cellIs" dxfId="8105" priority="10" stopIfTrue="1" operator="equal">
      <formula>""</formula>
    </cfRule>
  </conditionalFormatting>
  <conditionalFormatting sqref="H516:I516">
    <cfRule type="cellIs" dxfId="8104" priority="3" stopIfTrue="1" operator="equal">
      <formula>0</formula>
    </cfRule>
    <cfRule type="cellIs" dxfId="8103" priority="4" stopIfTrue="1" operator="equal">
      <formula>""</formula>
    </cfRule>
  </conditionalFormatting>
  <conditionalFormatting sqref="H477:I477">
    <cfRule type="cellIs" dxfId="8102" priority="1" stopIfTrue="1" operator="equal">
      <formula>0</formula>
    </cfRule>
    <cfRule type="cellIs" dxfId="8101" priority="2" stopIfTrue="1" operator="equal">
      <formula>""</formula>
    </cfRule>
  </conditionalFormatting>
  <printOptions horizontalCentered="1"/>
  <pageMargins left="0.51181102362204722" right="0.31496062992125984" top="0.74803149606299213" bottom="0.74803149606299213" header="0.31496062992125984" footer="0.31496062992125984"/>
  <pageSetup paperSize="9" scale="47" orientation="portrait" r:id="rId1"/>
  <rowBreaks count="5" manualBreakCount="5">
    <brk id="88" max="9" man="1"/>
    <brk id="182" max="9" man="1"/>
    <brk id="281" max="9" man="1"/>
    <brk id="376" max="9" man="1"/>
    <brk id="460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7"/>
  <sheetViews>
    <sheetView topLeftCell="C75" workbookViewId="0">
      <selection activeCell="M96" sqref="M96"/>
    </sheetView>
  </sheetViews>
  <sheetFormatPr defaultRowHeight="15" x14ac:dyDescent="0.25"/>
  <cols>
    <col min="1" max="1" width="16" customWidth="1"/>
    <col min="2" max="2" width="39.140625" customWidth="1"/>
    <col min="3" max="3" width="25.5703125" customWidth="1"/>
    <col min="5" max="5" width="12.140625" customWidth="1"/>
    <col min="7" max="8" width="12.7109375" customWidth="1"/>
    <col min="10" max="10" width="23" customWidth="1"/>
    <col min="11" max="11" width="26.7109375" customWidth="1"/>
    <col min="12" max="12" width="9.140625" customWidth="1"/>
    <col min="13" max="13" width="25.7109375" customWidth="1"/>
    <col min="14" max="14" width="31" customWidth="1"/>
    <col min="15" max="15" width="12.140625" style="216" customWidth="1"/>
  </cols>
  <sheetData>
    <row r="1" spans="1:18" ht="79.5" thickBot="1" x14ac:dyDescent="0.3">
      <c r="A1" s="10" t="s">
        <v>534</v>
      </c>
      <c r="B1" s="5" t="s">
        <v>142</v>
      </c>
      <c r="C1" s="6" t="s">
        <v>65</v>
      </c>
      <c r="D1" s="7" t="s">
        <v>66</v>
      </c>
      <c r="E1" s="8" t="s">
        <v>67</v>
      </c>
      <c r="F1" s="8" t="s">
        <v>581</v>
      </c>
      <c r="G1" s="19" t="s">
        <v>143</v>
      </c>
      <c r="H1" s="20" t="s">
        <v>68</v>
      </c>
      <c r="I1" s="11"/>
      <c r="J1" s="172" t="s">
        <v>65</v>
      </c>
      <c r="K1" s="173" t="s">
        <v>143</v>
      </c>
      <c r="L1" s="173" t="s">
        <v>581</v>
      </c>
      <c r="M1" s="173" t="s">
        <v>65</v>
      </c>
      <c r="N1" s="174" t="s">
        <v>537</v>
      </c>
      <c r="O1" s="202" t="s">
        <v>67</v>
      </c>
      <c r="P1" s="199" t="s">
        <v>738</v>
      </c>
      <c r="Q1" s="199" t="s">
        <v>739</v>
      </c>
      <c r="R1" s="198"/>
    </row>
    <row r="2" spans="1:18" ht="15.75" x14ac:dyDescent="0.25">
      <c r="A2" s="21" t="s">
        <v>76</v>
      </c>
      <c r="B2" s="22" t="s">
        <v>386</v>
      </c>
      <c r="C2" s="23" t="s">
        <v>11</v>
      </c>
      <c r="D2" s="24" t="s">
        <v>69</v>
      </c>
      <c r="E2" s="25">
        <v>1998</v>
      </c>
      <c r="F2" s="26">
        <v>1</v>
      </c>
      <c r="G2" s="27">
        <v>10.6</v>
      </c>
      <c r="H2" s="28">
        <v>47</v>
      </c>
      <c r="I2" s="11"/>
      <c r="J2" s="168" t="s">
        <v>11</v>
      </c>
      <c r="K2" s="169">
        <f>SUMIF(C:C,J2,G:G)</f>
        <v>15.2</v>
      </c>
      <c r="L2" s="169">
        <f t="shared" ref="L2:L33" si="0">SUMIF(C:C,J2,F:F)</f>
        <v>2</v>
      </c>
      <c r="M2" s="170" t="s">
        <v>11</v>
      </c>
      <c r="N2" s="171">
        <f>SUMIF(C:C,M2,H:H)</f>
        <v>67.66</v>
      </c>
      <c r="O2" s="203">
        <v>1998</v>
      </c>
      <c r="P2" s="200">
        <v>1924</v>
      </c>
      <c r="Q2" s="200">
        <f>SUMIF($O:$O,P2,$F:$F)</f>
        <v>1</v>
      </c>
    </row>
    <row r="3" spans="1:18" ht="15.75" x14ac:dyDescent="0.25">
      <c r="A3" s="21" t="s">
        <v>76</v>
      </c>
      <c r="B3" s="29" t="s">
        <v>411</v>
      </c>
      <c r="C3" s="30" t="s">
        <v>11</v>
      </c>
      <c r="D3" s="31" t="s">
        <v>69</v>
      </c>
      <c r="E3" s="32">
        <v>2006</v>
      </c>
      <c r="F3" s="26">
        <v>1</v>
      </c>
      <c r="G3" s="33">
        <v>4.5999999999999996</v>
      </c>
      <c r="H3" s="34">
        <v>20.66</v>
      </c>
      <c r="I3" s="11"/>
      <c r="J3" s="167" t="s">
        <v>10</v>
      </c>
      <c r="K3" s="169">
        <f t="shared" ref="K3:K66" si="1">SUMIF(C:C,J3,G:G)</f>
        <v>44.02</v>
      </c>
      <c r="L3" s="169">
        <f t="shared" si="0"/>
        <v>4</v>
      </c>
      <c r="M3" s="13" t="s">
        <v>10</v>
      </c>
      <c r="N3" s="171">
        <f t="shared" ref="N3:N66" si="2">SUMIF(C:C,M3,H:H)</f>
        <v>163.34999999999997</v>
      </c>
      <c r="O3" s="201">
        <v>2006</v>
      </c>
      <c r="P3" s="200">
        <v>1925</v>
      </c>
      <c r="Q3" s="200">
        <f t="shared" ref="Q3:Q66" si="3">SUMIF($O:$O,P3,$F:$F)</f>
        <v>0</v>
      </c>
    </row>
    <row r="4" spans="1:18" ht="15.75" x14ac:dyDescent="0.25">
      <c r="A4" s="35" t="s">
        <v>77</v>
      </c>
      <c r="B4" s="29" t="s">
        <v>203</v>
      </c>
      <c r="C4" s="36" t="s">
        <v>10</v>
      </c>
      <c r="D4" s="31" t="s">
        <v>72</v>
      </c>
      <c r="E4" s="32">
        <v>2009</v>
      </c>
      <c r="F4" s="26">
        <v>1</v>
      </c>
      <c r="G4" s="37">
        <v>28.78</v>
      </c>
      <c r="H4" s="34">
        <v>94.88</v>
      </c>
      <c r="I4" s="11"/>
      <c r="J4" s="167" t="s">
        <v>22</v>
      </c>
      <c r="K4" s="169">
        <f t="shared" si="1"/>
        <v>106.557</v>
      </c>
      <c r="L4" s="169">
        <f t="shared" si="0"/>
        <v>11</v>
      </c>
      <c r="M4" s="13" t="s">
        <v>22</v>
      </c>
      <c r="N4" s="171">
        <f t="shared" si="2"/>
        <v>327.84399999999999</v>
      </c>
      <c r="O4" s="201">
        <v>2009</v>
      </c>
      <c r="P4" s="200">
        <v>1926</v>
      </c>
      <c r="Q4" s="200">
        <f t="shared" si="3"/>
        <v>0</v>
      </c>
    </row>
    <row r="5" spans="1:18" ht="15.75" x14ac:dyDescent="0.25">
      <c r="A5" s="35" t="s">
        <v>77</v>
      </c>
      <c r="B5" s="29" t="s">
        <v>215</v>
      </c>
      <c r="C5" s="36" t="s">
        <v>10</v>
      </c>
      <c r="D5" s="31" t="s">
        <v>72</v>
      </c>
      <c r="E5" s="32">
        <v>2006</v>
      </c>
      <c r="F5" s="26">
        <v>1</v>
      </c>
      <c r="G5" s="37">
        <v>0.55000000000000004</v>
      </c>
      <c r="H5" s="34">
        <v>4.2699999999999996</v>
      </c>
      <c r="I5" s="11"/>
      <c r="J5" s="167" t="s">
        <v>48</v>
      </c>
      <c r="K5" s="169">
        <f t="shared" si="1"/>
        <v>190.56299999999999</v>
      </c>
      <c r="L5" s="169">
        <f t="shared" si="0"/>
        <v>13</v>
      </c>
      <c r="M5" s="13" t="s">
        <v>48</v>
      </c>
      <c r="N5" s="171">
        <f t="shared" si="2"/>
        <v>797.7</v>
      </c>
      <c r="O5" s="201">
        <v>2006</v>
      </c>
      <c r="P5" s="200">
        <v>1927</v>
      </c>
      <c r="Q5" s="200">
        <f t="shared" si="3"/>
        <v>0</v>
      </c>
    </row>
    <row r="6" spans="1:18" ht="15.75" x14ac:dyDescent="0.25">
      <c r="A6" s="35" t="s">
        <v>77</v>
      </c>
      <c r="B6" s="29" t="s">
        <v>264</v>
      </c>
      <c r="C6" s="36" t="s">
        <v>10</v>
      </c>
      <c r="D6" s="31" t="s">
        <v>72</v>
      </c>
      <c r="E6" s="32">
        <v>2004</v>
      </c>
      <c r="F6" s="26">
        <v>1</v>
      </c>
      <c r="G6" s="37">
        <v>8.84</v>
      </c>
      <c r="H6" s="34">
        <v>41</v>
      </c>
      <c r="I6" s="11"/>
      <c r="J6" s="167" t="s">
        <v>81</v>
      </c>
      <c r="K6" s="169">
        <f t="shared" si="1"/>
        <v>3</v>
      </c>
      <c r="L6" s="169">
        <f t="shared" si="0"/>
        <v>1</v>
      </c>
      <c r="M6" s="13" t="s">
        <v>81</v>
      </c>
      <c r="N6" s="171">
        <f t="shared" si="2"/>
        <v>22.3</v>
      </c>
      <c r="O6" s="201">
        <v>2004</v>
      </c>
      <c r="P6" s="200">
        <v>1928</v>
      </c>
      <c r="Q6" s="200">
        <f t="shared" si="3"/>
        <v>1</v>
      </c>
    </row>
    <row r="7" spans="1:18" ht="15.75" x14ac:dyDescent="0.25">
      <c r="A7" s="35" t="s">
        <v>77</v>
      </c>
      <c r="B7" s="29" t="s">
        <v>351</v>
      </c>
      <c r="C7" s="36" t="s">
        <v>10</v>
      </c>
      <c r="D7" s="31" t="s">
        <v>72</v>
      </c>
      <c r="E7" s="32">
        <v>2009</v>
      </c>
      <c r="F7" s="26">
        <v>1</v>
      </c>
      <c r="G7" s="37">
        <v>5.85</v>
      </c>
      <c r="H7" s="34">
        <v>23.2</v>
      </c>
      <c r="I7" s="11"/>
      <c r="J7" s="167" t="s">
        <v>45</v>
      </c>
      <c r="K7" s="169">
        <f t="shared" si="1"/>
        <v>16.579999999999998</v>
      </c>
      <c r="L7" s="169">
        <f t="shared" si="0"/>
        <v>3</v>
      </c>
      <c r="M7" s="13" t="s">
        <v>45</v>
      </c>
      <c r="N7" s="171">
        <f t="shared" si="2"/>
        <v>67.91</v>
      </c>
      <c r="O7" s="201">
        <v>2009</v>
      </c>
      <c r="P7" s="200">
        <v>1929</v>
      </c>
      <c r="Q7" s="200">
        <f t="shared" si="3"/>
        <v>1</v>
      </c>
    </row>
    <row r="8" spans="1:18" ht="15.75" x14ac:dyDescent="0.25">
      <c r="A8" s="38" t="s">
        <v>78</v>
      </c>
      <c r="B8" s="39" t="s">
        <v>194</v>
      </c>
      <c r="C8" s="30" t="s">
        <v>22</v>
      </c>
      <c r="D8" s="31" t="s">
        <v>72</v>
      </c>
      <c r="E8" s="40">
        <v>2001</v>
      </c>
      <c r="F8" s="26">
        <v>1</v>
      </c>
      <c r="G8" s="41">
        <v>2.2000000000000002</v>
      </c>
      <c r="H8" s="42">
        <v>11.75</v>
      </c>
      <c r="I8" s="11"/>
      <c r="J8" s="167" t="s">
        <v>19</v>
      </c>
      <c r="K8" s="169">
        <f t="shared" si="1"/>
        <v>190.03400000000002</v>
      </c>
      <c r="L8" s="169">
        <f t="shared" si="0"/>
        <v>13</v>
      </c>
      <c r="M8" s="13" t="s">
        <v>19</v>
      </c>
      <c r="N8" s="171">
        <f t="shared" si="2"/>
        <v>668.54000000000008</v>
      </c>
      <c r="O8" s="204">
        <v>2001</v>
      </c>
      <c r="P8" s="200">
        <v>1930</v>
      </c>
      <c r="Q8" s="200">
        <f t="shared" si="3"/>
        <v>0</v>
      </c>
    </row>
    <row r="9" spans="1:18" ht="15.75" x14ac:dyDescent="0.25">
      <c r="A9" s="38" t="s">
        <v>78</v>
      </c>
      <c r="B9" s="29" t="s">
        <v>202</v>
      </c>
      <c r="C9" s="30" t="s">
        <v>22</v>
      </c>
      <c r="D9" s="31" t="s">
        <v>72</v>
      </c>
      <c r="E9" s="43">
        <v>41556</v>
      </c>
      <c r="F9" s="26">
        <v>1</v>
      </c>
      <c r="G9" s="37">
        <v>12.502000000000001</v>
      </c>
      <c r="H9" s="34">
        <v>45.5</v>
      </c>
      <c r="I9" s="11"/>
      <c r="J9" s="167" t="s">
        <v>28</v>
      </c>
      <c r="K9" s="169">
        <f t="shared" si="1"/>
        <v>160</v>
      </c>
      <c r="L9" s="169">
        <f t="shared" si="0"/>
        <v>1</v>
      </c>
      <c r="M9" s="13" t="s">
        <v>28</v>
      </c>
      <c r="N9" s="171">
        <f t="shared" si="2"/>
        <v>400</v>
      </c>
      <c r="O9" s="204">
        <v>2013</v>
      </c>
      <c r="P9" s="200">
        <v>1931</v>
      </c>
      <c r="Q9" s="200">
        <f t="shared" si="3"/>
        <v>0</v>
      </c>
    </row>
    <row r="10" spans="1:18" ht="15.75" x14ac:dyDescent="0.25">
      <c r="A10" s="38" t="s">
        <v>78</v>
      </c>
      <c r="B10" s="44" t="s">
        <v>205</v>
      </c>
      <c r="C10" s="30" t="s">
        <v>22</v>
      </c>
      <c r="D10" s="31" t="s">
        <v>72</v>
      </c>
      <c r="E10" s="43">
        <v>41556</v>
      </c>
      <c r="F10" s="26">
        <v>1</v>
      </c>
      <c r="G10" s="45">
        <v>13.81</v>
      </c>
      <c r="H10" s="46">
        <v>39.89</v>
      </c>
      <c r="I10" s="11"/>
      <c r="J10" s="167" t="s">
        <v>15</v>
      </c>
      <c r="K10" s="169">
        <f t="shared" si="1"/>
        <v>21.876999999999999</v>
      </c>
      <c r="L10" s="169">
        <f t="shared" si="0"/>
        <v>3</v>
      </c>
      <c r="M10" s="13" t="s">
        <v>15</v>
      </c>
      <c r="N10" s="171">
        <f t="shared" si="2"/>
        <v>122.11</v>
      </c>
      <c r="O10" s="204">
        <v>2013</v>
      </c>
      <c r="P10" s="200">
        <v>1932</v>
      </c>
      <c r="Q10" s="200">
        <f t="shared" si="3"/>
        <v>0</v>
      </c>
    </row>
    <row r="11" spans="1:18" ht="15.75" x14ac:dyDescent="0.25">
      <c r="A11" s="38" t="s">
        <v>78</v>
      </c>
      <c r="B11" s="29" t="s">
        <v>219</v>
      </c>
      <c r="C11" s="30" t="s">
        <v>22</v>
      </c>
      <c r="D11" s="31" t="s">
        <v>72</v>
      </c>
      <c r="E11" s="32">
        <v>1997</v>
      </c>
      <c r="F11" s="26">
        <v>1</v>
      </c>
      <c r="G11" s="224">
        <v>3.15</v>
      </c>
      <c r="H11" s="226">
        <v>16</v>
      </c>
      <c r="I11" s="11"/>
      <c r="J11" s="167" t="s">
        <v>43</v>
      </c>
      <c r="K11" s="169">
        <f t="shared" si="1"/>
        <v>0.38</v>
      </c>
      <c r="L11" s="169">
        <f t="shared" si="0"/>
        <v>1</v>
      </c>
      <c r="M11" s="13" t="s">
        <v>43</v>
      </c>
      <c r="N11" s="171">
        <f t="shared" si="2"/>
        <v>1.44</v>
      </c>
      <c r="O11" s="201">
        <v>1997</v>
      </c>
      <c r="P11" s="200">
        <v>1933</v>
      </c>
      <c r="Q11" s="200">
        <f t="shared" si="3"/>
        <v>0</v>
      </c>
    </row>
    <row r="12" spans="1:18" ht="15.75" x14ac:dyDescent="0.25">
      <c r="A12" s="38" t="s">
        <v>78</v>
      </c>
      <c r="B12" s="29" t="s">
        <v>493</v>
      </c>
      <c r="C12" s="30" t="s">
        <v>22</v>
      </c>
      <c r="D12" s="31" t="s">
        <v>72</v>
      </c>
      <c r="E12" s="32">
        <v>1997</v>
      </c>
      <c r="F12" s="26">
        <v>1</v>
      </c>
      <c r="G12" s="225"/>
      <c r="H12" s="227"/>
      <c r="I12" s="11"/>
      <c r="J12" s="167" t="s">
        <v>55</v>
      </c>
      <c r="K12" s="169">
        <f t="shared" si="1"/>
        <v>49.584000000000003</v>
      </c>
      <c r="L12" s="169">
        <f t="shared" si="0"/>
        <v>5</v>
      </c>
      <c r="M12" s="13" t="s">
        <v>55</v>
      </c>
      <c r="N12" s="171">
        <f t="shared" si="2"/>
        <v>277.39</v>
      </c>
      <c r="O12" s="201">
        <v>1997</v>
      </c>
      <c r="P12" s="200">
        <v>1934</v>
      </c>
      <c r="Q12" s="200">
        <f t="shared" si="3"/>
        <v>1</v>
      </c>
    </row>
    <row r="13" spans="1:18" ht="15.75" x14ac:dyDescent="0.25">
      <c r="A13" s="38" t="s">
        <v>78</v>
      </c>
      <c r="B13" s="29" t="s">
        <v>404</v>
      </c>
      <c r="C13" s="30" t="s">
        <v>22</v>
      </c>
      <c r="D13" s="31" t="s">
        <v>69</v>
      </c>
      <c r="E13" s="32">
        <v>2010</v>
      </c>
      <c r="F13" s="26">
        <v>1</v>
      </c>
      <c r="G13" s="37">
        <v>28.72</v>
      </c>
      <c r="H13" s="47">
        <v>88.1</v>
      </c>
      <c r="I13" s="11"/>
      <c r="J13" s="167" t="s">
        <v>24</v>
      </c>
      <c r="K13" s="169">
        <f t="shared" si="1"/>
        <v>84.734000000000009</v>
      </c>
      <c r="L13" s="169">
        <f t="shared" si="0"/>
        <v>6</v>
      </c>
      <c r="M13" s="13" t="s">
        <v>24</v>
      </c>
      <c r="N13" s="171">
        <f t="shared" si="2"/>
        <v>290.97000000000003</v>
      </c>
      <c r="O13" s="201">
        <v>2010</v>
      </c>
      <c r="P13" s="200">
        <v>1935</v>
      </c>
      <c r="Q13" s="200">
        <f t="shared" si="3"/>
        <v>0</v>
      </c>
    </row>
    <row r="14" spans="1:18" ht="15.75" x14ac:dyDescent="0.25">
      <c r="A14" s="38" t="s">
        <v>78</v>
      </c>
      <c r="B14" s="48" t="s">
        <v>244</v>
      </c>
      <c r="C14" s="30" t="s">
        <v>22</v>
      </c>
      <c r="D14" s="31" t="s">
        <v>72</v>
      </c>
      <c r="E14" s="181">
        <v>41537</v>
      </c>
      <c r="F14" s="26">
        <v>1</v>
      </c>
      <c r="G14" s="50">
        <v>3.0649999999999999</v>
      </c>
      <c r="H14" s="51">
        <v>5.64</v>
      </c>
      <c r="I14" s="11"/>
      <c r="J14" s="167" t="s">
        <v>18</v>
      </c>
      <c r="K14" s="169">
        <f t="shared" si="1"/>
        <v>124.06399999999999</v>
      </c>
      <c r="L14" s="169">
        <f t="shared" si="0"/>
        <v>7</v>
      </c>
      <c r="M14" s="13" t="s">
        <v>18</v>
      </c>
      <c r="N14" s="171">
        <f t="shared" si="2"/>
        <v>367.17</v>
      </c>
      <c r="O14" s="201">
        <v>2013</v>
      </c>
      <c r="P14" s="200">
        <v>1936</v>
      </c>
      <c r="Q14" s="200">
        <f t="shared" si="3"/>
        <v>0</v>
      </c>
    </row>
    <row r="15" spans="1:18" ht="15.75" x14ac:dyDescent="0.25">
      <c r="A15" s="38" t="s">
        <v>78</v>
      </c>
      <c r="B15" s="44" t="s">
        <v>248</v>
      </c>
      <c r="C15" s="30" t="s">
        <v>22</v>
      </c>
      <c r="D15" s="31" t="s">
        <v>72</v>
      </c>
      <c r="E15" s="52">
        <v>41124</v>
      </c>
      <c r="F15" s="26">
        <v>1</v>
      </c>
      <c r="G15" s="53">
        <v>8.44</v>
      </c>
      <c r="H15" s="47">
        <v>30.5</v>
      </c>
      <c r="I15" s="11"/>
      <c r="J15" s="167" t="s">
        <v>6</v>
      </c>
      <c r="K15" s="169">
        <f t="shared" si="1"/>
        <v>27.309000000000001</v>
      </c>
      <c r="L15" s="169">
        <f t="shared" si="0"/>
        <v>2</v>
      </c>
      <c r="M15" s="13" t="s">
        <v>6</v>
      </c>
      <c r="N15" s="171">
        <f t="shared" si="2"/>
        <v>171</v>
      </c>
      <c r="O15" s="201">
        <v>2012</v>
      </c>
      <c r="P15" s="200">
        <v>1937</v>
      </c>
      <c r="Q15" s="200">
        <f t="shared" si="3"/>
        <v>0</v>
      </c>
    </row>
    <row r="16" spans="1:18" ht="15.75" x14ac:dyDescent="0.25">
      <c r="A16" s="38" t="s">
        <v>78</v>
      </c>
      <c r="B16" s="29" t="s">
        <v>250</v>
      </c>
      <c r="C16" s="30" t="s">
        <v>22</v>
      </c>
      <c r="D16" s="31" t="s">
        <v>72</v>
      </c>
      <c r="E16" s="32">
        <f>E13</f>
        <v>2010</v>
      </c>
      <c r="F16" s="26">
        <v>1</v>
      </c>
      <c r="G16" s="37">
        <v>3.66</v>
      </c>
      <c r="H16" s="47">
        <v>14.904</v>
      </c>
      <c r="I16" s="11"/>
      <c r="J16" s="167" t="s">
        <v>44</v>
      </c>
      <c r="K16" s="169">
        <f t="shared" si="1"/>
        <v>19.145</v>
      </c>
      <c r="L16" s="169">
        <f t="shared" si="0"/>
        <v>5</v>
      </c>
      <c r="M16" s="13" t="s">
        <v>44</v>
      </c>
      <c r="N16" s="171">
        <f t="shared" si="2"/>
        <v>86.4</v>
      </c>
      <c r="O16" s="201">
        <f>O13</f>
        <v>2010</v>
      </c>
      <c r="P16" s="200">
        <v>1938</v>
      </c>
      <c r="Q16" s="200">
        <f t="shared" si="3"/>
        <v>2</v>
      </c>
    </row>
    <row r="17" spans="1:17" ht="15.75" x14ac:dyDescent="0.25">
      <c r="A17" s="38" t="s">
        <v>78</v>
      </c>
      <c r="B17" s="29" t="s">
        <v>253</v>
      </c>
      <c r="C17" s="30" t="s">
        <v>22</v>
      </c>
      <c r="D17" s="31" t="s">
        <v>72</v>
      </c>
      <c r="E17" s="32">
        <v>2009</v>
      </c>
      <c r="F17" s="26">
        <v>1</v>
      </c>
      <c r="G17" s="54">
        <v>0.92</v>
      </c>
      <c r="H17" s="47">
        <v>4.38</v>
      </c>
      <c r="I17" s="11"/>
      <c r="J17" s="167" t="s">
        <v>38</v>
      </c>
      <c r="K17" s="169">
        <f t="shared" si="1"/>
        <v>226.00500000000002</v>
      </c>
      <c r="L17" s="169">
        <f t="shared" si="0"/>
        <v>8</v>
      </c>
      <c r="M17" s="13" t="s">
        <v>38</v>
      </c>
      <c r="N17" s="171">
        <f t="shared" si="2"/>
        <v>777.90000000000009</v>
      </c>
      <c r="O17" s="201">
        <v>2009</v>
      </c>
      <c r="P17" s="200">
        <v>1939</v>
      </c>
      <c r="Q17" s="200">
        <f t="shared" si="3"/>
        <v>0</v>
      </c>
    </row>
    <row r="18" spans="1:17" ht="15.75" x14ac:dyDescent="0.25">
      <c r="A18" s="55" t="s">
        <v>78</v>
      </c>
      <c r="B18" s="56" t="s">
        <v>652</v>
      </c>
      <c r="C18" s="57" t="s">
        <v>22</v>
      </c>
      <c r="D18" s="58" t="s">
        <v>69</v>
      </c>
      <c r="E18" s="85">
        <v>42028</v>
      </c>
      <c r="F18" s="60">
        <v>1</v>
      </c>
      <c r="G18" s="53">
        <v>30.09</v>
      </c>
      <c r="H18" s="61">
        <v>71.180000000000007</v>
      </c>
      <c r="I18" s="11"/>
      <c r="J18" s="167" t="s">
        <v>7</v>
      </c>
      <c r="K18" s="169">
        <f t="shared" si="1"/>
        <v>317.233</v>
      </c>
      <c r="L18" s="169">
        <f t="shared" si="0"/>
        <v>21</v>
      </c>
      <c r="M18" s="13" t="s">
        <v>7</v>
      </c>
      <c r="N18" s="171">
        <f t="shared" si="2"/>
        <v>1199.5</v>
      </c>
      <c r="O18" s="201">
        <v>2015</v>
      </c>
      <c r="P18" s="200">
        <v>1940</v>
      </c>
      <c r="Q18" s="200">
        <f t="shared" si="3"/>
        <v>0</v>
      </c>
    </row>
    <row r="19" spans="1:17" ht="15.75" x14ac:dyDescent="0.25">
      <c r="A19" s="38" t="s">
        <v>79</v>
      </c>
      <c r="B19" s="39" t="s">
        <v>195</v>
      </c>
      <c r="C19" s="30" t="s">
        <v>48</v>
      </c>
      <c r="D19" s="31" t="s">
        <v>72</v>
      </c>
      <c r="E19" s="40">
        <v>1999</v>
      </c>
      <c r="F19" s="26">
        <v>1</v>
      </c>
      <c r="G19" s="41">
        <v>16.5</v>
      </c>
      <c r="H19" s="42">
        <v>90</v>
      </c>
      <c r="I19" s="11"/>
      <c r="J19" s="167" t="s">
        <v>35</v>
      </c>
      <c r="K19" s="169">
        <f t="shared" si="1"/>
        <v>50.92</v>
      </c>
      <c r="L19" s="169">
        <f t="shared" si="0"/>
        <v>6</v>
      </c>
      <c r="M19" s="13" t="s">
        <v>35</v>
      </c>
      <c r="N19" s="171">
        <f t="shared" si="2"/>
        <v>171.09</v>
      </c>
      <c r="O19" s="204">
        <v>1999</v>
      </c>
      <c r="P19" s="200">
        <v>1941</v>
      </c>
      <c r="Q19" s="200">
        <f t="shared" si="3"/>
        <v>0</v>
      </c>
    </row>
    <row r="20" spans="1:17" ht="15.75" x14ac:dyDescent="0.25">
      <c r="A20" s="38" t="s">
        <v>79</v>
      </c>
      <c r="B20" s="62" t="s">
        <v>481</v>
      </c>
      <c r="C20" s="30" t="s">
        <v>48</v>
      </c>
      <c r="D20" s="31" t="s">
        <v>72</v>
      </c>
      <c r="E20" s="32">
        <v>2000</v>
      </c>
      <c r="F20" s="26">
        <v>1</v>
      </c>
      <c r="G20" s="37">
        <v>7.5</v>
      </c>
      <c r="H20" s="34">
        <v>30</v>
      </c>
      <c r="I20" s="11"/>
      <c r="J20" s="167" t="s">
        <v>3</v>
      </c>
      <c r="K20" s="169">
        <f t="shared" si="1"/>
        <v>1286.1490000000001</v>
      </c>
      <c r="L20" s="169">
        <f t="shared" si="0"/>
        <v>19</v>
      </c>
      <c r="M20" s="13" t="s">
        <v>3</v>
      </c>
      <c r="N20" s="171">
        <f t="shared" si="2"/>
        <v>4462.2890000000007</v>
      </c>
      <c r="O20" s="201">
        <v>2000</v>
      </c>
      <c r="P20" s="200">
        <v>1942</v>
      </c>
      <c r="Q20" s="200">
        <f t="shared" si="3"/>
        <v>0</v>
      </c>
    </row>
    <row r="21" spans="1:17" ht="15.75" x14ac:dyDescent="0.25">
      <c r="A21" s="38" t="s">
        <v>79</v>
      </c>
      <c r="B21" s="62" t="s">
        <v>482</v>
      </c>
      <c r="C21" s="30" t="s">
        <v>48</v>
      </c>
      <c r="D21" s="31" t="s">
        <v>72</v>
      </c>
      <c r="E21" s="32">
        <v>2001</v>
      </c>
      <c r="F21" s="26">
        <v>1</v>
      </c>
      <c r="G21" s="37">
        <v>7.5</v>
      </c>
      <c r="H21" s="34">
        <v>30</v>
      </c>
      <c r="I21" s="11"/>
      <c r="J21" s="167" t="s">
        <v>47</v>
      </c>
      <c r="K21" s="169">
        <f t="shared" si="1"/>
        <v>430.89400000000001</v>
      </c>
      <c r="L21" s="169">
        <f t="shared" si="0"/>
        <v>20</v>
      </c>
      <c r="M21" s="13" t="s">
        <v>47</v>
      </c>
      <c r="N21" s="171">
        <f t="shared" si="2"/>
        <v>1714.06</v>
      </c>
      <c r="O21" s="201">
        <v>2001</v>
      </c>
      <c r="P21" s="200">
        <v>1943</v>
      </c>
      <c r="Q21" s="200">
        <f t="shared" si="3"/>
        <v>0</v>
      </c>
    </row>
    <row r="22" spans="1:17" ht="15.75" x14ac:dyDescent="0.25">
      <c r="A22" s="38" t="s">
        <v>79</v>
      </c>
      <c r="B22" s="62" t="s">
        <v>483</v>
      </c>
      <c r="C22" s="30" t="s">
        <v>48</v>
      </c>
      <c r="D22" s="31" t="s">
        <v>72</v>
      </c>
      <c r="E22" s="32">
        <v>2002</v>
      </c>
      <c r="F22" s="26">
        <v>1</v>
      </c>
      <c r="G22" s="37">
        <v>7.5</v>
      </c>
      <c r="H22" s="34">
        <v>30</v>
      </c>
      <c r="I22" s="11"/>
      <c r="J22" s="167" t="s">
        <v>33</v>
      </c>
      <c r="K22" s="169">
        <f t="shared" si="1"/>
        <v>14.071999999999999</v>
      </c>
      <c r="L22" s="169">
        <f t="shared" si="0"/>
        <v>2</v>
      </c>
      <c r="M22" s="13" t="s">
        <v>33</v>
      </c>
      <c r="N22" s="171">
        <f t="shared" si="2"/>
        <v>50.67</v>
      </c>
      <c r="O22" s="201">
        <v>2002</v>
      </c>
      <c r="P22" s="200">
        <v>1944</v>
      </c>
      <c r="Q22" s="200">
        <f t="shared" si="3"/>
        <v>0</v>
      </c>
    </row>
    <row r="23" spans="1:17" ht="15.75" x14ac:dyDescent="0.25">
      <c r="A23" s="38" t="s">
        <v>79</v>
      </c>
      <c r="B23" s="62" t="s">
        <v>484</v>
      </c>
      <c r="C23" s="30" t="s">
        <v>48</v>
      </c>
      <c r="D23" s="31" t="s">
        <v>72</v>
      </c>
      <c r="E23" s="32">
        <v>2002</v>
      </c>
      <c r="F23" s="26">
        <v>1</v>
      </c>
      <c r="G23" s="37">
        <v>7.5</v>
      </c>
      <c r="H23" s="34">
        <v>30</v>
      </c>
      <c r="I23" s="11"/>
      <c r="J23" s="167" t="s">
        <v>36</v>
      </c>
      <c r="K23" s="169">
        <f t="shared" si="1"/>
        <v>1072.2703999999999</v>
      </c>
      <c r="L23" s="169">
        <f t="shared" si="0"/>
        <v>32</v>
      </c>
      <c r="M23" s="13" t="s">
        <v>36</v>
      </c>
      <c r="N23" s="171">
        <f t="shared" si="2"/>
        <v>2894.62</v>
      </c>
      <c r="O23" s="201">
        <v>2002</v>
      </c>
      <c r="P23" s="200">
        <v>1945</v>
      </c>
      <c r="Q23" s="200">
        <f t="shared" si="3"/>
        <v>0</v>
      </c>
    </row>
    <row r="24" spans="1:17" ht="15.75" x14ac:dyDescent="0.25">
      <c r="A24" s="38" t="s">
        <v>79</v>
      </c>
      <c r="B24" s="62" t="s">
        <v>485</v>
      </c>
      <c r="C24" s="30" t="s">
        <v>48</v>
      </c>
      <c r="D24" s="31" t="s">
        <v>72</v>
      </c>
      <c r="E24" s="32">
        <v>2003</v>
      </c>
      <c r="F24" s="26">
        <v>1</v>
      </c>
      <c r="G24" s="37">
        <v>7.5</v>
      </c>
      <c r="H24" s="34">
        <v>30</v>
      </c>
      <c r="I24" s="11"/>
      <c r="J24" s="167" t="s">
        <v>53</v>
      </c>
      <c r="K24" s="169">
        <f t="shared" si="1"/>
        <v>821.48800000000006</v>
      </c>
      <c r="L24" s="169">
        <f t="shared" si="0"/>
        <v>16</v>
      </c>
      <c r="M24" s="13" t="s">
        <v>53</v>
      </c>
      <c r="N24" s="171">
        <f t="shared" si="2"/>
        <v>2814.59</v>
      </c>
      <c r="O24" s="201">
        <v>2003</v>
      </c>
      <c r="P24" s="200">
        <v>1946</v>
      </c>
      <c r="Q24" s="200">
        <f t="shared" si="3"/>
        <v>0</v>
      </c>
    </row>
    <row r="25" spans="1:17" ht="15.75" x14ac:dyDescent="0.25">
      <c r="A25" s="38" t="s">
        <v>79</v>
      </c>
      <c r="B25" s="29" t="s">
        <v>488</v>
      </c>
      <c r="C25" s="30" t="s">
        <v>48</v>
      </c>
      <c r="D25" s="31" t="s">
        <v>72</v>
      </c>
      <c r="E25" s="32">
        <v>1998</v>
      </c>
      <c r="F25" s="26">
        <v>1</v>
      </c>
      <c r="G25" s="33">
        <v>0.34</v>
      </c>
      <c r="H25" s="34">
        <v>1.7</v>
      </c>
      <c r="I25" s="11"/>
      <c r="J25" s="167" t="s">
        <v>42</v>
      </c>
      <c r="K25" s="169">
        <f t="shared" si="1"/>
        <v>33.700000000000003</v>
      </c>
      <c r="L25" s="169">
        <f t="shared" si="0"/>
        <v>2</v>
      </c>
      <c r="M25" s="13" t="s">
        <v>42</v>
      </c>
      <c r="N25" s="171">
        <f t="shared" si="2"/>
        <v>146</v>
      </c>
      <c r="O25" s="201">
        <v>1998</v>
      </c>
      <c r="P25" s="200">
        <v>1947</v>
      </c>
      <c r="Q25" s="200">
        <f t="shared" si="3"/>
        <v>0</v>
      </c>
    </row>
    <row r="26" spans="1:17" ht="15.75" x14ac:dyDescent="0.25">
      <c r="A26" s="38" t="s">
        <v>79</v>
      </c>
      <c r="B26" s="29" t="s">
        <v>230</v>
      </c>
      <c r="C26" s="30" t="s">
        <v>48</v>
      </c>
      <c r="D26" s="31" t="s">
        <v>72</v>
      </c>
      <c r="E26" s="32">
        <v>2008</v>
      </c>
      <c r="F26" s="26">
        <v>1</v>
      </c>
      <c r="G26" s="37">
        <v>8.74</v>
      </c>
      <c r="H26" s="34">
        <v>35</v>
      </c>
      <c r="I26" s="11"/>
      <c r="J26" s="167" t="s">
        <v>51</v>
      </c>
      <c r="K26" s="169">
        <f t="shared" si="1"/>
        <v>6.88E-2</v>
      </c>
      <c r="L26" s="169">
        <f t="shared" si="0"/>
        <v>1</v>
      </c>
      <c r="M26" s="13" t="s">
        <v>51</v>
      </c>
      <c r="N26" s="171">
        <f t="shared" si="2"/>
        <v>0.6</v>
      </c>
      <c r="O26" s="201">
        <v>2008</v>
      </c>
      <c r="P26" s="200">
        <v>1948</v>
      </c>
      <c r="Q26" s="200">
        <f t="shared" si="3"/>
        <v>1</v>
      </c>
    </row>
    <row r="27" spans="1:17" ht="15.75" x14ac:dyDescent="0.25">
      <c r="A27" s="38" t="s">
        <v>79</v>
      </c>
      <c r="B27" s="29" t="s">
        <v>262</v>
      </c>
      <c r="C27" s="30" t="s">
        <v>48</v>
      </c>
      <c r="D27" s="31" t="s">
        <v>69</v>
      </c>
      <c r="E27" s="43">
        <v>40657</v>
      </c>
      <c r="F27" s="26">
        <v>1</v>
      </c>
      <c r="G27" s="64">
        <v>60</v>
      </c>
      <c r="H27" s="63">
        <v>216.3</v>
      </c>
      <c r="I27" s="11"/>
      <c r="J27" s="167" t="s">
        <v>50</v>
      </c>
      <c r="K27" s="169">
        <f t="shared" si="1"/>
        <v>87.13000000000001</v>
      </c>
      <c r="L27" s="169">
        <f t="shared" si="0"/>
        <v>5</v>
      </c>
      <c r="M27" s="13" t="s">
        <v>50</v>
      </c>
      <c r="N27" s="171">
        <f t="shared" si="2"/>
        <v>376.64</v>
      </c>
      <c r="O27" s="201">
        <v>2011</v>
      </c>
      <c r="P27" s="200">
        <v>1949</v>
      </c>
      <c r="Q27" s="200">
        <f t="shared" si="3"/>
        <v>0</v>
      </c>
    </row>
    <row r="28" spans="1:17" ht="15.75" x14ac:dyDescent="0.25">
      <c r="A28" s="38" t="s">
        <v>79</v>
      </c>
      <c r="B28" s="29" t="s">
        <v>503</v>
      </c>
      <c r="C28" s="30" t="s">
        <v>48</v>
      </c>
      <c r="D28" s="31" t="s">
        <v>72</v>
      </c>
      <c r="E28" s="49">
        <v>2002</v>
      </c>
      <c r="F28" s="26">
        <v>1</v>
      </c>
      <c r="G28" s="64">
        <v>42</v>
      </c>
      <c r="H28" s="34">
        <v>187.5</v>
      </c>
      <c r="I28" s="11"/>
      <c r="J28" s="167" t="s">
        <v>41</v>
      </c>
      <c r="K28" s="169">
        <f t="shared" si="1"/>
        <v>249.71019999999999</v>
      </c>
      <c r="L28" s="169">
        <f t="shared" si="0"/>
        <v>10</v>
      </c>
      <c r="M28" s="13" t="s">
        <v>41</v>
      </c>
      <c r="N28" s="171">
        <f t="shared" si="2"/>
        <v>1104.73</v>
      </c>
      <c r="O28" s="205">
        <v>2002</v>
      </c>
      <c r="P28" s="200">
        <v>1950</v>
      </c>
      <c r="Q28" s="200">
        <f t="shared" si="3"/>
        <v>3</v>
      </c>
    </row>
    <row r="29" spans="1:17" ht="15.75" x14ac:dyDescent="0.25">
      <c r="A29" s="38" t="s">
        <v>79</v>
      </c>
      <c r="B29" s="29" t="s">
        <v>272</v>
      </c>
      <c r="C29" s="30" t="s">
        <v>48</v>
      </c>
      <c r="D29" s="31" t="s">
        <v>72</v>
      </c>
      <c r="E29" s="32">
        <v>2006</v>
      </c>
      <c r="F29" s="26">
        <v>1</v>
      </c>
      <c r="G29" s="33">
        <v>10.95</v>
      </c>
      <c r="H29" s="63">
        <v>46</v>
      </c>
      <c r="I29" s="11"/>
      <c r="J29" s="167" t="s">
        <v>59</v>
      </c>
      <c r="K29" s="169">
        <f t="shared" si="1"/>
        <v>240.352</v>
      </c>
      <c r="L29" s="169">
        <f t="shared" si="0"/>
        <v>22</v>
      </c>
      <c r="M29" s="13" t="s">
        <v>59</v>
      </c>
      <c r="N29" s="171">
        <f t="shared" si="2"/>
        <v>1035.9659999999999</v>
      </c>
      <c r="O29" s="201">
        <v>2006</v>
      </c>
      <c r="P29" s="200">
        <v>1951</v>
      </c>
      <c r="Q29" s="200">
        <f t="shared" si="3"/>
        <v>0</v>
      </c>
    </row>
    <row r="30" spans="1:17" ht="15.75" x14ac:dyDescent="0.25">
      <c r="A30" s="38" t="s">
        <v>79</v>
      </c>
      <c r="B30" s="29" t="s">
        <v>301</v>
      </c>
      <c r="C30" s="30" t="s">
        <v>48</v>
      </c>
      <c r="D30" s="31" t="s">
        <v>72</v>
      </c>
      <c r="E30" s="43">
        <v>41348</v>
      </c>
      <c r="F30" s="26">
        <v>1</v>
      </c>
      <c r="G30" s="37">
        <v>11.143000000000001</v>
      </c>
      <c r="H30" s="63">
        <v>49.2</v>
      </c>
      <c r="I30" s="11"/>
      <c r="J30" s="167" t="s">
        <v>698</v>
      </c>
      <c r="K30" s="169">
        <f t="shared" si="1"/>
        <v>2.8690000000000002</v>
      </c>
      <c r="L30" s="169">
        <f t="shared" si="0"/>
        <v>1</v>
      </c>
      <c r="M30" s="13" t="s">
        <v>698</v>
      </c>
      <c r="N30" s="171">
        <f t="shared" si="2"/>
        <v>13.2</v>
      </c>
      <c r="O30" s="201">
        <v>2013</v>
      </c>
      <c r="P30" s="200">
        <v>1952</v>
      </c>
      <c r="Q30" s="200">
        <f t="shared" si="3"/>
        <v>4</v>
      </c>
    </row>
    <row r="31" spans="1:17" ht="15.75" x14ac:dyDescent="0.25">
      <c r="A31" s="55" t="s">
        <v>79</v>
      </c>
      <c r="B31" s="56" t="s">
        <v>653</v>
      </c>
      <c r="C31" s="57" t="s">
        <v>48</v>
      </c>
      <c r="D31" s="58" t="s">
        <v>72</v>
      </c>
      <c r="E31" s="85">
        <v>41656</v>
      </c>
      <c r="F31" s="60">
        <v>1</v>
      </c>
      <c r="G31" s="33">
        <v>3.39</v>
      </c>
      <c r="H31" s="63">
        <v>22</v>
      </c>
      <c r="I31" s="11"/>
      <c r="J31" s="167" t="s">
        <v>64</v>
      </c>
      <c r="K31" s="169">
        <f t="shared" si="1"/>
        <v>34.343000000000004</v>
      </c>
      <c r="L31" s="169">
        <f t="shared" si="0"/>
        <v>2</v>
      </c>
      <c r="M31" s="13" t="s">
        <v>64</v>
      </c>
      <c r="N31" s="171">
        <f t="shared" si="2"/>
        <v>147</v>
      </c>
      <c r="O31" s="201">
        <v>2014</v>
      </c>
      <c r="P31" s="200">
        <v>1953</v>
      </c>
      <c r="Q31" s="200">
        <f t="shared" si="3"/>
        <v>2</v>
      </c>
    </row>
    <row r="32" spans="1:17" ht="15.75" x14ac:dyDescent="0.25">
      <c r="A32" s="66" t="s">
        <v>80</v>
      </c>
      <c r="B32" s="39" t="s">
        <v>189</v>
      </c>
      <c r="C32" s="67" t="s">
        <v>81</v>
      </c>
      <c r="D32" s="31" t="s">
        <v>72</v>
      </c>
      <c r="E32" s="68">
        <v>2001</v>
      </c>
      <c r="F32" s="26">
        <v>1</v>
      </c>
      <c r="G32" s="41">
        <v>3</v>
      </c>
      <c r="H32" s="42">
        <v>22.3</v>
      </c>
      <c r="I32" s="11"/>
      <c r="J32" s="167" t="s">
        <v>37</v>
      </c>
      <c r="K32" s="169">
        <f t="shared" si="1"/>
        <v>71.335999999999999</v>
      </c>
      <c r="L32" s="169">
        <f t="shared" si="0"/>
        <v>3</v>
      </c>
      <c r="M32" s="13" t="s">
        <v>37</v>
      </c>
      <c r="N32" s="171">
        <f t="shared" si="2"/>
        <v>250.43</v>
      </c>
      <c r="O32" s="206">
        <v>2001</v>
      </c>
      <c r="P32" s="200">
        <v>1954</v>
      </c>
      <c r="Q32" s="200">
        <f t="shared" si="3"/>
        <v>2</v>
      </c>
    </row>
    <row r="33" spans="1:17" ht="15.75" x14ac:dyDescent="0.25">
      <c r="A33" s="38" t="s">
        <v>82</v>
      </c>
      <c r="B33" s="39" t="s">
        <v>181</v>
      </c>
      <c r="C33" s="30" t="s">
        <v>45</v>
      </c>
      <c r="D33" s="31" t="s">
        <v>72</v>
      </c>
      <c r="E33" s="40">
        <v>1960</v>
      </c>
      <c r="F33" s="26">
        <v>1</v>
      </c>
      <c r="G33" s="41">
        <v>2.56</v>
      </c>
      <c r="H33" s="42">
        <v>8</v>
      </c>
      <c r="I33" s="11"/>
      <c r="J33" s="167" t="s">
        <v>12</v>
      </c>
      <c r="K33" s="169">
        <f t="shared" si="1"/>
        <v>7.3140000000000001</v>
      </c>
      <c r="L33" s="169">
        <f t="shared" si="0"/>
        <v>2</v>
      </c>
      <c r="M33" s="13" t="s">
        <v>12</v>
      </c>
      <c r="N33" s="171">
        <f t="shared" si="2"/>
        <v>24</v>
      </c>
      <c r="O33" s="204">
        <v>1960</v>
      </c>
      <c r="P33" s="200">
        <v>1955</v>
      </c>
      <c r="Q33" s="200">
        <f t="shared" si="3"/>
        <v>1</v>
      </c>
    </row>
    <row r="34" spans="1:17" ht="15.75" x14ac:dyDescent="0.25">
      <c r="A34" s="38" t="s">
        <v>82</v>
      </c>
      <c r="B34" s="29" t="s">
        <v>254</v>
      </c>
      <c r="C34" s="30" t="s">
        <v>45</v>
      </c>
      <c r="D34" s="31" t="s">
        <v>72</v>
      </c>
      <c r="E34" s="43">
        <v>40927</v>
      </c>
      <c r="F34" s="26">
        <v>1</v>
      </c>
      <c r="G34" s="64">
        <v>1.92</v>
      </c>
      <c r="H34" s="46">
        <v>10</v>
      </c>
      <c r="I34" s="11"/>
      <c r="J34" s="167" t="s">
        <v>40</v>
      </c>
      <c r="K34" s="169">
        <f t="shared" si="1"/>
        <v>43.322000000000003</v>
      </c>
      <c r="L34" s="169">
        <f t="shared" ref="L34:L66" si="4">SUMIF(C:C,J34,F:F)</f>
        <v>7</v>
      </c>
      <c r="M34" s="13" t="s">
        <v>40</v>
      </c>
      <c r="N34" s="171">
        <f t="shared" si="2"/>
        <v>159.79999999999998</v>
      </c>
      <c r="O34" s="204">
        <v>2012</v>
      </c>
      <c r="P34" s="200">
        <v>1956</v>
      </c>
      <c r="Q34" s="200">
        <f t="shared" si="3"/>
        <v>3</v>
      </c>
    </row>
    <row r="35" spans="1:17" ht="15.75" x14ac:dyDescent="0.25">
      <c r="A35" s="55" t="s">
        <v>82</v>
      </c>
      <c r="B35" s="56" t="s">
        <v>654</v>
      </c>
      <c r="C35" s="57" t="s">
        <v>45</v>
      </c>
      <c r="D35" s="58" t="s">
        <v>72</v>
      </c>
      <c r="E35" s="85">
        <v>42306</v>
      </c>
      <c r="F35" s="60">
        <v>1</v>
      </c>
      <c r="G35" s="45">
        <v>12.1</v>
      </c>
      <c r="H35" s="69">
        <v>49.91</v>
      </c>
      <c r="I35" s="11"/>
      <c r="J35" s="167" t="s">
        <v>20</v>
      </c>
      <c r="K35" s="169">
        <f t="shared" si="1"/>
        <v>1.06</v>
      </c>
      <c r="L35" s="169">
        <f t="shared" si="4"/>
        <v>1</v>
      </c>
      <c r="M35" s="13" t="s">
        <v>20</v>
      </c>
      <c r="N35" s="171">
        <f t="shared" si="2"/>
        <v>5</v>
      </c>
      <c r="O35" s="204">
        <v>2015</v>
      </c>
      <c r="P35" s="200">
        <v>1957</v>
      </c>
      <c r="Q35" s="200">
        <f t="shared" si="3"/>
        <v>3</v>
      </c>
    </row>
    <row r="36" spans="1:17" ht="15.75" x14ac:dyDescent="0.25">
      <c r="A36" s="70" t="s">
        <v>83</v>
      </c>
      <c r="B36" s="39" t="s">
        <v>156</v>
      </c>
      <c r="C36" s="71" t="s">
        <v>19</v>
      </c>
      <c r="D36" s="31" t="s">
        <v>72</v>
      </c>
      <c r="E36" s="72">
        <v>1952</v>
      </c>
      <c r="F36" s="26">
        <v>1</v>
      </c>
      <c r="G36" s="50">
        <v>2.3039999999999998</v>
      </c>
      <c r="H36" s="51">
        <v>8</v>
      </c>
      <c r="I36" s="11"/>
      <c r="J36" s="167" t="s">
        <v>58</v>
      </c>
      <c r="K36" s="169">
        <f t="shared" si="1"/>
        <v>536.13000000000011</v>
      </c>
      <c r="L36" s="169">
        <f t="shared" si="4"/>
        <v>4</v>
      </c>
      <c r="M36" s="13" t="s">
        <v>58</v>
      </c>
      <c r="N36" s="171">
        <f t="shared" si="2"/>
        <v>1560.03</v>
      </c>
      <c r="O36" s="207">
        <v>1952</v>
      </c>
      <c r="P36" s="200">
        <v>1958</v>
      </c>
      <c r="Q36" s="200">
        <f t="shared" si="3"/>
        <v>0</v>
      </c>
    </row>
    <row r="37" spans="1:17" ht="15.75" x14ac:dyDescent="0.25">
      <c r="A37" s="70" t="s">
        <v>83</v>
      </c>
      <c r="B37" s="39" t="s">
        <v>179</v>
      </c>
      <c r="C37" s="71" t="s">
        <v>19</v>
      </c>
      <c r="D37" s="31" t="s">
        <v>72</v>
      </c>
      <c r="E37" s="72">
        <v>1952</v>
      </c>
      <c r="F37" s="26">
        <v>1</v>
      </c>
      <c r="G37" s="50">
        <v>1.181</v>
      </c>
      <c r="H37" s="51">
        <v>4</v>
      </c>
      <c r="I37" s="11"/>
      <c r="J37" s="167" t="s">
        <v>56</v>
      </c>
      <c r="K37" s="169">
        <f t="shared" si="1"/>
        <v>29.2</v>
      </c>
      <c r="L37" s="169">
        <f t="shared" si="4"/>
        <v>3</v>
      </c>
      <c r="M37" s="13" t="s">
        <v>56</v>
      </c>
      <c r="N37" s="171">
        <f t="shared" si="2"/>
        <v>161.96800000000002</v>
      </c>
      <c r="O37" s="207">
        <v>1952</v>
      </c>
      <c r="P37" s="200">
        <v>1959</v>
      </c>
      <c r="Q37" s="200">
        <f t="shared" si="3"/>
        <v>1</v>
      </c>
    </row>
    <row r="38" spans="1:17" ht="15.75" x14ac:dyDescent="0.25">
      <c r="A38" s="70" t="s">
        <v>83</v>
      </c>
      <c r="B38" s="39" t="s">
        <v>180</v>
      </c>
      <c r="C38" s="71" t="s">
        <v>19</v>
      </c>
      <c r="D38" s="31" t="s">
        <v>72</v>
      </c>
      <c r="E38" s="72">
        <v>1952</v>
      </c>
      <c r="F38" s="26">
        <v>1</v>
      </c>
      <c r="G38" s="50">
        <v>0.71499999999999997</v>
      </c>
      <c r="H38" s="51">
        <v>3</v>
      </c>
      <c r="I38" s="11"/>
      <c r="J38" s="167" t="s">
        <v>60</v>
      </c>
      <c r="K38" s="169">
        <f t="shared" si="1"/>
        <v>284.15100000000001</v>
      </c>
      <c r="L38" s="169">
        <f t="shared" si="4"/>
        <v>9</v>
      </c>
      <c r="M38" s="13" t="s">
        <v>60</v>
      </c>
      <c r="N38" s="171">
        <f t="shared" si="2"/>
        <v>1234.6600000000001</v>
      </c>
      <c r="O38" s="207">
        <v>1952</v>
      </c>
      <c r="P38" s="200">
        <v>1960</v>
      </c>
      <c r="Q38" s="200">
        <f t="shared" si="3"/>
        <v>3</v>
      </c>
    </row>
    <row r="39" spans="1:17" ht="15.75" x14ac:dyDescent="0.25">
      <c r="A39" s="70" t="s">
        <v>83</v>
      </c>
      <c r="B39" s="44" t="s">
        <v>416</v>
      </c>
      <c r="C39" s="71" t="s">
        <v>19</v>
      </c>
      <c r="D39" s="31" t="s">
        <v>69</v>
      </c>
      <c r="E39" s="52">
        <v>41506</v>
      </c>
      <c r="F39" s="26">
        <v>1</v>
      </c>
      <c r="G39" s="53">
        <v>28.03</v>
      </c>
      <c r="H39" s="61">
        <v>56.06</v>
      </c>
      <c r="I39" s="11"/>
      <c r="J39" s="167" t="s">
        <v>21</v>
      </c>
      <c r="K39" s="169">
        <f t="shared" si="1"/>
        <v>134.9</v>
      </c>
      <c r="L39" s="169">
        <f t="shared" si="4"/>
        <v>3</v>
      </c>
      <c r="M39" s="13" t="s">
        <v>21</v>
      </c>
      <c r="N39" s="171">
        <f t="shared" si="2"/>
        <v>668</v>
      </c>
      <c r="O39" s="207">
        <v>2013</v>
      </c>
      <c r="P39" s="200">
        <v>1961</v>
      </c>
      <c r="Q39" s="200">
        <f t="shared" si="3"/>
        <v>5</v>
      </c>
    </row>
    <row r="40" spans="1:17" ht="15.75" x14ac:dyDescent="0.25">
      <c r="A40" s="70" t="s">
        <v>83</v>
      </c>
      <c r="B40" s="29" t="s">
        <v>501</v>
      </c>
      <c r="C40" s="71" t="s">
        <v>19</v>
      </c>
      <c r="D40" s="31" t="s">
        <v>72</v>
      </c>
      <c r="E40" s="32">
        <v>2009</v>
      </c>
      <c r="F40" s="26">
        <v>1</v>
      </c>
      <c r="G40" s="54">
        <v>19.920000000000002</v>
      </c>
      <c r="H40" s="47">
        <v>72</v>
      </c>
      <c r="I40" s="11"/>
      <c r="J40" s="167" t="s">
        <v>5</v>
      </c>
      <c r="K40" s="169">
        <f t="shared" si="1"/>
        <v>133.19800000000001</v>
      </c>
      <c r="L40" s="169">
        <f t="shared" si="4"/>
        <v>10</v>
      </c>
      <c r="M40" s="13" t="s">
        <v>5</v>
      </c>
      <c r="N40" s="171">
        <f t="shared" si="2"/>
        <v>483.56699999999995</v>
      </c>
      <c r="O40" s="201">
        <v>2009</v>
      </c>
      <c r="P40" s="200">
        <v>1962</v>
      </c>
      <c r="Q40" s="200">
        <f t="shared" si="3"/>
        <v>1</v>
      </c>
    </row>
    <row r="41" spans="1:17" ht="15.75" x14ac:dyDescent="0.25">
      <c r="A41" s="70" t="s">
        <v>83</v>
      </c>
      <c r="B41" s="29" t="s">
        <v>273</v>
      </c>
      <c r="C41" s="71" t="s">
        <v>19</v>
      </c>
      <c r="D41" s="31" t="s">
        <v>72</v>
      </c>
      <c r="E41" s="32">
        <v>2008</v>
      </c>
      <c r="F41" s="26">
        <v>1</v>
      </c>
      <c r="G41" s="33">
        <v>2.4</v>
      </c>
      <c r="H41" s="34">
        <v>4.28</v>
      </c>
      <c r="I41" s="11"/>
      <c r="J41" s="167" t="s">
        <v>61</v>
      </c>
      <c r="K41" s="169">
        <f t="shared" si="1"/>
        <v>517.14</v>
      </c>
      <c r="L41" s="169">
        <f t="shared" si="4"/>
        <v>40</v>
      </c>
      <c r="M41" s="13" t="s">
        <v>61</v>
      </c>
      <c r="N41" s="171">
        <f t="shared" si="2"/>
        <v>1850.0080000000003</v>
      </c>
      <c r="O41" s="201">
        <v>2008</v>
      </c>
      <c r="P41" s="200">
        <v>1963</v>
      </c>
      <c r="Q41" s="200">
        <f t="shared" si="3"/>
        <v>0</v>
      </c>
    </row>
    <row r="42" spans="1:17" ht="15.75" x14ac:dyDescent="0.25">
      <c r="A42" s="70" t="s">
        <v>83</v>
      </c>
      <c r="B42" s="29" t="s">
        <v>505</v>
      </c>
      <c r="C42" s="71" t="s">
        <v>19</v>
      </c>
      <c r="D42" s="31" t="s">
        <v>72</v>
      </c>
      <c r="E42" s="52">
        <v>41319</v>
      </c>
      <c r="F42" s="26">
        <v>1</v>
      </c>
      <c r="G42" s="37">
        <v>4</v>
      </c>
      <c r="H42" s="34">
        <v>12</v>
      </c>
      <c r="I42" s="11"/>
      <c r="J42" s="167" t="s">
        <v>52</v>
      </c>
      <c r="K42" s="169">
        <f t="shared" si="1"/>
        <v>201.68899999999999</v>
      </c>
      <c r="L42" s="169">
        <f t="shared" si="4"/>
        <v>8</v>
      </c>
      <c r="M42" s="13" t="s">
        <v>52</v>
      </c>
      <c r="N42" s="171">
        <f t="shared" si="2"/>
        <v>677.55499999999995</v>
      </c>
      <c r="O42" s="201">
        <v>2013</v>
      </c>
      <c r="P42" s="200">
        <v>1964</v>
      </c>
      <c r="Q42" s="200">
        <f t="shared" si="3"/>
        <v>0</v>
      </c>
    </row>
    <row r="43" spans="1:17" ht="15.75" x14ac:dyDescent="0.25">
      <c r="A43" s="70" t="s">
        <v>83</v>
      </c>
      <c r="B43" s="29" t="s">
        <v>331</v>
      </c>
      <c r="C43" s="71" t="s">
        <v>19</v>
      </c>
      <c r="D43" s="31" t="s">
        <v>72</v>
      </c>
      <c r="E43" s="52">
        <v>41522</v>
      </c>
      <c r="F43" s="26">
        <v>1</v>
      </c>
      <c r="G43" s="64">
        <v>1.9</v>
      </c>
      <c r="H43" s="46">
        <v>8.08</v>
      </c>
      <c r="I43" s="11"/>
      <c r="J43" s="167" t="s">
        <v>30</v>
      </c>
      <c r="K43" s="169">
        <f t="shared" si="1"/>
        <v>943.85599999999999</v>
      </c>
      <c r="L43" s="169">
        <f t="shared" si="4"/>
        <v>35</v>
      </c>
      <c r="M43" s="13" t="s">
        <v>30</v>
      </c>
      <c r="N43" s="171">
        <f t="shared" si="2"/>
        <v>3260.7730000000006</v>
      </c>
      <c r="O43" s="201">
        <v>2013</v>
      </c>
      <c r="P43" s="200">
        <v>1965</v>
      </c>
      <c r="Q43" s="200">
        <f t="shared" si="3"/>
        <v>1</v>
      </c>
    </row>
    <row r="44" spans="1:17" ht="15.75" x14ac:dyDescent="0.25">
      <c r="A44" s="70" t="s">
        <v>83</v>
      </c>
      <c r="B44" s="44" t="s">
        <v>354</v>
      </c>
      <c r="C44" s="71" t="s">
        <v>19</v>
      </c>
      <c r="D44" s="31" t="s">
        <v>72</v>
      </c>
      <c r="E44" s="43">
        <v>40984</v>
      </c>
      <c r="F44" s="26">
        <v>1</v>
      </c>
      <c r="G44" s="37">
        <v>6.9240000000000004</v>
      </c>
      <c r="H44" s="34">
        <v>20</v>
      </c>
      <c r="I44" s="11"/>
      <c r="J44" s="167" t="s">
        <v>54</v>
      </c>
      <c r="K44" s="169">
        <f t="shared" si="1"/>
        <v>337.70400000000006</v>
      </c>
      <c r="L44" s="169">
        <f t="shared" si="4"/>
        <v>14</v>
      </c>
      <c r="M44" s="13" t="s">
        <v>54</v>
      </c>
      <c r="N44" s="171">
        <f t="shared" si="2"/>
        <v>1330.8300000000004</v>
      </c>
      <c r="O44" s="201">
        <v>2012</v>
      </c>
      <c r="P44" s="200">
        <v>1966</v>
      </c>
      <c r="Q44" s="200">
        <f t="shared" si="3"/>
        <v>2</v>
      </c>
    </row>
    <row r="45" spans="1:17" ht="31.5" x14ac:dyDescent="0.25">
      <c r="A45" s="70" t="s">
        <v>83</v>
      </c>
      <c r="B45" s="29" t="s">
        <v>452</v>
      </c>
      <c r="C45" s="71" t="s">
        <v>19</v>
      </c>
      <c r="D45" s="44" t="s">
        <v>74</v>
      </c>
      <c r="E45" s="85">
        <v>40478</v>
      </c>
      <c r="F45" s="26">
        <v>1</v>
      </c>
      <c r="G45" s="37">
        <v>100</v>
      </c>
      <c r="H45" s="47">
        <v>423</v>
      </c>
      <c r="I45" s="11"/>
      <c r="J45" s="167" t="s">
        <v>9</v>
      </c>
      <c r="K45" s="169">
        <f t="shared" si="1"/>
        <v>564.721</v>
      </c>
      <c r="L45" s="169">
        <f t="shared" si="4"/>
        <v>15</v>
      </c>
      <c r="M45" s="13" t="s">
        <v>9</v>
      </c>
      <c r="N45" s="171">
        <f t="shared" si="2"/>
        <v>1720.248</v>
      </c>
      <c r="O45" s="201">
        <v>2010</v>
      </c>
      <c r="P45" s="200">
        <v>1967</v>
      </c>
      <c r="Q45" s="200">
        <f t="shared" si="3"/>
        <v>3</v>
      </c>
    </row>
    <row r="46" spans="1:17" ht="15.75" x14ac:dyDescent="0.25">
      <c r="A46" s="38" t="s">
        <v>83</v>
      </c>
      <c r="B46" s="29" t="s">
        <v>538</v>
      </c>
      <c r="C46" s="30" t="s">
        <v>19</v>
      </c>
      <c r="D46" s="31" t="s">
        <v>576</v>
      </c>
      <c r="E46" s="43">
        <v>41832</v>
      </c>
      <c r="F46" s="26">
        <v>1</v>
      </c>
      <c r="G46" s="37">
        <v>7.48</v>
      </c>
      <c r="H46" s="34">
        <v>23.16</v>
      </c>
      <c r="I46" s="11"/>
      <c r="J46" s="167" t="s">
        <v>31</v>
      </c>
      <c r="K46" s="169">
        <f t="shared" si="1"/>
        <v>238.917</v>
      </c>
      <c r="L46" s="169">
        <f t="shared" si="4"/>
        <v>8</v>
      </c>
      <c r="M46" s="13" t="s">
        <v>31</v>
      </c>
      <c r="N46" s="171">
        <f t="shared" si="2"/>
        <v>711.57</v>
      </c>
      <c r="O46" s="201">
        <v>2014</v>
      </c>
      <c r="P46" s="200">
        <v>1968</v>
      </c>
      <c r="Q46" s="200">
        <f t="shared" si="3"/>
        <v>1</v>
      </c>
    </row>
    <row r="47" spans="1:17" ht="15.75" x14ac:dyDescent="0.25">
      <c r="A47" s="38" t="s">
        <v>83</v>
      </c>
      <c r="B47" s="29" t="s">
        <v>545</v>
      </c>
      <c r="C47" s="30" t="s">
        <v>19</v>
      </c>
      <c r="D47" s="31" t="s">
        <v>69</v>
      </c>
      <c r="E47" s="43">
        <v>41717</v>
      </c>
      <c r="F47" s="26">
        <v>1</v>
      </c>
      <c r="G47" s="37">
        <v>10</v>
      </c>
      <c r="H47" s="34">
        <v>20</v>
      </c>
      <c r="I47" s="11"/>
      <c r="J47" s="167" t="s">
        <v>27</v>
      </c>
      <c r="K47" s="169">
        <f t="shared" si="1"/>
        <v>739.7700000000001</v>
      </c>
      <c r="L47" s="169">
        <f t="shared" si="4"/>
        <v>24</v>
      </c>
      <c r="M47" s="13" t="s">
        <v>27</v>
      </c>
      <c r="N47" s="171">
        <f t="shared" si="2"/>
        <v>2473.3200000000002</v>
      </c>
      <c r="O47" s="201">
        <v>2014</v>
      </c>
      <c r="P47" s="200">
        <v>1969</v>
      </c>
      <c r="Q47" s="200">
        <f t="shared" si="3"/>
        <v>0</v>
      </c>
    </row>
    <row r="48" spans="1:17" ht="15.75" x14ac:dyDescent="0.25">
      <c r="A48" s="38" t="s">
        <v>83</v>
      </c>
      <c r="B48" s="29" t="s">
        <v>655</v>
      </c>
      <c r="C48" s="30" t="s">
        <v>19</v>
      </c>
      <c r="D48" s="31" t="s">
        <v>69</v>
      </c>
      <c r="E48" s="85">
        <v>42314</v>
      </c>
      <c r="F48" s="26">
        <v>1</v>
      </c>
      <c r="G48" s="37">
        <v>5.18</v>
      </c>
      <c r="H48" s="34">
        <v>14.96</v>
      </c>
      <c r="I48" s="11"/>
      <c r="J48" s="167" t="s">
        <v>26</v>
      </c>
      <c r="K48" s="169">
        <f t="shared" si="1"/>
        <v>266.46799999999996</v>
      </c>
      <c r="L48" s="169">
        <f t="shared" si="4"/>
        <v>11</v>
      </c>
      <c r="M48" s="13" t="s">
        <v>26</v>
      </c>
      <c r="N48" s="171">
        <f t="shared" si="2"/>
        <v>966.94999999999993</v>
      </c>
      <c r="O48" s="201">
        <v>2015</v>
      </c>
      <c r="P48" s="200">
        <v>1970</v>
      </c>
      <c r="Q48" s="200">
        <f t="shared" si="3"/>
        <v>1</v>
      </c>
    </row>
    <row r="49" spans="1:17" ht="15.75" x14ac:dyDescent="0.25">
      <c r="A49" s="89" t="s">
        <v>84</v>
      </c>
      <c r="B49" s="90" t="s">
        <v>656</v>
      </c>
      <c r="C49" s="91" t="s">
        <v>28</v>
      </c>
      <c r="D49" s="58" t="s">
        <v>69</v>
      </c>
      <c r="E49" s="92">
        <v>1956</v>
      </c>
      <c r="F49" s="60">
        <v>1</v>
      </c>
      <c r="G49" s="93">
        <v>160</v>
      </c>
      <c r="H49" s="94">
        <v>400</v>
      </c>
      <c r="I49" s="11"/>
      <c r="J49" s="167" t="s">
        <v>14</v>
      </c>
      <c r="K49" s="169">
        <f t="shared" si="1"/>
        <v>25.703000000000003</v>
      </c>
      <c r="L49" s="169">
        <f t="shared" si="4"/>
        <v>3</v>
      </c>
      <c r="M49" s="13" t="s">
        <v>14</v>
      </c>
      <c r="N49" s="171">
        <f t="shared" si="2"/>
        <v>94.55</v>
      </c>
      <c r="O49" s="208">
        <v>1956</v>
      </c>
      <c r="P49" s="200">
        <v>1971</v>
      </c>
      <c r="Q49" s="200">
        <f t="shared" si="3"/>
        <v>2</v>
      </c>
    </row>
    <row r="50" spans="1:17" ht="15.75" x14ac:dyDescent="0.25">
      <c r="A50" s="70" t="s">
        <v>85</v>
      </c>
      <c r="B50" s="39" t="s">
        <v>146</v>
      </c>
      <c r="C50" s="71" t="s">
        <v>15</v>
      </c>
      <c r="D50" s="31" t="s">
        <v>72</v>
      </c>
      <c r="E50" s="72">
        <v>1938</v>
      </c>
      <c r="F50" s="26">
        <v>1</v>
      </c>
      <c r="G50" s="50">
        <v>0.36</v>
      </c>
      <c r="H50" s="51">
        <v>1</v>
      </c>
      <c r="I50" s="11"/>
      <c r="J50" s="167" t="s">
        <v>39</v>
      </c>
      <c r="K50" s="169">
        <f t="shared" si="1"/>
        <v>133.51140000000001</v>
      </c>
      <c r="L50" s="169">
        <f t="shared" si="4"/>
        <v>8</v>
      </c>
      <c r="M50" s="13" t="s">
        <v>39</v>
      </c>
      <c r="N50" s="171">
        <f t="shared" si="2"/>
        <v>474.221</v>
      </c>
      <c r="O50" s="207">
        <v>1938</v>
      </c>
      <c r="P50" s="200">
        <v>1972</v>
      </c>
      <c r="Q50" s="200">
        <f t="shared" si="3"/>
        <v>2</v>
      </c>
    </row>
    <row r="51" spans="1:17" ht="15.75" x14ac:dyDescent="0.25">
      <c r="A51" s="70" t="s">
        <v>85</v>
      </c>
      <c r="B51" s="29" t="s">
        <v>494</v>
      </c>
      <c r="C51" s="71" t="s">
        <v>15</v>
      </c>
      <c r="D51" s="31" t="s">
        <v>72</v>
      </c>
      <c r="E51" s="43">
        <v>41424</v>
      </c>
      <c r="F51" s="26">
        <v>1</v>
      </c>
      <c r="G51" s="37">
        <v>12.597</v>
      </c>
      <c r="H51" s="47">
        <v>58.11</v>
      </c>
      <c r="I51" s="11"/>
      <c r="J51" s="167" t="s">
        <v>34</v>
      </c>
      <c r="K51" s="169">
        <f t="shared" si="1"/>
        <v>11.1</v>
      </c>
      <c r="L51" s="169">
        <f t="shared" si="4"/>
        <v>1</v>
      </c>
      <c r="M51" s="13" t="s">
        <v>34</v>
      </c>
      <c r="N51" s="171">
        <f t="shared" si="2"/>
        <v>50</v>
      </c>
      <c r="O51" s="207">
        <v>2013</v>
      </c>
      <c r="P51" s="200">
        <v>1973</v>
      </c>
      <c r="Q51" s="200">
        <f t="shared" si="3"/>
        <v>0</v>
      </c>
    </row>
    <row r="52" spans="1:17" ht="31.5" x14ac:dyDescent="0.25">
      <c r="A52" s="70" t="s">
        <v>85</v>
      </c>
      <c r="B52" s="29" t="s">
        <v>243</v>
      </c>
      <c r="C52" s="71" t="s">
        <v>15</v>
      </c>
      <c r="D52" s="44" t="s">
        <v>0</v>
      </c>
      <c r="E52" s="52">
        <v>40689</v>
      </c>
      <c r="F52" s="26">
        <v>1</v>
      </c>
      <c r="G52" s="64">
        <v>8.92</v>
      </c>
      <c r="H52" s="46">
        <v>63</v>
      </c>
      <c r="I52" s="11"/>
      <c r="J52" s="167" t="s">
        <v>8</v>
      </c>
      <c r="K52" s="169">
        <f t="shared" si="1"/>
        <v>110.74799999999999</v>
      </c>
      <c r="L52" s="169">
        <f t="shared" si="4"/>
        <v>4</v>
      </c>
      <c r="M52" s="13" t="s">
        <v>8</v>
      </c>
      <c r="N52" s="171">
        <f t="shared" si="2"/>
        <v>388.06</v>
      </c>
      <c r="O52" s="207">
        <v>2011</v>
      </c>
      <c r="P52" s="200">
        <v>1974</v>
      </c>
      <c r="Q52" s="200">
        <f t="shared" si="3"/>
        <v>2</v>
      </c>
    </row>
    <row r="53" spans="1:17" ht="15.75" x14ac:dyDescent="0.25">
      <c r="A53" s="35" t="s">
        <v>129</v>
      </c>
      <c r="B53" s="29" t="s">
        <v>515</v>
      </c>
      <c r="C53" s="36" t="s">
        <v>43</v>
      </c>
      <c r="D53" s="31" t="s">
        <v>72</v>
      </c>
      <c r="E53" s="32">
        <f>E50</f>
        <v>1938</v>
      </c>
      <c r="F53" s="26">
        <v>1</v>
      </c>
      <c r="G53" s="37">
        <v>0.38</v>
      </c>
      <c r="H53" s="47">
        <v>1.44</v>
      </c>
      <c r="I53" s="11"/>
      <c r="J53" s="167" t="s">
        <v>46</v>
      </c>
      <c r="K53" s="169">
        <f t="shared" si="1"/>
        <v>63.844000000000008</v>
      </c>
      <c r="L53" s="169">
        <f t="shared" si="4"/>
        <v>9</v>
      </c>
      <c r="M53" s="13" t="s">
        <v>46</v>
      </c>
      <c r="N53" s="171">
        <f t="shared" si="2"/>
        <v>288.53499999999997</v>
      </c>
      <c r="O53" s="201">
        <f>O50</f>
        <v>1938</v>
      </c>
      <c r="P53" s="200">
        <v>1975</v>
      </c>
      <c r="Q53" s="200">
        <f t="shared" si="3"/>
        <v>0</v>
      </c>
    </row>
    <row r="54" spans="1:17" ht="15.75" x14ac:dyDescent="0.25">
      <c r="A54" s="70" t="s">
        <v>130</v>
      </c>
      <c r="B54" s="39" t="s">
        <v>144</v>
      </c>
      <c r="C54" s="71" t="s">
        <v>55</v>
      </c>
      <c r="D54" s="31" t="s">
        <v>72</v>
      </c>
      <c r="E54" s="72">
        <v>1953</v>
      </c>
      <c r="F54" s="26">
        <v>1</v>
      </c>
      <c r="G54" s="50">
        <v>0.18</v>
      </c>
      <c r="H54" s="51">
        <v>0.5</v>
      </c>
      <c r="I54" s="11"/>
      <c r="J54" s="167" t="s">
        <v>25</v>
      </c>
      <c r="K54" s="169">
        <f t="shared" si="1"/>
        <v>929.99500000000012</v>
      </c>
      <c r="L54" s="169">
        <f t="shared" si="4"/>
        <v>7</v>
      </c>
      <c r="M54" s="13" t="s">
        <v>25</v>
      </c>
      <c r="N54" s="171">
        <f t="shared" si="2"/>
        <v>2316.2719999999999</v>
      </c>
      <c r="O54" s="207">
        <v>1953</v>
      </c>
      <c r="P54" s="200">
        <v>1976</v>
      </c>
      <c r="Q54" s="200">
        <f t="shared" si="3"/>
        <v>0</v>
      </c>
    </row>
    <row r="55" spans="1:17" ht="15.75" x14ac:dyDescent="0.25">
      <c r="A55" s="70" t="s">
        <v>130</v>
      </c>
      <c r="B55" s="39" t="s">
        <v>145</v>
      </c>
      <c r="C55" s="71" t="s">
        <v>55</v>
      </c>
      <c r="D55" s="31" t="s">
        <v>72</v>
      </c>
      <c r="E55" s="72">
        <v>1953</v>
      </c>
      <c r="F55" s="26">
        <v>1</v>
      </c>
      <c r="G55" s="50">
        <v>0.26400000000000001</v>
      </c>
      <c r="H55" s="51">
        <v>1</v>
      </c>
      <c r="I55" s="11"/>
      <c r="J55" s="167" t="s">
        <v>16</v>
      </c>
      <c r="K55" s="169">
        <f t="shared" si="1"/>
        <v>51.436</v>
      </c>
      <c r="L55" s="169">
        <f t="shared" si="4"/>
        <v>3</v>
      </c>
      <c r="M55" s="13" t="s">
        <v>16</v>
      </c>
      <c r="N55" s="171">
        <f t="shared" si="2"/>
        <v>150.97999999999999</v>
      </c>
      <c r="O55" s="207">
        <v>1953</v>
      </c>
      <c r="P55" s="200">
        <v>1977</v>
      </c>
      <c r="Q55" s="200">
        <f t="shared" si="3"/>
        <v>0</v>
      </c>
    </row>
    <row r="56" spans="1:17" ht="15.75" x14ac:dyDescent="0.25">
      <c r="A56" s="70" t="s">
        <v>130</v>
      </c>
      <c r="B56" s="29" t="s">
        <v>200</v>
      </c>
      <c r="C56" s="71" t="s">
        <v>55</v>
      </c>
      <c r="D56" s="31" t="s">
        <v>72</v>
      </c>
      <c r="E56" s="85">
        <v>41606</v>
      </c>
      <c r="F56" s="26">
        <v>1</v>
      </c>
      <c r="G56" s="37">
        <v>9.6</v>
      </c>
      <c r="H56" s="63">
        <v>49.21</v>
      </c>
      <c r="I56" s="11"/>
      <c r="J56" s="167" t="s">
        <v>62</v>
      </c>
      <c r="K56" s="169">
        <f t="shared" si="1"/>
        <v>86.56</v>
      </c>
      <c r="L56" s="169">
        <f t="shared" si="4"/>
        <v>3</v>
      </c>
      <c r="M56" s="13" t="s">
        <v>62</v>
      </c>
      <c r="N56" s="171">
        <f t="shared" si="2"/>
        <v>338.75</v>
      </c>
      <c r="O56" s="207">
        <v>2013</v>
      </c>
      <c r="P56" s="200">
        <v>1978</v>
      </c>
      <c r="Q56" s="200">
        <f t="shared" si="3"/>
        <v>0</v>
      </c>
    </row>
    <row r="57" spans="1:17" ht="15.75" x14ac:dyDescent="0.25">
      <c r="A57" s="70" t="s">
        <v>130</v>
      </c>
      <c r="B57" s="29" t="s">
        <v>334</v>
      </c>
      <c r="C57" s="71" t="s">
        <v>55</v>
      </c>
      <c r="D57" s="31" t="s">
        <v>72</v>
      </c>
      <c r="E57" s="32">
        <v>2000</v>
      </c>
      <c r="F57" s="26">
        <v>1</v>
      </c>
      <c r="G57" s="37">
        <v>9.3000000000000007</v>
      </c>
      <c r="H57" s="34">
        <v>55</v>
      </c>
      <c r="I57" s="11"/>
      <c r="J57" s="167" t="s">
        <v>63</v>
      </c>
      <c r="K57" s="169">
        <f t="shared" si="1"/>
        <v>44.764000000000003</v>
      </c>
      <c r="L57" s="169">
        <f t="shared" si="4"/>
        <v>2</v>
      </c>
      <c r="M57" s="13" t="s">
        <v>63</v>
      </c>
      <c r="N57" s="171">
        <f t="shared" si="2"/>
        <v>180.2</v>
      </c>
      <c r="O57" s="201">
        <v>2000</v>
      </c>
      <c r="P57" s="200">
        <v>1979</v>
      </c>
      <c r="Q57" s="200">
        <f t="shared" si="3"/>
        <v>0</v>
      </c>
    </row>
    <row r="58" spans="1:17" ht="15.75" x14ac:dyDescent="0.25">
      <c r="A58" s="38" t="s">
        <v>130</v>
      </c>
      <c r="B58" s="29" t="s">
        <v>550</v>
      </c>
      <c r="C58" s="30" t="s">
        <v>55</v>
      </c>
      <c r="D58" s="31" t="s">
        <v>576</v>
      </c>
      <c r="E58" s="43">
        <v>41880</v>
      </c>
      <c r="F58" s="26">
        <v>1</v>
      </c>
      <c r="G58" s="37">
        <v>30.24</v>
      </c>
      <c r="H58" s="34">
        <v>171.68</v>
      </c>
      <c r="I58" s="11"/>
      <c r="J58" s="167" t="s">
        <v>49</v>
      </c>
      <c r="K58" s="169">
        <f t="shared" si="1"/>
        <v>5.258</v>
      </c>
      <c r="L58" s="169">
        <f t="shared" si="4"/>
        <v>3</v>
      </c>
      <c r="M58" s="13" t="s">
        <v>49</v>
      </c>
      <c r="N58" s="171">
        <f t="shared" si="2"/>
        <v>14.93</v>
      </c>
      <c r="O58" s="201">
        <v>2014</v>
      </c>
      <c r="P58" s="200">
        <v>1980</v>
      </c>
      <c r="Q58" s="200">
        <f t="shared" si="3"/>
        <v>0</v>
      </c>
    </row>
    <row r="59" spans="1:17" ht="15.75" x14ac:dyDescent="0.25">
      <c r="A59" s="38" t="s">
        <v>131</v>
      </c>
      <c r="B59" s="39" t="s">
        <v>176</v>
      </c>
      <c r="C59" s="30" t="s">
        <v>24</v>
      </c>
      <c r="D59" s="31" t="s">
        <v>69</v>
      </c>
      <c r="E59" s="40">
        <v>1991</v>
      </c>
      <c r="F59" s="26">
        <v>1</v>
      </c>
      <c r="G59" s="41">
        <v>9.35</v>
      </c>
      <c r="H59" s="96">
        <v>41.6</v>
      </c>
      <c r="I59" s="11"/>
      <c r="J59" s="167" t="s">
        <v>17</v>
      </c>
      <c r="K59" s="169">
        <f t="shared" si="1"/>
        <v>1.464</v>
      </c>
      <c r="L59" s="169">
        <f t="shared" si="4"/>
        <v>2</v>
      </c>
      <c r="M59" s="13" t="s">
        <v>17</v>
      </c>
      <c r="N59" s="171">
        <f t="shared" si="2"/>
        <v>2.0649999999999999</v>
      </c>
      <c r="O59" s="204">
        <v>1991</v>
      </c>
      <c r="P59" s="200">
        <v>1981</v>
      </c>
      <c r="Q59" s="200">
        <f t="shared" si="3"/>
        <v>0</v>
      </c>
    </row>
    <row r="60" spans="1:17" ht="15.75" x14ac:dyDescent="0.25">
      <c r="A60" s="38" t="s">
        <v>131</v>
      </c>
      <c r="B60" s="44" t="s">
        <v>236</v>
      </c>
      <c r="C60" s="30" t="s">
        <v>24</v>
      </c>
      <c r="D60" s="31" t="s">
        <v>72</v>
      </c>
      <c r="E60" s="43">
        <v>40991</v>
      </c>
      <c r="F60" s="26">
        <v>1</v>
      </c>
      <c r="G60" s="95">
        <v>9.26</v>
      </c>
      <c r="H60" s="47">
        <v>35</v>
      </c>
      <c r="I60" s="11"/>
      <c r="J60" s="167" t="s">
        <v>32</v>
      </c>
      <c r="K60" s="169">
        <f t="shared" si="1"/>
        <v>47.712000000000003</v>
      </c>
      <c r="L60" s="169">
        <f t="shared" si="4"/>
        <v>3</v>
      </c>
      <c r="M60" s="13" t="s">
        <v>32</v>
      </c>
      <c r="N60" s="171">
        <f t="shared" si="2"/>
        <v>160.41800000000001</v>
      </c>
      <c r="O60" s="204">
        <v>2012</v>
      </c>
      <c r="P60" s="200">
        <v>1982</v>
      </c>
      <c r="Q60" s="200">
        <f t="shared" si="3"/>
        <v>0</v>
      </c>
    </row>
    <row r="61" spans="1:17" ht="15.75" x14ac:dyDescent="0.25">
      <c r="A61" s="38" t="s">
        <v>131</v>
      </c>
      <c r="B61" s="29" t="s">
        <v>245</v>
      </c>
      <c r="C61" s="30" t="s">
        <v>24</v>
      </c>
      <c r="D61" s="31" t="s">
        <v>72</v>
      </c>
      <c r="E61" s="32">
        <f>E59</f>
        <v>1991</v>
      </c>
      <c r="F61" s="26">
        <v>1</v>
      </c>
      <c r="G61" s="37">
        <v>7.23</v>
      </c>
      <c r="H61" s="47">
        <v>22</v>
      </c>
      <c r="I61" s="11"/>
      <c r="J61" s="167" t="s">
        <v>29</v>
      </c>
      <c r="K61" s="169">
        <f t="shared" si="1"/>
        <v>2.25</v>
      </c>
      <c r="L61" s="169">
        <f t="shared" si="4"/>
        <v>2</v>
      </c>
      <c r="M61" s="13" t="s">
        <v>29</v>
      </c>
      <c r="N61" s="171">
        <f t="shared" si="2"/>
        <v>11.52</v>
      </c>
      <c r="O61" s="201">
        <f>O59</f>
        <v>1991</v>
      </c>
      <c r="P61" s="200">
        <v>1983</v>
      </c>
      <c r="Q61" s="200">
        <f t="shared" si="3"/>
        <v>0</v>
      </c>
    </row>
    <row r="62" spans="1:17" ht="15.75" x14ac:dyDescent="0.25">
      <c r="A62" s="38" t="s">
        <v>131</v>
      </c>
      <c r="B62" s="29" t="s">
        <v>280</v>
      </c>
      <c r="C62" s="30" t="s">
        <v>24</v>
      </c>
      <c r="D62" s="31" t="s">
        <v>72</v>
      </c>
      <c r="E62" s="43">
        <v>40879</v>
      </c>
      <c r="F62" s="26">
        <v>1</v>
      </c>
      <c r="G62" s="64">
        <v>4.67</v>
      </c>
      <c r="H62" s="46">
        <v>21</v>
      </c>
      <c r="I62" s="11"/>
      <c r="J62" s="167" t="s">
        <v>4</v>
      </c>
      <c r="K62" s="169">
        <f t="shared" si="1"/>
        <v>190.76000000000002</v>
      </c>
      <c r="L62" s="169">
        <f t="shared" si="4"/>
        <v>13</v>
      </c>
      <c r="M62" s="13" t="s">
        <v>4</v>
      </c>
      <c r="N62" s="171">
        <f t="shared" si="2"/>
        <v>762.72</v>
      </c>
      <c r="O62" s="201">
        <v>2011</v>
      </c>
      <c r="P62" s="200">
        <v>1984</v>
      </c>
      <c r="Q62" s="200">
        <f t="shared" si="3"/>
        <v>1</v>
      </c>
    </row>
    <row r="63" spans="1:17" ht="15.75" x14ac:dyDescent="0.25">
      <c r="A63" s="38" t="s">
        <v>131</v>
      </c>
      <c r="B63" s="44" t="s">
        <v>316</v>
      </c>
      <c r="C63" s="30" t="s">
        <v>24</v>
      </c>
      <c r="D63" s="31" t="s">
        <v>72</v>
      </c>
      <c r="E63" s="43">
        <v>41003</v>
      </c>
      <c r="F63" s="26">
        <v>1</v>
      </c>
      <c r="G63" s="64">
        <v>8.0239999999999991</v>
      </c>
      <c r="H63" s="47">
        <v>30</v>
      </c>
      <c r="I63" s="11"/>
      <c r="J63" s="167" t="s">
        <v>140</v>
      </c>
      <c r="K63" s="169">
        <f t="shared" si="1"/>
        <v>672</v>
      </c>
      <c r="L63" s="169">
        <f t="shared" si="4"/>
        <v>1</v>
      </c>
      <c r="M63" s="13" t="s">
        <v>140</v>
      </c>
      <c r="N63" s="171">
        <f t="shared" si="2"/>
        <v>2516</v>
      </c>
      <c r="O63" s="201">
        <v>2012</v>
      </c>
      <c r="P63" s="200">
        <v>1985</v>
      </c>
      <c r="Q63" s="200">
        <f t="shared" si="3"/>
        <v>0</v>
      </c>
    </row>
    <row r="64" spans="1:17" ht="15.75" x14ac:dyDescent="0.25">
      <c r="A64" s="38" t="s">
        <v>131</v>
      </c>
      <c r="B64" s="29" t="s">
        <v>579</v>
      </c>
      <c r="C64" s="30" t="s">
        <v>24</v>
      </c>
      <c r="D64" s="31" t="s">
        <v>576</v>
      </c>
      <c r="E64" s="43">
        <v>41754</v>
      </c>
      <c r="F64" s="26">
        <v>1</v>
      </c>
      <c r="G64" s="37">
        <v>46.2</v>
      </c>
      <c r="H64" s="34">
        <v>141.37</v>
      </c>
      <c r="I64" s="11"/>
      <c r="J64" s="167" t="s">
        <v>23</v>
      </c>
      <c r="K64" s="169">
        <f t="shared" si="1"/>
        <v>47.152999999999999</v>
      </c>
      <c r="L64" s="169">
        <f t="shared" si="4"/>
        <v>3</v>
      </c>
      <c r="M64" s="13" t="s">
        <v>23</v>
      </c>
      <c r="N64" s="171">
        <f t="shared" si="2"/>
        <v>150.095</v>
      </c>
      <c r="O64" s="201">
        <v>2014</v>
      </c>
      <c r="P64" s="200">
        <v>1986</v>
      </c>
      <c r="Q64" s="200">
        <f t="shared" si="3"/>
        <v>2</v>
      </c>
    </row>
    <row r="65" spans="1:17" ht="15.75" x14ac:dyDescent="0.25">
      <c r="A65" s="35" t="s">
        <v>86</v>
      </c>
      <c r="B65" s="44" t="s">
        <v>227</v>
      </c>
      <c r="C65" s="36" t="s">
        <v>18</v>
      </c>
      <c r="D65" s="31" t="s">
        <v>72</v>
      </c>
      <c r="E65" s="43">
        <v>41302</v>
      </c>
      <c r="F65" s="26">
        <v>1</v>
      </c>
      <c r="G65" s="33">
        <v>3.4</v>
      </c>
      <c r="H65" s="47">
        <v>10.351000000000001</v>
      </c>
      <c r="I65" s="11"/>
      <c r="J65" s="167" t="s">
        <v>13</v>
      </c>
      <c r="K65" s="169">
        <f t="shared" si="1"/>
        <v>52</v>
      </c>
      <c r="L65" s="169">
        <f t="shared" si="4"/>
        <v>1</v>
      </c>
      <c r="M65" s="13" t="s">
        <v>13</v>
      </c>
      <c r="N65" s="171">
        <f t="shared" si="2"/>
        <v>225.34</v>
      </c>
      <c r="O65" s="201">
        <v>2013</v>
      </c>
      <c r="P65" s="200">
        <v>1987</v>
      </c>
      <c r="Q65" s="200">
        <f t="shared" si="3"/>
        <v>2</v>
      </c>
    </row>
    <row r="66" spans="1:17" ht="16.5" thickBot="1" x14ac:dyDescent="0.3">
      <c r="A66" s="35" t="s">
        <v>86</v>
      </c>
      <c r="B66" s="29" t="s">
        <v>234</v>
      </c>
      <c r="C66" s="36" t="s">
        <v>18</v>
      </c>
      <c r="D66" s="31" t="s">
        <v>72</v>
      </c>
      <c r="E66" s="43">
        <v>41198</v>
      </c>
      <c r="F66" s="26">
        <v>1</v>
      </c>
      <c r="G66" s="37">
        <v>2.15</v>
      </c>
      <c r="H66" s="34">
        <v>6.2590000000000003</v>
      </c>
      <c r="I66" s="11"/>
      <c r="J66" s="178" t="s">
        <v>57</v>
      </c>
      <c r="K66" s="169">
        <f t="shared" si="1"/>
        <v>344.48399999999998</v>
      </c>
      <c r="L66" s="189">
        <f t="shared" si="4"/>
        <v>4</v>
      </c>
      <c r="M66" s="179" t="s">
        <v>57</v>
      </c>
      <c r="N66" s="171">
        <f t="shared" si="2"/>
        <v>1097.3000000000002</v>
      </c>
      <c r="O66" s="201">
        <v>2012</v>
      </c>
      <c r="P66" s="200">
        <v>1988</v>
      </c>
      <c r="Q66" s="200">
        <f t="shared" si="3"/>
        <v>0</v>
      </c>
    </row>
    <row r="67" spans="1:17" ht="16.5" thickBot="1" x14ac:dyDescent="0.3">
      <c r="A67" s="35" t="s">
        <v>86</v>
      </c>
      <c r="B67" s="29" t="s">
        <v>294</v>
      </c>
      <c r="C67" s="36" t="s">
        <v>18</v>
      </c>
      <c r="D67" s="31" t="s">
        <v>72</v>
      </c>
      <c r="E67" s="43">
        <v>41338</v>
      </c>
      <c r="F67" s="26">
        <v>1</v>
      </c>
      <c r="G67" s="37">
        <v>4.0469999999999997</v>
      </c>
      <c r="H67" s="34">
        <v>12.56</v>
      </c>
      <c r="I67" s="12"/>
      <c r="J67" s="188" t="s">
        <v>737</v>
      </c>
      <c r="K67" s="195">
        <f>SUM(K2:K66)</f>
        <v>13791.869799999999</v>
      </c>
      <c r="L67" s="195">
        <f>SUM(L2:L66)</f>
        <v>513</v>
      </c>
      <c r="M67" s="196" t="s">
        <v>737</v>
      </c>
      <c r="N67" s="197">
        <f>SUM(N2:N66)</f>
        <v>47501.303999999996</v>
      </c>
      <c r="O67" s="201">
        <v>2013</v>
      </c>
      <c r="P67" s="200">
        <v>1989</v>
      </c>
      <c r="Q67" s="200">
        <f t="shared" ref="Q67:Q93" si="5">SUMIF($O:$O,P67,$F:$F)</f>
        <v>1</v>
      </c>
    </row>
    <row r="68" spans="1:17" ht="15.75" x14ac:dyDescent="0.25">
      <c r="A68" s="35" t="s">
        <v>86</v>
      </c>
      <c r="B68" s="29" t="s">
        <v>303</v>
      </c>
      <c r="C68" s="36" t="s">
        <v>18</v>
      </c>
      <c r="D68" s="31" t="s">
        <v>72</v>
      </c>
      <c r="E68" s="32">
        <v>2005</v>
      </c>
      <c r="F68" s="26">
        <v>1</v>
      </c>
      <c r="G68" s="37">
        <v>14.61</v>
      </c>
      <c r="H68" s="47">
        <v>50</v>
      </c>
      <c r="J68" s="190"/>
      <c r="K68" s="190"/>
      <c r="L68" s="190"/>
      <c r="M68" s="190"/>
      <c r="N68" s="191"/>
      <c r="O68" s="201">
        <v>2005</v>
      </c>
      <c r="P68" s="200">
        <v>1990</v>
      </c>
      <c r="Q68" s="200">
        <f t="shared" si="5"/>
        <v>0</v>
      </c>
    </row>
    <row r="69" spans="1:17" ht="15.75" x14ac:dyDescent="0.25">
      <c r="A69" s="35" t="s">
        <v>86</v>
      </c>
      <c r="B69" s="29" t="s">
        <v>432</v>
      </c>
      <c r="C69" s="36" t="s">
        <v>18</v>
      </c>
      <c r="D69" s="31" t="s">
        <v>69</v>
      </c>
      <c r="E69" s="85">
        <v>41586</v>
      </c>
      <c r="F69" s="26">
        <v>1</v>
      </c>
      <c r="G69" s="45">
        <v>74</v>
      </c>
      <c r="H69" s="46">
        <v>203</v>
      </c>
      <c r="J69" s="192"/>
      <c r="K69" s="193"/>
      <c r="L69" s="193"/>
      <c r="M69" s="192"/>
      <c r="N69" s="194"/>
      <c r="O69" s="201">
        <v>2013</v>
      </c>
      <c r="P69" s="200">
        <v>1991</v>
      </c>
      <c r="Q69" s="200">
        <f t="shared" si="5"/>
        <v>4</v>
      </c>
    </row>
    <row r="70" spans="1:17" ht="15.75" x14ac:dyDescent="0.25">
      <c r="A70" s="35" t="s">
        <v>86</v>
      </c>
      <c r="B70" s="29" t="s">
        <v>440</v>
      </c>
      <c r="C70" s="36" t="s">
        <v>18</v>
      </c>
      <c r="D70" s="31" t="s">
        <v>72</v>
      </c>
      <c r="E70" s="85">
        <v>40340</v>
      </c>
      <c r="F70" s="26">
        <v>1</v>
      </c>
      <c r="G70" s="37">
        <v>8.68</v>
      </c>
      <c r="H70" s="47">
        <v>34</v>
      </c>
      <c r="O70" s="201">
        <v>2010</v>
      </c>
      <c r="P70" s="200">
        <v>1992</v>
      </c>
      <c r="Q70" s="200">
        <f t="shared" si="5"/>
        <v>0</v>
      </c>
    </row>
    <row r="71" spans="1:17" ht="15.75" x14ac:dyDescent="0.25">
      <c r="A71" s="105" t="s">
        <v>86</v>
      </c>
      <c r="B71" s="56" t="s">
        <v>149</v>
      </c>
      <c r="C71" s="97" t="s">
        <v>18</v>
      </c>
      <c r="D71" s="58" t="s">
        <v>72</v>
      </c>
      <c r="E71" s="85">
        <v>42210</v>
      </c>
      <c r="F71" s="60">
        <v>1</v>
      </c>
      <c r="G71" s="33">
        <v>17.177</v>
      </c>
      <c r="H71" s="61">
        <v>51</v>
      </c>
      <c r="O71" s="201">
        <v>2015</v>
      </c>
      <c r="P71" s="200">
        <v>1993</v>
      </c>
      <c r="Q71" s="200">
        <f t="shared" si="5"/>
        <v>2</v>
      </c>
    </row>
    <row r="72" spans="1:17" ht="15.75" x14ac:dyDescent="0.25">
      <c r="A72" s="98" t="s">
        <v>87</v>
      </c>
      <c r="B72" s="29" t="s">
        <v>235</v>
      </c>
      <c r="C72" s="99" t="s">
        <v>6</v>
      </c>
      <c r="D72" s="31" t="s">
        <v>72</v>
      </c>
      <c r="E72" s="43">
        <v>40555</v>
      </c>
      <c r="F72" s="26">
        <v>1</v>
      </c>
      <c r="G72" s="64">
        <v>8.1999999999999993</v>
      </c>
      <c r="H72" s="46">
        <v>60</v>
      </c>
      <c r="O72" s="201">
        <v>2011</v>
      </c>
      <c r="P72" s="200">
        <v>1994</v>
      </c>
      <c r="Q72" s="200">
        <f t="shared" si="5"/>
        <v>0</v>
      </c>
    </row>
    <row r="73" spans="1:17" ht="15.75" x14ac:dyDescent="0.25">
      <c r="A73" s="100" t="s">
        <v>87</v>
      </c>
      <c r="B73" s="62" t="s">
        <v>509</v>
      </c>
      <c r="C73" s="99" t="s">
        <v>6</v>
      </c>
      <c r="D73" s="31" t="s">
        <v>72</v>
      </c>
      <c r="E73" s="85">
        <v>41337</v>
      </c>
      <c r="F73" s="26">
        <v>1</v>
      </c>
      <c r="G73" s="37">
        <v>19.109000000000002</v>
      </c>
      <c r="H73" s="34">
        <v>111</v>
      </c>
      <c r="O73" s="201">
        <v>2013</v>
      </c>
      <c r="P73" s="200">
        <v>1995</v>
      </c>
      <c r="Q73" s="200">
        <f t="shared" si="5"/>
        <v>0</v>
      </c>
    </row>
    <row r="74" spans="1:17" ht="15.75" x14ac:dyDescent="0.25">
      <c r="A74" s="70" t="s">
        <v>88</v>
      </c>
      <c r="B74" s="39" t="s">
        <v>147</v>
      </c>
      <c r="C74" s="71" t="s">
        <v>44</v>
      </c>
      <c r="D74" s="31" t="s">
        <v>72</v>
      </c>
      <c r="E74" s="72">
        <v>1986</v>
      </c>
      <c r="F74" s="26">
        <v>1</v>
      </c>
      <c r="G74" s="50">
        <v>1.04</v>
      </c>
      <c r="H74" s="51">
        <v>2</v>
      </c>
      <c r="O74" s="207">
        <v>1986</v>
      </c>
      <c r="P74" s="200">
        <v>1996</v>
      </c>
      <c r="Q74" s="200">
        <f t="shared" si="5"/>
        <v>1</v>
      </c>
    </row>
    <row r="75" spans="1:17" ht="15.75" x14ac:dyDescent="0.25">
      <c r="A75" s="70" t="s">
        <v>88</v>
      </c>
      <c r="B75" s="39" t="s">
        <v>148</v>
      </c>
      <c r="C75" s="71" t="s">
        <v>44</v>
      </c>
      <c r="D75" s="31" t="s">
        <v>72</v>
      </c>
      <c r="E75" s="72">
        <v>1972</v>
      </c>
      <c r="F75" s="26">
        <v>1</v>
      </c>
      <c r="G75" s="50">
        <v>0.6</v>
      </c>
      <c r="H75" s="51">
        <v>1</v>
      </c>
      <c r="O75" s="207">
        <v>1972</v>
      </c>
      <c r="P75" s="200">
        <v>1997</v>
      </c>
      <c r="Q75" s="200">
        <f t="shared" si="5"/>
        <v>2</v>
      </c>
    </row>
    <row r="76" spans="1:17" ht="15.75" x14ac:dyDescent="0.25">
      <c r="A76" s="70" t="s">
        <v>88</v>
      </c>
      <c r="B76" s="39" t="s">
        <v>149</v>
      </c>
      <c r="C76" s="71" t="s">
        <v>44</v>
      </c>
      <c r="D76" s="31" t="s">
        <v>72</v>
      </c>
      <c r="E76" s="72">
        <v>1959</v>
      </c>
      <c r="F76" s="26">
        <v>1</v>
      </c>
      <c r="G76" s="50">
        <v>10.8</v>
      </c>
      <c r="H76" s="51">
        <v>70</v>
      </c>
      <c r="O76" s="207">
        <v>1959</v>
      </c>
      <c r="P76" s="200">
        <v>1998</v>
      </c>
      <c r="Q76" s="200">
        <f t="shared" si="5"/>
        <v>5</v>
      </c>
    </row>
    <row r="77" spans="1:17" ht="15.75" x14ac:dyDescent="0.25">
      <c r="A77" s="70" t="s">
        <v>88</v>
      </c>
      <c r="B77" s="39" t="s">
        <v>154</v>
      </c>
      <c r="C77" s="71" t="s">
        <v>44</v>
      </c>
      <c r="D77" s="31" t="s">
        <v>72</v>
      </c>
      <c r="E77" s="86">
        <v>1952</v>
      </c>
      <c r="F77" s="26">
        <v>1</v>
      </c>
      <c r="G77" s="87">
        <v>7.4999999999999997E-2</v>
      </c>
      <c r="H77" s="88">
        <v>0.4</v>
      </c>
      <c r="O77" s="209">
        <v>1952</v>
      </c>
      <c r="P77" s="200">
        <v>1999</v>
      </c>
      <c r="Q77" s="200">
        <f t="shared" si="5"/>
        <v>2</v>
      </c>
    </row>
    <row r="78" spans="1:17" ht="15.75" x14ac:dyDescent="0.25">
      <c r="A78" s="101" t="s">
        <v>88</v>
      </c>
      <c r="B78" s="90" t="s">
        <v>657</v>
      </c>
      <c r="C78" s="102" t="s">
        <v>44</v>
      </c>
      <c r="D78" s="58" t="s">
        <v>72</v>
      </c>
      <c r="E78" s="182">
        <v>42145</v>
      </c>
      <c r="F78" s="60">
        <v>1</v>
      </c>
      <c r="G78" s="93">
        <v>6.63</v>
      </c>
      <c r="H78" s="94">
        <v>13</v>
      </c>
      <c r="O78" s="209">
        <v>2015</v>
      </c>
      <c r="P78" s="200">
        <v>2000</v>
      </c>
      <c r="Q78" s="200">
        <f t="shared" si="5"/>
        <v>5</v>
      </c>
    </row>
    <row r="79" spans="1:17" ht="15.75" x14ac:dyDescent="0.25">
      <c r="A79" s="35" t="s">
        <v>89</v>
      </c>
      <c r="B79" s="39" t="s">
        <v>155</v>
      </c>
      <c r="C79" s="36" t="s">
        <v>38</v>
      </c>
      <c r="D79" s="31" t="s">
        <v>72</v>
      </c>
      <c r="E79" s="86">
        <v>1934</v>
      </c>
      <c r="F79" s="26">
        <v>1</v>
      </c>
      <c r="G79" s="87">
        <v>1.1200000000000001</v>
      </c>
      <c r="H79" s="88">
        <v>1.25</v>
      </c>
      <c r="O79" s="209">
        <v>1934</v>
      </c>
      <c r="P79" s="200">
        <v>2001</v>
      </c>
      <c r="Q79" s="200">
        <f t="shared" si="5"/>
        <v>6</v>
      </c>
    </row>
    <row r="80" spans="1:17" ht="15.75" x14ac:dyDescent="0.25">
      <c r="A80" s="35" t="s">
        <v>89</v>
      </c>
      <c r="B80" s="29" t="s">
        <v>396</v>
      </c>
      <c r="C80" s="36" t="s">
        <v>38</v>
      </c>
      <c r="D80" s="31" t="s">
        <v>69</v>
      </c>
      <c r="E80" s="52">
        <v>41125</v>
      </c>
      <c r="F80" s="26">
        <v>1</v>
      </c>
      <c r="G80" s="64">
        <v>38</v>
      </c>
      <c r="H80" s="46">
        <v>120.5</v>
      </c>
      <c r="O80" s="209">
        <v>2012</v>
      </c>
      <c r="P80" s="200">
        <v>2002</v>
      </c>
      <c r="Q80" s="200">
        <f t="shared" si="5"/>
        <v>5</v>
      </c>
    </row>
    <row r="81" spans="1:17" ht="15.75" x14ac:dyDescent="0.25">
      <c r="A81" s="103" t="s">
        <v>89</v>
      </c>
      <c r="B81" s="104" t="s">
        <v>241</v>
      </c>
      <c r="C81" s="29" t="s">
        <v>38</v>
      </c>
      <c r="D81" s="31" t="s">
        <v>72</v>
      </c>
      <c r="E81" s="85">
        <v>40367</v>
      </c>
      <c r="F81" s="26">
        <v>1</v>
      </c>
      <c r="G81" s="37">
        <v>16.425000000000001</v>
      </c>
      <c r="H81" s="47">
        <v>92.2</v>
      </c>
      <c r="O81" s="209">
        <v>2010</v>
      </c>
      <c r="P81" s="200">
        <v>2003</v>
      </c>
      <c r="Q81" s="200">
        <f t="shared" si="5"/>
        <v>2</v>
      </c>
    </row>
    <row r="82" spans="1:17" ht="15.75" x14ac:dyDescent="0.25">
      <c r="A82" s="103" t="s">
        <v>89</v>
      </c>
      <c r="B82" s="44" t="s">
        <v>242</v>
      </c>
      <c r="C82" s="29" t="s">
        <v>38</v>
      </c>
      <c r="D82" s="31" t="s">
        <v>72</v>
      </c>
      <c r="E82" s="43">
        <v>41297</v>
      </c>
      <c r="F82" s="26">
        <v>1</v>
      </c>
      <c r="G82" s="45">
        <v>67.16</v>
      </c>
      <c r="H82" s="46">
        <v>185</v>
      </c>
      <c r="O82" s="209">
        <v>2013</v>
      </c>
      <c r="P82" s="200">
        <v>2004</v>
      </c>
      <c r="Q82" s="200">
        <f t="shared" si="5"/>
        <v>6</v>
      </c>
    </row>
    <row r="83" spans="1:17" ht="15.75" x14ac:dyDescent="0.25">
      <c r="A83" s="103" t="s">
        <v>89</v>
      </c>
      <c r="B83" s="44" t="s">
        <v>424</v>
      </c>
      <c r="C83" s="29" t="s">
        <v>38</v>
      </c>
      <c r="D83" s="31" t="s">
        <v>69</v>
      </c>
      <c r="E83" s="43">
        <v>41060</v>
      </c>
      <c r="F83" s="26">
        <v>1</v>
      </c>
      <c r="G83" s="37">
        <v>28.22</v>
      </c>
      <c r="H83" s="63">
        <v>71.55</v>
      </c>
      <c r="O83" s="209">
        <v>2012</v>
      </c>
      <c r="P83" s="200">
        <v>2005</v>
      </c>
      <c r="Q83" s="200">
        <f t="shared" si="5"/>
        <v>4</v>
      </c>
    </row>
    <row r="84" spans="1:17" ht="15.75" x14ac:dyDescent="0.25">
      <c r="A84" s="103" t="s">
        <v>89</v>
      </c>
      <c r="B84" s="29" t="s">
        <v>307</v>
      </c>
      <c r="C84" s="29" t="s">
        <v>38</v>
      </c>
      <c r="D84" s="31" t="s">
        <v>72</v>
      </c>
      <c r="E84" s="32">
        <v>2008</v>
      </c>
      <c r="F84" s="26">
        <v>1</v>
      </c>
      <c r="G84" s="37">
        <v>28</v>
      </c>
      <c r="H84" s="47">
        <v>123</v>
      </c>
      <c r="O84" s="201">
        <v>2008</v>
      </c>
      <c r="P84" s="200">
        <v>2006</v>
      </c>
      <c r="Q84" s="200">
        <f t="shared" si="5"/>
        <v>10</v>
      </c>
    </row>
    <row r="85" spans="1:17" ht="15.75" x14ac:dyDescent="0.25">
      <c r="A85" s="105" t="s">
        <v>89</v>
      </c>
      <c r="B85" s="56" t="s">
        <v>658</v>
      </c>
      <c r="C85" s="56" t="s">
        <v>38</v>
      </c>
      <c r="D85" s="58" t="s">
        <v>72</v>
      </c>
      <c r="E85" s="85">
        <v>41060</v>
      </c>
      <c r="F85" s="60">
        <v>1</v>
      </c>
      <c r="G85" s="33">
        <v>41</v>
      </c>
      <c r="H85" s="61">
        <v>150.69999999999999</v>
      </c>
      <c r="O85" s="201">
        <v>2012</v>
      </c>
      <c r="P85" s="200">
        <v>2007</v>
      </c>
      <c r="Q85" s="200">
        <f t="shared" si="5"/>
        <v>7</v>
      </c>
    </row>
    <row r="86" spans="1:17" ht="15.75" x14ac:dyDescent="0.25">
      <c r="A86" s="105" t="s">
        <v>89</v>
      </c>
      <c r="B86" s="56" t="s">
        <v>659</v>
      </c>
      <c r="C86" s="56" t="s">
        <v>38</v>
      </c>
      <c r="D86" s="58" t="s">
        <v>72</v>
      </c>
      <c r="E86" s="85">
        <v>41166</v>
      </c>
      <c r="F86" s="60">
        <v>1</v>
      </c>
      <c r="G86" s="33">
        <v>6.08</v>
      </c>
      <c r="H86" s="61">
        <v>33.700000000000003</v>
      </c>
      <c r="O86" s="201">
        <v>2012</v>
      </c>
      <c r="P86" s="200">
        <v>2008</v>
      </c>
      <c r="Q86" s="200">
        <f t="shared" si="5"/>
        <v>18</v>
      </c>
    </row>
    <row r="87" spans="1:17" ht="15.75" x14ac:dyDescent="0.25">
      <c r="A87" s="106" t="s">
        <v>90</v>
      </c>
      <c r="B87" s="39" t="s">
        <v>166</v>
      </c>
      <c r="C87" s="31" t="s">
        <v>7</v>
      </c>
      <c r="D87" s="31" t="s">
        <v>72</v>
      </c>
      <c r="E87" s="72">
        <v>1962</v>
      </c>
      <c r="F87" s="26">
        <v>1</v>
      </c>
      <c r="G87" s="50">
        <v>0.55200000000000005</v>
      </c>
      <c r="H87" s="51">
        <v>1</v>
      </c>
      <c r="O87" s="201">
        <v>1962</v>
      </c>
      <c r="P87" s="200">
        <v>2009</v>
      </c>
      <c r="Q87" s="200">
        <f t="shared" si="5"/>
        <v>32</v>
      </c>
    </row>
    <row r="88" spans="1:17" ht="15.75" x14ac:dyDescent="0.25">
      <c r="A88" s="107" t="s">
        <v>90</v>
      </c>
      <c r="B88" s="44" t="s">
        <v>660</v>
      </c>
      <c r="C88" s="108" t="s">
        <v>7</v>
      </c>
      <c r="D88" s="31" t="s">
        <v>72</v>
      </c>
      <c r="E88" s="32">
        <v>2006</v>
      </c>
      <c r="F88" s="26">
        <v>1</v>
      </c>
      <c r="G88" s="37">
        <v>14</v>
      </c>
      <c r="H88" s="34">
        <v>55.61</v>
      </c>
      <c r="O88" s="201">
        <v>2006</v>
      </c>
      <c r="P88" s="200">
        <v>2010</v>
      </c>
      <c r="Q88" s="200">
        <f t="shared" si="5"/>
        <v>34</v>
      </c>
    </row>
    <row r="89" spans="1:17" ht="15.75" x14ac:dyDescent="0.25">
      <c r="A89" s="107" t="s">
        <v>90</v>
      </c>
      <c r="B89" s="29" t="s">
        <v>208</v>
      </c>
      <c r="C89" s="108" t="s">
        <v>7</v>
      </c>
      <c r="D89" s="31" t="s">
        <v>72</v>
      </c>
      <c r="E89" s="32">
        <v>2010</v>
      </c>
      <c r="F89" s="26">
        <v>1</v>
      </c>
      <c r="G89" s="37">
        <v>2.06</v>
      </c>
      <c r="H89" s="34">
        <v>14.06</v>
      </c>
      <c r="O89" s="201">
        <v>2010</v>
      </c>
      <c r="P89" s="200">
        <v>2011</v>
      </c>
      <c r="Q89" s="200">
        <f t="shared" si="5"/>
        <v>48</v>
      </c>
    </row>
    <row r="90" spans="1:17" ht="15.75" x14ac:dyDescent="0.25">
      <c r="A90" s="107" t="s">
        <v>90</v>
      </c>
      <c r="B90" s="29" t="s">
        <v>209</v>
      </c>
      <c r="C90" s="108" t="s">
        <v>7</v>
      </c>
      <c r="D90" s="31" t="s">
        <v>72</v>
      </c>
      <c r="E90" s="43">
        <v>41026</v>
      </c>
      <c r="F90" s="26">
        <v>1</v>
      </c>
      <c r="G90" s="45">
        <v>3.75</v>
      </c>
      <c r="H90" s="47">
        <v>15.07</v>
      </c>
      <c r="O90" s="201">
        <v>2012</v>
      </c>
      <c r="P90" s="200">
        <v>2012</v>
      </c>
      <c r="Q90" s="200">
        <f t="shared" si="5"/>
        <v>76</v>
      </c>
    </row>
    <row r="91" spans="1:17" ht="15.75" x14ac:dyDescent="0.25">
      <c r="A91" s="107" t="s">
        <v>90</v>
      </c>
      <c r="B91" s="109" t="s">
        <v>222</v>
      </c>
      <c r="C91" s="108" t="s">
        <v>7</v>
      </c>
      <c r="D91" s="31" t="s">
        <v>72</v>
      </c>
      <c r="E91" s="43">
        <v>41264</v>
      </c>
      <c r="F91" s="26">
        <v>1</v>
      </c>
      <c r="G91" s="37">
        <v>9.6</v>
      </c>
      <c r="H91" s="34">
        <v>44</v>
      </c>
      <c r="O91" s="201">
        <v>2012</v>
      </c>
      <c r="P91" s="200">
        <v>2013</v>
      </c>
      <c r="Q91" s="200">
        <f t="shared" si="5"/>
        <v>86</v>
      </c>
    </row>
    <row r="92" spans="1:17" ht="15.75" x14ac:dyDescent="0.25">
      <c r="A92" s="107" t="s">
        <v>90</v>
      </c>
      <c r="B92" s="44" t="s">
        <v>412</v>
      </c>
      <c r="C92" s="108" t="s">
        <v>7</v>
      </c>
      <c r="D92" s="31" t="s">
        <v>72</v>
      </c>
      <c r="E92" s="85">
        <v>41299</v>
      </c>
      <c r="F92" s="26">
        <v>1</v>
      </c>
      <c r="G92" s="37">
        <v>20.12</v>
      </c>
      <c r="H92" s="34">
        <v>32.29</v>
      </c>
      <c r="O92" s="201">
        <v>2013</v>
      </c>
      <c r="P92" s="200">
        <v>2014</v>
      </c>
      <c r="Q92" s="200">
        <f t="shared" si="5"/>
        <v>47</v>
      </c>
    </row>
    <row r="93" spans="1:17" ht="15.75" x14ac:dyDescent="0.25">
      <c r="A93" s="107" t="s">
        <v>90</v>
      </c>
      <c r="B93" s="29" t="s">
        <v>417</v>
      </c>
      <c r="C93" s="108" t="s">
        <v>7</v>
      </c>
      <c r="D93" s="31" t="s">
        <v>69</v>
      </c>
      <c r="E93" s="32">
        <v>2010</v>
      </c>
      <c r="F93" s="26">
        <v>1</v>
      </c>
      <c r="G93" s="37">
        <v>38.25</v>
      </c>
      <c r="H93" s="61">
        <v>122.89</v>
      </c>
      <c r="O93" s="201">
        <v>2010</v>
      </c>
      <c r="P93" s="200">
        <v>2015</v>
      </c>
      <c r="Q93" s="200">
        <f t="shared" si="5"/>
        <v>56</v>
      </c>
    </row>
    <row r="94" spans="1:17" ht="15.75" x14ac:dyDescent="0.25">
      <c r="A94" s="107" t="s">
        <v>90</v>
      </c>
      <c r="B94" s="44" t="s">
        <v>261</v>
      </c>
      <c r="C94" s="108" t="s">
        <v>7</v>
      </c>
      <c r="D94" s="31" t="s">
        <v>72</v>
      </c>
      <c r="E94" s="43">
        <v>41438</v>
      </c>
      <c r="F94" s="26">
        <v>1</v>
      </c>
      <c r="G94" s="37">
        <v>2.63</v>
      </c>
      <c r="H94" s="34">
        <v>9.4499999999999993</v>
      </c>
      <c r="O94" s="201">
        <v>2013</v>
      </c>
      <c r="Q94">
        <f>SUM(Q2:Q93)</f>
        <v>513</v>
      </c>
    </row>
    <row r="95" spans="1:17" ht="15.75" x14ac:dyDescent="0.25">
      <c r="A95" s="107" t="s">
        <v>90</v>
      </c>
      <c r="B95" s="29" t="s">
        <v>315</v>
      </c>
      <c r="C95" s="108" t="s">
        <v>7</v>
      </c>
      <c r="D95" s="31" t="s">
        <v>72</v>
      </c>
      <c r="E95" s="85">
        <v>40824</v>
      </c>
      <c r="F95" s="26">
        <v>1</v>
      </c>
      <c r="G95" s="37">
        <v>9.2650000000000006</v>
      </c>
      <c r="H95" s="63">
        <v>40.69</v>
      </c>
      <c r="O95" s="201">
        <v>2011</v>
      </c>
    </row>
    <row r="96" spans="1:17" ht="15.75" x14ac:dyDescent="0.25">
      <c r="A96" s="107" t="s">
        <v>90</v>
      </c>
      <c r="B96" s="44" t="s">
        <v>321</v>
      </c>
      <c r="C96" s="108" t="s">
        <v>7</v>
      </c>
      <c r="D96" s="31" t="s">
        <v>72</v>
      </c>
      <c r="E96" s="85">
        <v>40954</v>
      </c>
      <c r="F96" s="26">
        <v>1</v>
      </c>
      <c r="G96" s="37">
        <v>12.045999999999999</v>
      </c>
      <c r="H96" s="34">
        <v>47.56</v>
      </c>
      <c r="O96" s="201">
        <v>2012</v>
      </c>
    </row>
    <row r="97" spans="1:15" ht="15.75" x14ac:dyDescent="0.25">
      <c r="A97" s="107" t="s">
        <v>90</v>
      </c>
      <c r="B97" s="29" t="s">
        <v>446</v>
      </c>
      <c r="C97" s="108" t="s">
        <v>7</v>
      </c>
      <c r="D97" s="31" t="s">
        <v>72</v>
      </c>
      <c r="E97" s="32">
        <v>2006</v>
      </c>
      <c r="F97" s="26">
        <v>1</v>
      </c>
      <c r="G97" s="33">
        <v>16</v>
      </c>
      <c r="H97" s="63">
        <f>106.49-55.61</f>
        <v>50.879999999999995</v>
      </c>
      <c r="O97" s="201">
        <v>2006</v>
      </c>
    </row>
    <row r="98" spans="1:15" ht="15.75" x14ac:dyDescent="0.25">
      <c r="A98" s="107" t="s">
        <v>90</v>
      </c>
      <c r="B98" s="29" t="s">
        <v>361</v>
      </c>
      <c r="C98" s="108" t="s">
        <v>7</v>
      </c>
      <c r="D98" s="31" t="s">
        <v>72</v>
      </c>
      <c r="E98" s="32">
        <v>2008</v>
      </c>
      <c r="F98" s="26">
        <v>1</v>
      </c>
      <c r="G98" s="37">
        <v>7.5</v>
      </c>
      <c r="H98" s="34">
        <v>35</v>
      </c>
      <c r="O98" s="201">
        <v>2008</v>
      </c>
    </row>
    <row r="99" spans="1:15" ht="15.75" x14ac:dyDescent="0.25">
      <c r="A99" s="107" t="s">
        <v>90</v>
      </c>
      <c r="B99" s="29" t="s">
        <v>362</v>
      </c>
      <c r="C99" s="108" t="s">
        <v>7</v>
      </c>
      <c r="D99" s="31" t="s">
        <v>69</v>
      </c>
      <c r="E99" s="32">
        <v>2009</v>
      </c>
      <c r="F99" s="26">
        <v>1</v>
      </c>
      <c r="G99" s="37">
        <v>4.76</v>
      </c>
      <c r="H99" s="34">
        <v>14.93</v>
      </c>
      <c r="O99" s="201">
        <v>2009</v>
      </c>
    </row>
    <row r="100" spans="1:15" ht="15.75" x14ac:dyDescent="0.25">
      <c r="A100" s="107" t="s">
        <v>90</v>
      </c>
      <c r="B100" s="29" t="s">
        <v>373</v>
      </c>
      <c r="C100" s="108" t="s">
        <v>7</v>
      </c>
      <c r="D100" s="31" t="s">
        <v>72</v>
      </c>
      <c r="E100" s="52">
        <v>41481</v>
      </c>
      <c r="F100" s="26">
        <v>1</v>
      </c>
      <c r="G100" s="64">
        <v>8.9700000000000006</v>
      </c>
      <c r="H100" s="46">
        <v>24.84</v>
      </c>
      <c r="O100" s="201">
        <v>2013</v>
      </c>
    </row>
    <row r="101" spans="1:15" ht="15.75" x14ac:dyDescent="0.25">
      <c r="A101" s="110" t="s">
        <v>90</v>
      </c>
      <c r="B101" s="29" t="s">
        <v>246</v>
      </c>
      <c r="C101" s="111" t="s">
        <v>7</v>
      </c>
      <c r="D101" s="31" t="s">
        <v>576</v>
      </c>
      <c r="E101" s="43">
        <v>41711</v>
      </c>
      <c r="F101" s="26">
        <v>1</v>
      </c>
      <c r="G101" s="37">
        <v>6.84</v>
      </c>
      <c r="H101" s="34">
        <v>20</v>
      </c>
      <c r="O101" s="201">
        <v>2014</v>
      </c>
    </row>
    <row r="102" spans="1:15" ht="15.75" x14ac:dyDescent="0.25">
      <c r="A102" s="183" t="s">
        <v>90</v>
      </c>
      <c r="B102" s="56" t="s">
        <v>661</v>
      </c>
      <c r="C102" s="184" t="s">
        <v>7</v>
      </c>
      <c r="D102" s="58" t="s">
        <v>69</v>
      </c>
      <c r="E102" s="182">
        <v>42132</v>
      </c>
      <c r="F102" s="60">
        <v>1</v>
      </c>
      <c r="G102" s="45">
        <f>41.35-G100</f>
        <v>32.380000000000003</v>
      </c>
      <c r="H102" s="45">
        <f>93.57-H100</f>
        <v>68.72999999999999</v>
      </c>
      <c r="O102" s="201">
        <v>2015</v>
      </c>
    </row>
    <row r="103" spans="1:15" ht="15.75" x14ac:dyDescent="0.25">
      <c r="A103" s="113" t="s">
        <v>90</v>
      </c>
      <c r="B103" s="56" t="s">
        <v>662</v>
      </c>
      <c r="C103" s="114" t="s">
        <v>7</v>
      </c>
      <c r="D103" s="58" t="s">
        <v>69</v>
      </c>
      <c r="E103" s="65">
        <v>1993</v>
      </c>
      <c r="F103" s="60">
        <v>1</v>
      </c>
      <c r="G103" s="33">
        <v>46.4</v>
      </c>
      <c r="H103" s="63">
        <v>206</v>
      </c>
      <c r="O103" s="65">
        <v>1993</v>
      </c>
    </row>
    <row r="104" spans="1:15" ht="15.75" x14ac:dyDescent="0.25">
      <c r="A104" s="113" t="s">
        <v>90</v>
      </c>
      <c r="B104" s="56" t="s">
        <v>663</v>
      </c>
      <c r="C104" s="114" t="s">
        <v>7</v>
      </c>
      <c r="D104" s="58" t="s">
        <v>72</v>
      </c>
      <c r="E104" s="65">
        <v>2015</v>
      </c>
      <c r="F104" s="60">
        <v>1</v>
      </c>
      <c r="G104" s="33">
        <v>1.71</v>
      </c>
      <c r="H104" s="63">
        <v>6.5</v>
      </c>
      <c r="O104" s="65">
        <v>2015</v>
      </c>
    </row>
    <row r="105" spans="1:15" ht="15.75" x14ac:dyDescent="0.25">
      <c r="A105" s="113" t="s">
        <v>90</v>
      </c>
      <c r="B105" s="56" t="s">
        <v>664</v>
      </c>
      <c r="C105" s="114" t="s">
        <v>7</v>
      </c>
      <c r="D105" s="58" t="s">
        <v>72</v>
      </c>
      <c r="E105" s="65">
        <v>1956</v>
      </c>
      <c r="F105" s="60">
        <v>1</v>
      </c>
      <c r="G105" s="33">
        <v>26.4</v>
      </c>
      <c r="H105" s="63">
        <v>150</v>
      </c>
      <c r="O105" s="65">
        <v>1956</v>
      </c>
    </row>
    <row r="106" spans="1:15" ht="15.75" x14ac:dyDescent="0.25">
      <c r="A106" s="113" t="s">
        <v>90</v>
      </c>
      <c r="B106" s="56" t="s">
        <v>665</v>
      </c>
      <c r="C106" s="114" t="s">
        <v>7</v>
      </c>
      <c r="D106" s="58" t="s">
        <v>72</v>
      </c>
      <c r="E106" s="65">
        <v>1986</v>
      </c>
      <c r="F106" s="60">
        <v>1</v>
      </c>
      <c r="G106" s="33">
        <v>6</v>
      </c>
      <c r="H106" s="63">
        <v>20</v>
      </c>
      <c r="O106" s="65">
        <v>1986</v>
      </c>
    </row>
    <row r="107" spans="1:15" ht="15.75" x14ac:dyDescent="0.25">
      <c r="A107" s="113" t="s">
        <v>90</v>
      </c>
      <c r="B107" s="56" t="s">
        <v>666</v>
      </c>
      <c r="C107" s="114" t="s">
        <v>7</v>
      </c>
      <c r="D107" s="58" t="s">
        <v>72</v>
      </c>
      <c r="E107" s="65">
        <v>1987</v>
      </c>
      <c r="F107" s="60">
        <v>1</v>
      </c>
      <c r="G107" s="33">
        <v>48</v>
      </c>
      <c r="H107" s="63">
        <v>220</v>
      </c>
      <c r="O107" s="65">
        <v>1987</v>
      </c>
    </row>
    <row r="108" spans="1:15" ht="15.75" x14ac:dyDescent="0.25">
      <c r="A108" s="110" t="s">
        <v>91</v>
      </c>
      <c r="B108" s="39" t="s">
        <v>172</v>
      </c>
      <c r="C108" s="111" t="s">
        <v>35</v>
      </c>
      <c r="D108" s="112" t="s">
        <v>70</v>
      </c>
      <c r="E108" s="40">
        <v>1960</v>
      </c>
      <c r="F108" s="26">
        <v>1</v>
      </c>
      <c r="G108" s="41">
        <v>8.25</v>
      </c>
      <c r="H108" s="42">
        <v>3</v>
      </c>
      <c r="O108" s="204">
        <v>1960</v>
      </c>
    </row>
    <row r="109" spans="1:15" ht="15.75" x14ac:dyDescent="0.25">
      <c r="A109" s="110" t="s">
        <v>91</v>
      </c>
      <c r="B109" s="39" t="s">
        <v>188</v>
      </c>
      <c r="C109" s="111" t="s">
        <v>35</v>
      </c>
      <c r="D109" s="31" t="s">
        <v>72</v>
      </c>
      <c r="E109" s="40">
        <v>1989</v>
      </c>
      <c r="F109" s="26">
        <v>1</v>
      </c>
      <c r="G109" s="41">
        <v>13</v>
      </c>
      <c r="H109" s="42">
        <v>36</v>
      </c>
      <c r="O109" s="204">
        <v>1989</v>
      </c>
    </row>
    <row r="110" spans="1:15" ht="15.75" x14ac:dyDescent="0.25">
      <c r="A110" s="110" t="s">
        <v>91</v>
      </c>
      <c r="B110" s="39" t="s">
        <v>190</v>
      </c>
      <c r="C110" s="111" t="s">
        <v>35</v>
      </c>
      <c r="D110" s="31" t="s">
        <v>72</v>
      </c>
      <c r="E110" s="40">
        <v>1998</v>
      </c>
      <c r="F110" s="26">
        <v>1</v>
      </c>
      <c r="G110" s="41">
        <v>2.2000000000000002</v>
      </c>
      <c r="H110" s="42">
        <v>12.22</v>
      </c>
      <c r="O110" s="204">
        <v>1998</v>
      </c>
    </row>
    <row r="111" spans="1:15" ht="15.75" x14ac:dyDescent="0.25">
      <c r="A111" s="110" t="s">
        <v>91</v>
      </c>
      <c r="B111" s="29" t="s">
        <v>240</v>
      </c>
      <c r="C111" s="111" t="s">
        <v>35</v>
      </c>
      <c r="D111" s="31" t="s">
        <v>72</v>
      </c>
      <c r="E111" s="43">
        <v>40850</v>
      </c>
      <c r="F111" s="26">
        <v>1</v>
      </c>
      <c r="G111" s="64">
        <v>3.6</v>
      </c>
      <c r="H111" s="46">
        <v>16.510000000000002</v>
      </c>
      <c r="O111" s="204">
        <v>2011</v>
      </c>
    </row>
    <row r="112" spans="1:15" ht="15.75" x14ac:dyDescent="0.25">
      <c r="A112" s="110" t="s">
        <v>91</v>
      </c>
      <c r="B112" s="29" t="s">
        <v>378</v>
      </c>
      <c r="C112" s="111" t="s">
        <v>35</v>
      </c>
      <c r="D112" s="31" t="s">
        <v>72</v>
      </c>
      <c r="E112" s="32">
        <v>2009</v>
      </c>
      <c r="F112" s="26">
        <v>1</v>
      </c>
      <c r="G112" s="37">
        <v>5.0999999999999996</v>
      </c>
      <c r="H112" s="34">
        <v>20</v>
      </c>
      <c r="O112" s="201">
        <v>2009</v>
      </c>
    </row>
    <row r="113" spans="1:15" ht="15.75" x14ac:dyDescent="0.25">
      <c r="A113" s="110" t="s">
        <v>91</v>
      </c>
      <c r="B113" s="29" t="s">
        <v>555</v>
      </c>
      <c r="C113" s="111" t="s">
        <v>35</v>
      </c>
      <c r="D113" s="31" t="s">
        <v>576</v>
      </c>
      <c r="E113" s="43">
        <v>41747</v>
      </c>
      <c r="F113" s="26">
        <v>1</v>
      </c>
      <c r="G113" s="37">
        <v>18.77</v>
      </c>
      <c r="H113" s="34">
        <v>83.36</v>
      </c>
      <c r="O113" s="201">
        <v>2014</v>
      </c>
    </row>
    <row r="114" spans="1:15" ht="15.75" x14ac:dyDescent="0.25">
      <c r="A114" s="103" t="s">
        <v>92</v>
      </c>
      <c r="B114" s="44" t="s">
        <v>239</v>
      </c>
      <c r="C114" s="29" t="s">
        <v>3</v>
      </c>
      <c r="D114" s="31" t="s">
        <v>72</v>
      </c>
      <c r="E114" s="43">
        <v>41592</v>
      </c>
      <c r="F114" s="26">
        <v>1</v>
      </c>
      <c r="G114" s="37">
        <v>2.6</v>
      </c>
      <c r="H114" s="34">
        <v>12</v>
      </c>
      <c r="O114" s="201">
        <v>2013</v>
      </c>
    </row>
    <row r="115" spans="1:15" ht="15.75" x14ac:dyDescent="0.25">
      <c r="A115" s="103" t="s">
        <v>92</v>
      </c>
      <c r="B115" s="29" t="s">
        <v>255</v>
      </c>
      <c r="C115" s="29" t="s">
        <v>3</v>
      </c>
      <c r="D115" s="31" t="s">
        <v>72</v>
      </c>
      <c r="E115" s="43">
        <v>41421</v>
      </c>
      <c r="F115" s="26">
        <v>1</v>
      </c>
      <c r="G115" s="64">
        <v>42.65</v>
      </c>
      <c r="H115" s="46">
        <v>130</v>
      </c>
      <c r="O115" s="201">
        <v>2013</v>
      </c>
    </row>
    <row r="116" spans="1:15" ht="15.75" x14ac:dyDescent="0.25">
      <c r="A116" s="103" t="s">
        <v>92</v>
      </c>
      <c r="B116" s="29" t="s">
        <v>502</v>
      </c>
      <c r="C116" s="29" t="s">
        <v>3</v>
      </c>
      <c r="D116" s="31" t="s">
        <v>72</v>
      </c>
      <c r="E116" s="43">
        <v>41375</v>
      </c>
      <c r="F116" s="26">
        <v>1</v>
      </c>
      <c r="G116" s="64">
        <v>26</v>
      </c>
      <c r="H116" s="46">
        <v>85</v>
      </c>
      <c r="O116" s="201">
        <v>2013</v>
      </c>
    </row>
    <row r="117" spans="1:15" ht="15.75" x14ac:dyDescent="0.25">
      <c r="A117" s="103" t="s">
        <v>92</v>
      </c>
      <c r="B117" s="29" t="s">
        <v>263</v>
      </c>
      <c r="C117" s="29" t="s">
        <v>3</v>
      </c>
      <c r="D117" s="31" t="s">
        <v>72</v>
      </c>
      <c r="E117" s="115">
        <v>41087</v>
      </c>
      <c r="F117" s="26">
        <v>1</v>
      </c>
      <c r="G117" s="37">
        <v>29.4</v>
      </c>
      <c r="H117" s="34">
        <v>117</v>
      </c>
      <c r="O117" s="201">
        <v>2012</v>
      </c>
    </row>
    <row r="118" spans="1:15" ht="15.75" x14ac:dyDescent="0.25">
      <c r="A118" s="103" t="s">
        <v>92</v>
      </c>
      <c r="B118" s="29" t="s">
        <v>504</v>
      </c>
      <c r="C118" s="29" t="s">
        <v>3</v>
      </c>
      <c r="D118" s="31" t="s">
        <v>69</v>
      </c>
      <c r="E118" s="32">
        <v>2010</v>
      </c>
      <c r="F118" s="26">
        <v>1</v>
      </c>
      <c r="G118" s="37">
        <v>69.349999999999994</v>
      </c>
      <c r="H118" s="47">
        <v>223</v>
      </c>
      <c r="O118" s="201">
        <v>2010</v>
      </c>
    </row>
    <row r="119" spans="1:15" ht="15.75" x14ac:dyDescent="0.25">
      <c r="A119" s="103" t="s">
        <v>92</v>
      </c>
      <c r="B119" s="29" t="s">
        <v>302</v>
      </c>
      <c r="C119" s="29" t="s">
        <v>3</v>
      </c>
      <c r="D119" s="31" t="s">
        <v>69</v>
      </c>
      <c r="E119" s="85">
        <v>41627</v>
      </c>
      <c r="F119" s="26">
        <v>1</v>
      </c>
      <c r="G119" s="37">
        <v>191.28</v>
      </c>
      <c r="H119" s="34">
        <v>766</v>
      </c>
      <c r="O119" s="201">
        <v>2013</v>
      </c>
    </row>
    <row r="120" spans="1:15" ht="15.75" x14ac:dyDescent="0.25">
      <c r="A120" s="103" t="s">
        <v>92</v>
      </c>
      <c r="B120" s="29" t="s">
        <v>310</v>
      </c>
      <c r="C120" s="29" t="s">
        <v>3</v>
      </c>
      <c r="D120" s="31" t="s">
        <v>72</v>
      </c>
      <c r="E120" s="43">
        <v>41389</v>
      </c>
      <c r="F120" s="26">
        <v>1</v>
      </c>
      <c r="G120" s="64">
        <v>23.8</v>
      </c>
      <c r="H120" s="46">
        <v>72.293999999999997</v>
      </c>
      <c r="O120" s="201">
        <v>2013</v>
      </c>
    </row>
    <row r="121" spans="1:15" ht="31.5" x14ac:dyDescent="0.25">
      <c r="A121" s="103" t="s">
        <v>92</v>
      </c>
      <c r="B121" s="44" t="s">
        <v>314</v>
      </c>
      <c r="C121" s="29" t="s">
        <v>3</v>
      </c>
      <c r="D121" s="31" t="s">
        <v>72</v>
      </c>
      <c r="E121" s="59">
        <v>2009</v>
      </c>
      <c r="F121" s="26">
        <v>1</v>
      </c>
      <c r="G121" s="37">
        <v>4.6760000000000002</v>
      </c>
      <c r="H121" s="47">
        <v>10</v>
      </c>
      <c r="O121" s="65">
        <v>2009</v>
      </c>
    </row>
    <row r="122" spans="1:15" ht="15.75" x14ac:dyDescent="0.25">
      <c r="A122" s="103" t="s">
        <v>92</v>
      </c>
      <c r="B122" s="44" t="s">
        <v>431</v>
      </c>
      <c r="C122" s="29" t="s">
        <v>3</v>
      </c>
      <c r="D122" s="31" t="s">
        <v>69</v>
      </c>
      <c r="E122" s="43">
        <v>41324</v>
      </c>
      <c r="F122" s="26">
        <v>1</v>
      </c>
      <c r="G122" s="64">
        <v>155.85</v>
      </c>
      <c r="H122" s="47">
        <v>378.38</v>
      </c>
      <c r="O122" s="65">
        <v>2013</v>
      </c>
    </row>
    <row r="123" spans="1:15" ht="15.75" x14ac:dyDescent="0.25">
      <c r="A123" s="103" t="s">
        <v>92</v>
      </c>
      <c r="B123" s="29" t="s">
        <v>433</v>
      </c>
      <c r="C123" s="29" t="s">
        <v>3</v>
      </c>
      <c r="D123" s="31" t="s">
        <v>69</v>
      </c>
      <c r="E123" s="52">
        <v>41487</v>
      </c>
      <c r="F123" s="26">
        <v>1</v>
      </c>
      <c r="G123" s="64">
        <v>20</v>
      </c>
      <c r="H123" s="46">
        <v>120.215</v>
      </c>
      <c r="O123" s="65">
        <v>2013</v>
      </c>
    </row>
    <row r="124" spans="1:15" ht="15.75" x14ac:dyDescent="0.25">
      <c r="A124" s="103" t="s">
        <v>92</v>
      </c>
      <c r="B124" s="29" t="s">
        <v>434</v>
      </c>
      <c r="C124" s="29" t="s">
        <v>3</v>
      </c>
      <c r="D124" s="31" t="s">
        <v>69</v>
      </c>
      <c r="E124" s="85">
        <v>40899</v>
      </c>
      <c r="F124" s="26">
        <v>1</v>
      </c>
      <c r="G124" s="64">
        <v>89.42</v>
      </c>
      <c r="H124" s="46">
        <v>203.14</v>
      </c>
      <c r="O124" s="65">
        <v>2011</v>
      </c>
    </row>
    <row r="125" spans="1:15" ht="15.75" x14ac:dyDescent="0.25">
      <c r="A125" s="103" t="s">
        <v>92</v>
      </c>
      <c r="B125" s="29" t="s">
        <v>435</v>
      </c>
      <c r="C125" s="29" t="s">
        <v>3</v>
      </c>
      <c r="D125" s="31" t="s">
        <v>72</v>
      </c>
      <c r="E125" s="32">
        <v>2006</v>
      </c>
      <c r="F125" s="26">
        <v>1</v>
      </c>
      <c r="G125" s="37">
        <v>49.6</v>
      </c>
      <c r="H125" s="63">
        <v>179</v>
      </c>
      <c r="O125" s="201">
        <v>2006</v>
      </c>
    </row>
    <row r="126" spans="1:15" ht="15.75" x14ac:dyDescent="0.25">
      <c r="A126" s="103" t="s">
        <v>92</v>
      </c>
      <c r="B126" s="62" t="s">
        <v>364</v>
      </c>
      <c r="C126" s="29" t="s">
        <v>3</v>
      </c>
      <c r="D126" s="31" t="s">
        <v>72</v>
      </c>
      <c r="E126" s="43">
        <v>41331</v>
      </c>
      <c r="F126" s="26">
        <v>1</v>
      </c>
      <c r="G126" s="37">
        <v>49.99</v>
      </c>
      <c r="H126" s="34">
        <v>208</v>
      </c>
      <c r="O126" s="201">
        <v>2013</v>
      </c>
    </row>
    <row r="127" spans="1:15" ht="25.5" x14ac:dyDescent="0.25">
      <c r="A127" s="103" t="s">
        <v>92</v>
      </c>
      <c r="B127" s="44" t="s">
        <v>466</v>
      </c>
      <c r="C127" s="29" t="s">
        <v>3</v>
      </c>
      <c r="D127" s="116" t="s">
        <v>73</v>
      </c>
      <c r="E127" s="43">
        <v>41041</v>
      </c>
      <c r="F127" s="26">
        <v>1</v>
      </c>
      <c r="G127" s="37">
        <v>26.98</v>
      </c>
      <c r="H127" s="34">
        <v>110</v>
      </c>
      <c r="O127" s="201">
        <v>2013</v>
      </c>
    </row>
    <row r="128" spans="1:15" ht="15.75" x14ac:dyDescent="0.25">
      <c r="A128" s="103" t="s">
        <v>92</v>
      </c>
      <c r="B128" s="44" t="s">
        <v>465</v>
      </c>
      <c r="C128" s="29" t="s">
        <v>3</v>
      </c>
      <c r="D128" s="31" t="s">
        <v>69</v>
      </c>
      <c r="E128" s="43">
        <v>41166</v>
      </c>
      <c r="F128" s="26">
        <v>1</v>
      </c>
      <c r="G128" s="37">
        <v>28.54</v>
      </c>
      <c r="H128" s="34">
        <v>95.26</v>
      </c>
      <c r="O128" s="201">
        <v>2012</v>
      </c>
    </row>
    <row r="129" spans="1:15" ht="15.75" x14ac:dyDescent="0.25">
      <c r="A129" s="103" t="s">
        <v>92</v>
      </c>
      <c r="B129" s="29" t="s">
        <v>456</v>
      </c>
      <c r="C129" s="29" t="s">
        <v>3</v>
      </c>
      <c r="D129" s="31" t="s">
        <v>69</v>
      </c>
      <c r="E129" s="32">
        <v>2010</v>
      </c>
      <c r="F129" s="26">
        <v>1</v>
      </c>
      <c r="G129" s="37">
        <v>310.66000000000003</v>
      </c>
      <c r="H129" s="47">
        <v>1141</v>
      </c>
      <c r="O129" s="201">
        <v>2010</v>
      </c>
    </row>
    <row r="130" spans="1:15" ht="15.75" x14ac:dyDescent="0.25">
      <c r="A130" s="105" t="s">
        <v>92</v>
      </c>
      <c r="B130" s="56" t="s">
        <v>667</v>
      </c>
      <c r="C130" s="56" t="s">
        <v>3</v>
      </c>
      <c r="D130" s="58" t="s">
        <v>69</v>
      </c>
      <c r="E130" s="85">
        <v>42193</v>
      </c>
      <c r="F130" s="60">
        <v>1</v>
      </c>
      <c r="G130" s="33">
        <v>76</v>
      </c>
      <c r="H130" s="61">
        <v>345</v>
      </c>
      <c r="O130" s="201">
        <v>2015</v>
      </c>
    </row>
    <row r="131" spans="1:15" ht="15.75" x14ac:dyDescent="0.25">
      <c r="A131" s="105" t="s">
        <v>92</v>
      </c>
      <c r="B131" s="56" t="s">
        <v>668</v>
      </c>
      <c r="C131" s="56" t="s">
        <v>3</v>
      </c>
      <c r="D131" s="58" t="s">
        <v>72</v>
      </c>
      <c r="E131" s="85">
        <v>42035</v>
      </c>
      <c r="F131" s="60">
        <v>1</v>
      </c>
      <c r="G131" s="33">
        <v>81.852999999999994</v>
      </c>
      <c r="H131" s="61">
        <v>234</v>
      </c>
      <c r="O131" s="201">
        <v>2015</v>
      </c>
    </row>
    <row r="132" spans="1:15" ht="15.75" x14ac:dyDescent="0.25">
      <c r="A132" s="105" t="s">
        <v>92</v>
      </c>
      <c r="B132" s="56" t="s">
        <v>669</v>
      </c>
      <c r="C132" s="56" t="s">
        <v>3</v>
      </c>
      <c r="D132" s="58" t="s">
        <v>72</v>
      </c>
      <c r="E132" s="59">
        <v>1991</v>
      </c>
      <c r="F132" s="60">
        <v>1</v>
      </c>
      <c r="G132" s="33">
        <v>7.5</v>
      </c>
      <c r="H132" s="61">
        <v>33</v>
      </c>
      <c r="O132" s="65">
        <v>1991</v>
      </c>
    </row>
    <row r="133" spans="1:15" ht="15.75" x14ac:dyDescent="0.25">
      <c r="A133" s="110" t="s">
        <v>93</v>
      </c>
      <c r="B133" s="39" t="s">
        <v>177</v>
      </c>
      <c r="C133" s="111" t="s">
        <v>47</v>
      </c>
      <c r="D133" s="31" t="s">
        <v>69</v>
      </c>
      <c r="E133" s="40">
        <v>1996</v>
      </c>
      <c r="F133" s="26">
        <v>1</v>
      </c>
      <c r="G133" s="41">
        <v>10.199999999999999</v>
      </c>
      <c r="H133" s="42">
        <v>47</v>
      </c>
      <c r="O133" s="204">
        <v>1996</v>
      </c>
    </row>
    <row r="134" spans="1:15" ht="15.75" x14ac:dyDescent="0.25">
      <c r="A134" s="110" t="s">
        <v>93</v>
      </c>
      <c r="B134" s="29" t="s">
        <v>486</v>
      </c>
      <c r="C134" s="111" t="s">
        <v>47</v>
      </c>
      <c r="D134" s="31" t="s">
        <v>72</v>
      </c>
      <c r="E134" s="59">
        <v>2009</v>
      </c>
      <c r="F134" s="26">
        <v>1</v>
      </c>
      <c r="G134" s="64">
        <v>24.407</v>
      </c>
      <c r="H134" s="47">
        <v>90.5</v>
      </c>
      <c r="O134" s="65">
        <v>2009</v>
      </c>
    </row>
    <row r="135" spans="1:15" ht="15.75" x14ac:dyDescent="0.25">
      <c r="A135" s="110" t="s">
        <v>93</v>
      </c>
      <c r="B135" s="29" t="s">
        <v>221</v>
      </c>
      <c r="C135" s="111" t="s">
        <v>47</v>
      </c>
      <c r="D135" s="31" t="s">
        <v>72</v>
      </c>
      <c r="E135" s="32">
        <v>2004</v>
      </c>
      <c r="F135" s="26">
        <v>1</v>
      </c>
      <c r="G135" s="37">
        <v>48.5</v>
      </c>
      <c r="H135" s="34">
        <v>74.8</v>
      </c>
      <c r="O135" s="201">
        <v>2004</v>
      </c>
    </row>
    <row r="136" spans="1:15" ht="15.75" x14ac:dyDescent="0.25">
      <c r="A136" s="110" t="s">
        <v>93</v>
      </c>
      <c r="B136" s="29" t="s">
        <v>498</v>
      </c>
      <c r="C136" s="111" t="s">
        <v>47</v>
      </c>
      <c r="D136" s="31" t="s">
        <v>72</v>
      </c>
      <c r="E136" s="43">
        <v>41306</v>
      </c>
      <c r="F136" s="26">
        <v>1</v>
      </c>
      <c r="G136" s="37">
        <v>1.97</v>
      </c>
      <c r="H136" s="47">
        <v>11</v>
      </c>
      <c r="O136" s="201">
        <v>2013</v>
      </c>
    </row>
    <row r="137" spans="1:15" ht="15.75" x14ac:dyDescent="0.25">
      <c r="A137" s="110" t="s">
        <v>93</v>
      </c>
      <c r="B137" s="29" t="s">
        <v>269</v>
      </c>
      <c r="C137" s="111" t="s">
        <v>47</v>
      </c>
      <c r="D137" s="31" t="s">
        <v>72</v>
      </c>
      <c r="E137" s="32">
        <f>E129</f>
        <v>2010</v>
      </c>
      <c r="F137" s="26">
        <v>1</v>
      </c>
      <c r="G137" s="37">
        <v>10.01</v>
      </c>
      <c r="H137" s="47">
        <v>43</v>
      </c>
      <c r="O137" s="201">
        <f>O129</f>
        <v>2010</v>
      </c>
    </row>
    <row r="138" spans="1:15" ht="15.75" x14ac:dyDescent="0.25">
      <c r="A138" s="110" t="s">
        <v>93</v>
      </c>
      <c r="B138" s="29" t="s">
        <v>517</v>
      </c>
      <c r="C138" s="111" t="s">
        <v>47</v>
      </c>
      <c r="D138" s="31" t="s">
        <v>72</v>
      </c>
      <c r="E138" s="32">
        <v>2009</v>
      </c>
      <c r="F138" s="26">
        <v>1</v>
      </c>
      <c r="G138" s="37">
        <v>35.258000000000003</v>
      </c>
      <c r="H138" s="34">
        <v>120</v>
      </c>
      <c r="O138" s="201">
        <v>2009</v>
      </c>
    </row>
    <row r="139" spans="1:15" ht="15.75" x14ac:dyDescent="0.25">
      <c r="A139" s="110" t="s">
        <v>93</v>
      </c>
      <c r="B139" s="29" t="s">
        <v>330</v>
      </c>
      <c r="C139" s="111" t="s">
        <v>47</v>
      </c>
      <c r="D139" s="31" t="s">
        <v>72</v>
      </c>
      <c r="E139" s="185">
        <v>40737</v>
      </c>
      <c r="F139" s="26">
        <v>1</v>
      </c>
      <c r="G139" s="64">
        <v>47.7</v>
      </c>
      <c r="H139" s="46">
        <v>224</v>
      </c>
      <c r="O139" s="201">
        <v>2011</v>
      </c>
    </row>
    <row r="140" spans="1:15" ht="15.75" x14ac:dyDescent="0.25">
      <c r="A140" s="105" t="s">
        <v>93</v>
      </c>
      <c r="B140" s="29" t="s">
        <v>229</v>
      </c>
      <c r="C140" s="56" t="s">
        <v>47</v>
      </c>
      <c r="D140" s="31" t="s">
        <v>72</v>
      </c>
      <c r="E140" s="85">
        <v>40330</v>
      </c>
      <c r="F140" s="26">
        <v>1</v>
      </c>
      <c r="G140" s="33">
        <v>20.21</v>
      </c>
      <c r="H140" s="47">
        <v>95</v>
      </c>
      <c r="O140" s="201">
        <v>2010</v>
      </c>
    </row>
    <row r="141" spans="1:15" ht="15.75" x14ac:dyDescent="0.25">
      <c r="A141" s="110" t="s">
        <v>93</v>
      </c>
      <c r="B141" s="29" t="s">
        <v>439</v>
      </c>
      <c r="C141" s="111" t="s">
        <v>47</v>
      </c>
      <c r="D141" s="31" t="s">
        <v>72</v>
      </c>
      <c r="E141" s="32">
        <v>2004</v>
      </c>
      <c r="F141" s="26">
        <v>1</v>
      </c>
      <c r="G141" s="33">
        <v>23.73</v>
      </c>
      <c r="H141" s="63">
        <v>96.34</v>
      </c>
      <c r="O141" s="201">
        <v>2004</v>
      </c>
    </row>
    <row r="142" spans="1:15" ht="15.75" x14ac:dyDescent="0.25">
      <c r="A142" s="110" t="s">
        <v>93</v>
      </c>
      <c r="B142" s="29" t="s">
        <v>339</v>
      </c>
      <c r="C142" s="111" t="s">
        <v>47</v>
      </c>
      <c r="D142" s="31" t="s">
        <v>72</v>
      </c>
      <c r="E142" s="43">
        <v>41306</v>
      </c>
      <c r="F142" s="26">
        <v>1</v>
      </c>
      <c r="G142" s="37">
        <v>1.958</v>
      </c>
      <c r="H142" s="34">
        <v>7.1</v>
      </c>
      <c r="O142" s="201">
        <v>2013</v>
      </c>
    </row>
    <row r="143" spans="1:15" ht="15.75" x14ac:dyDescent="0.25">
      <c r="A143" s="110" t="s">
        <v>93</v>
      </c>
      <c r="B143" s="29" t="s">
        <v>344</v>
      </c>
      <c r="C143" s="111" t="s">
        <v>47</v>
      </c>
      <c r="D143" s="31" t="s">
        <v>72</v>
      </c>
      <c r="E143" s="85">
        <v>40872</v>
      </c>
      <c r="F143" s="26">
        <v>1</v>
      </c>
      <c r="G143" s="64">
        <v>8.06</v>
      </c>
      <c r="H143" s="46">
        <v>42.6</v>
      </c>
      <c r="O143" s="201">
        <v>2011</v>
      </c>
    </row>
    <row r="144" spans="1:15" ht="15.75" x14ac:dyDescent="0.25">
      <c r="A144" s="110" t="s">
        <v>93</v>
      </c>
      <c r="B144" s="29" t="s">
        <v>548</v>
      </c>
      <c r="C144" s="111" t="s">
        <v>47</v>
      </c>
      <c r="D144" s="31" t="s">
        <v>576</v>
      </c>
      <c r="E144" s="43">
        <v>41740</v>
      </c>
      <c r="F144" s="26">
        <v>1</v>
      </c>
      <c r="G144" s="37">
        <v>10.433</v>
      </c>
      <c r="H144" s="34">
        <v>38</v>
      </c>
      <c r="O144" s="201">
        <v>2014</v>
      </c>
    </row>
    <row r="145" spans="1:15" ht="15.75" x14ac:dyDescent="0.25">
      <c r="A145" s="110" t="s">
        <v>93</v>
      </c>
      <c r="B145" s="29" t="s">
        <v>569</v>
      </c>
      <c r="C145" s="111" t="s">
        <v>47</v>
      </c>
      <c r="D145" s="31" t="s">
        <v>576</v>
      </c>
      <c r="E145" s="43">
        <v>42003</v>
      </c>
      <c r="F145" s="26">
        <v>1</v>
      </c>
      <c r="G145" s="37">
        <v>6.62</v>
      </c>
      <c r="H145" s="34">
        <v>23</v>
      </c>
      <c r="O145" s="201">
        <v>2014</v>
      </c>
    </row>
    <row r="146" spans="1:15" ht="15.75" x14ac:dyDescent="0.25">
      <c r="A146" s="113" t="s">
        <v>93</v>
      </c>
      <c r="B146" s="56" t="s">
        <v>670</v>
      </c>
      <c r="C146" s="114" t="s">
        <v>47</v>
      </c>
      <c r="D146" s="58" t="s">
        <v>72</v>
      </c>
      <c r="E146" s="65">
        <v>1974</v>
      </c>
      <c r="F146" s="60">
        <v>1</v>
      </c>
      <c r="G146" s="33">
        <v>0.42399999999999999</v>
      </c>
      <c r="H146" s="63">
        <v>1</v>
      </c>
      <c r="O146" s="65">
        <v>1974</v>
      </c>
    </row>
    <row r="147" spans="1:15" ht="15.75" x14ac:dyDescent="0.25">
      <c r="A147" s="113" t="s">
        <v>93</v>
      </c>
      <c r="B147" s="56" t="s">
        <v>671</v>
      </c>
      <c r="C147" s="114" t="s">
        <v>47</v>
      </c>
      <c r="D147" s="58" t="s">
        <v>72</v>
      </c>
      <c r="E147" s="65">
        <v>1971</v>
      </c>
      <c r="F147" s="60">
        <v>1</v>
      </c>
      <c r="G147" s="33">
        <v>70</v>
      </c>
      <c r="H147" s="63">
        <v>315</v>
      </c>
      <c r="O147" s="65">
        <v>1971</v>
      </c>
    </row>
    <row r="148" spans="1:15" ht="15.75" x14ac:dyDescent="0.25">
      <c r="A148" s="113" t="s">
        <v>93</v>
      </c>
      <c r="B148" s="56" t="s">
        <v>672</v>
      </c>
      <c r="C148" s="114" t="s">
        <v>47</v>
      </c>
      <c r="D148" s="58" t="s">
        <v>72</v>
      </c>
      <c r="E148" s="65">
        <v>1974</v>
      </c>
      <c r="F148" s="60">
        <v>1</v>
      </c>
      <c r="G148" s="33">
        <v>56</v>
      </c>
      <c r="H148" s="63">
        <v>307</v>
      </c>
      <c r="O148" s="65">
        <v>1974</v>
      </c>
    </row>
    <row r="149" spans="1:15" ht="15.75" x14ac:dyDescent="0.25">
      <c r="A149" s="113" t="s">
        <v>93</v>
      </c>
      <c r="B149" s="56" t="s">
        <v>673</v>
      </c>
      <c r="C149" s="114" t="s">
        <v>47</v>
      </c>
      <c r="D149" s="58" t="s">
        <v>72</v>
      </c>
      <c r="E149" s="65">
        <v>1967</v>
      </c>
      <c r="F149" s="60">
        <v>1</v>
      </c>
      <c r="G149" s="33">
        <v>0.88</v>
      </c>
      <c r="H149" s="63">
        <v>3.6</v>
      </c>
      <c r="O149" s="65">
        <v>1967</v>
      </c>
    </row>
    <row r="150" spans="1:15" ht="15.75" x14ac:dyDescent="0.25">
      <c r="A150" s="113" t="s">
        <v>93</v>
      </c>
      <c r="B150" s="56" t="s">
        <v>674</v>
      </c>
      <c r="C150" s="114" t="s">
        <v>47</v>
      </c>
      <c r="D150" s="58" t="s">
        <v>72</v>
      </c>
      <c r="E150" s="65">
        <v>1971</v>
      </c>
      <c r="F150" s="60">
        <v>1</v>
      </c>
      <c r="G150" s="33">
        <v>0.32800000000000001</v>
      </c>
      <c r="H150" s="63">
        <v>1</v>
      </c>
      <c r="O150" s="65">
        <v>1971</v>
      </c>
    </row>
    <row r="151" spans="1:15" ht="15.75" x14ac:dyDescent="0.25">
      <c r="A151" s="113" t="s">
        <v>93</v>
      </c>
      <c r="B151" s="56" t="s">
        <v>675</v>
      </c>
      <c r="C151" s="114" t="s">
        <v>47</v>
      </c>
      <c r="D151" s="58" t="s">
        <v>69</v>
      </c>
      <c r="E151" s="85">
        <v>42081</v>
      </c>
      <c r="F151" s="60">
        <v>1</v>
      </c>
      <c r="G151" s="33">
        <v>31.57</v>
      </c>
      <c r="H151" s="63">
        <v>99.09</v>
      </c>
      <c r="O151" s="65">
        <v>2015</v>
      </c>
    </row>
    <row r="152" spans="1:15" ht="15.75" x14ac:dyDescent="0.25">
      <c r="A152" s="113" t="s">
        <v>93</v>
      </c>
      <c r="B152" s="56" t="s">
        <v>676</v>
      </c>
      <c r="C152" s="114" t="s">
        <v>47</v>
      </c>
      <c r="D152" s="58" t="s">
        <v>72</v>
      </c>
      <c r="E152" s="85">
        <v>42301</v>
      </c>
      <c r="F152" s="60">
        <v>1</v>
      </c>
      <c r="G152" s="33">
        <v>22.635999999999999</v>
      </c>
      <c r="H152" s="63">
        <v>75.03</v>
      </c>
      <c r="O152" s="65">
        <v>2015</v>
      </c>
    </row>
    <row r="153" spans="1:15" ht="15.75" x14ac:dyDescent="0.25">
      <c r="A153" s="106" t="s">
        <v>94</v>
      </c>
      <c r="B153" s="39" t="s">
        <v>159</v>
      </c>
      <c r="C153" s="31" t="s">
        <v>33</v>
      </c>
      <c r="D153" s="31" t="s">
        <v>72</v>
      </c>
      <c r="E153" s="72">
        <v>1954</v>
      </c>
      <c r="F153" s="26">
        <v>1</v>
      </c>
      <c r="G153" s="50">
        <v>4.0919999999999996</v>
      </c>
      <c r="H153" s="51">
        <v>15</v>
      </c>
      <c r="O153" s="207">
        <v>1954</v>
      </c>
    </row>
    <row r="154" spans="1:15" ht="15.75" x14ac:dyDescent="0.25">
      <c r="A154" s="106" t="s">
        <v>94</v>
      </c>
      <c r="B154" s="29" t="s">
        <v>382</v>
      </c>
      <c r="C154" s="31" t="s">
        <v>33</v>
      </c>
      <c r="D154" s="31" t="s">
        <v>72</v>
      </c>
      <c r="E154" s="186">
        <v>41412</v>
      </c>
      <c r="F154" s="26">
        <v>1</v>
      </c>
      <c r="G154" s="95">
        <v>9.98</v>
      </c>
      <c r="H154" s="47">
        <v>35.67</v>
      </c>
      <c r="O154" s="207">
        <v>2013</v>
      </c>
    </row>
    <row r="155" spans="1:15" ht="15.75" x14ac:dyDescent="0.25">
      <c r="A155" s="118" t="s">
        <v>95</v>
      </c>
      <c r="B155" s="39" t="s">
        <v>151</v>
      </c>
      <c r="C155" s="119" t="s">
        <v>36</v>
      </c>
      <c r="D155" s="31" t="s">
        <v>72</v>
      </c>
      <c r="E155" s="40">
        <v>1993</v>
      </c>
      <c r="F155" s="26">
        <v>1</v>
      </c>
      <c r="G155" s="41">
        <v>9.2639999999999993</v>
      </c>
      <c r="H155" s="42">
        <v>35</v>
      </c>
      <c r="O155" s="204">
        <v>1993</v>
      </c>
    </row>
    <row r="156" spans="1:15" ht="15.75" x14ac:dyDescent="0.25">
      <c r="A156" s="118" t="s">
        <v>95</v>
      </c>
      <c r="B156" s="39" t="s">
        <v>193</v>
      </c>
      <c r="C156" s="119" t="s">
        <v>36</v>
      </c>
      <c r="D156" s="31" t="s">
        <v>69</v>
      </c>
      <c r="E156" s="40">
        <v>2000</v>
      </c>
      <c r="F156" s="26">
        <v>1</v>
      </c>
      <c r="G156" s="41">
        <v>7</v>
      </c>
      <c r="H156" s="96">
        <v>28.04</v>
      </c>
      <c r="O156" s="204">
        <v>2000</v>
      </c>
    </row>
    <row r="157" spans="1:15" ht="15.75" x14ac:dyDescent="0.25">
      <c r="A157" s="118" t="s">
        <v>95</v>
      </c>
      <c r="B157" s="29" t="s">
        <v>210</v>
      </c>
      <c r="C157" s="119" t="s">
        <v>36</v>
      </c>
      <c r="D157" s="31" t="s">
        <v>72</v>
      </c>
      <c r="E157" s="32">
        <v>2007</v>
      </c>
      <c r="F157" s="26">
        <v>1</v>
      </c>
      <c r="G157" s="37">
        <v>40.5</v>
      </c>
      <c r="H157" s="47">
        <v>105</v>
      </c>
      <c r="O157" s="201">
        <v>2007</v>
      </c>
    </row>
    <row r="158" spans="1:15" ht="15.75" x14ac:dyDescent="0.25">
      <c r="A158" s="118" t="s">
        <v>95</v>
      </c>
      <c r="B158" s="44" t="s">
        <v>393</v>
      </c>
      <c r="C158" s="119" t="s">
        <v>36</v>
      </c>
      <c r="D158" s="31" t="s">
        <v>72</v>
      </c>
      <c r="E158" s="43">
        <v>41003</v>
      </c>
      <c r="F158" s="26">
        <v>1</v>
      </c>
      <c r="G158" s="64">
        <v>16.742999999999999</v>
      </c>
      <c r="H158" s="47">
        <v>46.395000000000003</v>
      </c>
      <c r="O158" s="201">
        <v>2012</v>
      </c>
    </row>
    <row r="159" spans="1:15" ht="15.75" x14ac:dyDescent="0.25">
      <c r="A159" s="118" t="s">
        <v>95</v>
      </c>
      <c r="B159" s="29" t="s">
        <v>233</v>
      </c>
      <c r="C159" s="119" t="s">
        <v>36</v>
      </c>
      <c r="D159" s="31" t="s">
        <v>72</v>
      </c>
      <c r="E159" s="85">
        <v>40275</v>
      </c>
      <c r="F159" s="26">
        <v>1</v>
      </c>
      <c r="G159" s="37">
        <v>9.5399999999999991</v>
      </c>
      <c r="H159" s="47">
        <v>32</v>
      </c>
      <c r="O159" s="201">
        <v>2010</v>
      </c>
    </row>
    <row r="160" spans="1:15" ht="15.75" x14ac:dyDescent="0.25">
      <c r="A160" s="118" t="s">
        <v>95</v>
      </c>
      <c r="B160" s="29" t="s">
        <v>247</v>
      </c>
      <c r="C160" s="119" t="s">
        <v>36</v>
      </c>
      <c r="D160" s="31" t="s">
        <v>72</v>
      </c>
      <c r="E160" s="32">
        <v>2008</v>
      </c>
      <c r="F160" s="26">
        <v>1</v>
      </c>
      <c r="G160" s="37">
        <v>38.72</v>
      </c>
      <c r="H160" s="34">
        <v>114.26</v>
      </c>
      <c r="O160" s="201">
        <v>2008</v>
      </c>
    </row>
    <row r="161" spans="1:15" ht="15.75" x14ac:dyDescent="0.25">
      <c r="A161" s="118" t="s">
        <v>95</v>
      </c>
      <c r="B161" s="29" t="s">
        <v>266</v>
      </c>
      <c r="C161" s="119" t="s">
        <v>36</v>
      </c>
      <c r="D161" s="31" t="s">
        <v>72</v>
      </c>
      <c r="E161" s="32">
        <v>2008</v>
      </c>
      <c r="F161" s="26">
        <v>1</v>
      </c>
      <c r="G161" s="37">
        <v>9.26</v>
      </c>
      <c r="H161" s="34">
        <v>36</v>
      </c>
      <c r="O161" s="201">
        <v>2008</v>
      </c>
    </row>
    <row r="162" spans="1:15" ht="15.75" x14ac:dyDescent="0.25">
      <c r="A162" s="118" t="s">
        <v>95</v>
      </c>
      <c r="B162" s="29" t="s">
        <v>270</v>
      </c>
      <c r="C162" s="119" t="s">
        <v>36</v>
      </c>
      <c r="D162" s="31" t="s">
        <v>72</v>
      </c>
      <c r="E162" s="43">
        <v>40998</v>
      </c>
      <c r="F162" s="26">
        <v>1</v>
      </c>
      <c r="G162" s="37">
        <v>24.265999999999998</v>
      </c>
      <c r="H162" s="34">
        <v>60.26</v>
      </c>
      <c r="O162" s="201">
        <v>2012</v>
      </c>
    </row>
    <row r="163" spans="1:15" ht="15.75" x14ac:dyDescent="0.25">
      <c r="A163" s="118" t="s">
        <v>95</v>
      </c>
      <c r="B163" s="29" t="s">
        <v>274</v>
      </c>
      <c r="C163" s="119" t="s">
        <v>36</v>
      </c>
      <c r="D163" s="31" t="s">
        <v>72</v>
      </c>
      <c r="E163" s="32">
        <v>2009</v>
      </c>
      <c r="F163" s="26">
        <v>1</v>
      </c>
      <c r="G163" s="37">
        <v>1.8</v>
      </c>
      <c r="H163" s="34">
        <v>4.28</v>
      </c>
      <c r="O163" s="201">
        <v>2009</v>
      </c>
    </row>
    <row r="164" spans="1:15" ht="15.75" x14ac:dyDescent="0.25">
      <c r="A164" s="118" t="s">
        <v>95</v>
      </c>
      <c r="B164" s="29" t="s">
        <v>277</v>
      </c>
      <c r="C164" s="119" t="s">
        <v>36</v>
      </c>
      <c r="D164" s="31" t="s">
        <v>72</v>
      </c>
      <c r="E164" s="43">
        <v>40619</v>
      </c>
      <c r="F164" s="26">
        <v>1</v>
      </c>
      <c r="G164" s="37">
        <v>142.28</v>
      </c>
      <c r="H164" s="47">
        <v>334.02100000000002</v>
      </c>
      <c r="O164" s="201">
        <v>2011</v>
      </c>
    </row>
    <row r="165" spans="1:15" ht="15.75" x14ac:dyDescent="0.25">
      <c r="A165" s="118" t="s">
        <v>95</v>
      </c>
      <c r="B165" s="29" t="s">
        <v>287</v>
      </c>
      <c r="C165" s="119" t="s">
        <v>36</v>
      </c>
      <c r="D165" s="31" t="s">
        <v>72</v>
      </c>
      <c r="E165" s="32">
        <v>2009</v>
      </c>
      <c r="F165" s="26">
        <v>1</v>
      </c>
      <c r="G165" s="37">
        <v>34.130000000000003</v>
      </c>
      <c r="H165" s="47">
        <v>107</v>
      </c>
      <c r="O165" s="201">
        <v>2009</v>
      </c>
    </row>
    <row r="166" spans="1:15" ht="15.75" x14ac:dyDescent="0.25">
      <c r="A166" s="118" t="s">
        <v>95</v>
      </c>
      <c r="B166" s="29" t="s">
        <v>427</v>
      </c>
      <c r="C166" s="119" t="s">
        <v>36</v>
      </c>
      <c r="D166" s="31" t="s">
        <v>69</v>
      </c>
      <c r="E166" s="43">
        <v>41569</v>
      </c>
      <c r="F166" s="26">
        <v>1</v>
      </c>
      <c r="G166" s="37">
        <v>207.92</v>
      </c>
      <c r="H166" s="34">
        <v>502</v>
      </c>
      <c r="O166" s="201">
        <v>2013</v>
      </c>
    </row>
    <row r="167" spans="1:15" ht="15.75" x14ac:dyDescent="0.25">
      <c r="A167" s="118" t="s">
        <v>95</v>
      </c>
      <c r="B167" s="29" t="s">
        <v>293</v>
      </c>
      <c r="C167" s="119" t="s">
        <v>36</v>
      </c>
      <c r="D167" s="31" t="s">
        <v>72</v>
      </c>
      <c r="E167" s="43">
        <v>41405</v>
      </c>
      <c r="F167" s="26">
        <v>1</v>
      </c>
      <c r="G167" s="37">
        <v>8</v>
      </c>
      <c r="H167" s="34">
        <v>24</v>
      </c>
      <c r="O167" s="201">
        <v>2013</v>
      </c>
    </row>
    <row r="168" spans="1:15" ht="15.75" x14ac:dyDescent="0.25">
      <c r="A168" s="118" t="s">
        <v>95</v>
      </c>
      <c r="B168" s="29" t="s">
        <v>295</v>
      </c>
      <c r="C168" s="119" t="s">
        <v>36</v>
      </c>
      <c r="D168" s="31" t="s">
        <v>72</v>
      </c>
      <c r="E168" s="32">
        <v>2007</v>
      </c>
      <c r="F168" s="26">
        <v>1</v>
      </c>
      <c r="G168" s="37">
        <v>2.4</v>
      </c>
      <c r="H168" s="34">
        <v>18.72</v>
      </c>
      <c r="O168" s="201">
        <v>2007</v>
      </c>
    </row>
    <row r="169" spans="1:15" ht="15.75" x14ac:dyDescent="0.25">
      <c r="A169" s="118" t="s">
        <v>95</v>
      </c>
      <c r="B169" s="29" t="s">
        <v>298</v>
      </c>
      <c r="C169" s="119" t="s">
        <v>36</v>
      </c>
      <c r="D169" s="31" t="s">
        <v>72</v>
      </c>
      <c r="E169" s="117">
        <v>2005</v>
      </c>
      <c r="F169" s="26">
        <v>1</v>
      </c>
      <c r="G169" s="120">
        <v>23.9</v>
      </c>
      <c r="H169" s="47">
        <v>71</v>
      </c>
      <c r="O169" s="210">
        <v>2005</v>
      </c>
    </row>
    <row r="170" spans="1:15" ht="15.75" x14ac:dyDescent="0.25">
      <c r="A170" s="118" t="s">
        <v>95</v>
      </c>
      <c r="B170" s="29" t="s">
        <v>300</v>
      </c>
      <c r="C170" s="119" t="s">
        <v>36</v>
      </c>
      <c r="D170" s="31" t="s">
        <v>69</v>
      </c>
      <c r="E170" s="43">
        <v>41088</v>
      </c>
      <c r="F170" s="26">
        <v>1</v>
      </c>
      <c r="G170" s="37">
        <v>8</v>
      </c>
      <c r="H170" s="34">
        <v>26.51</v>
      </c>
      <c r="O170" s="210">
        <v>2012</v>
      </c>
    </row>
    <row r="171" spans="1:15" ht="15.75" x14ac:dyDescent="0.25">
      <c r="A171" s="118" t="s">
        <v>95</v>
      </c>
      <c r="B171" s="29" t="s">
        <v>429</v>
      </c>
      <c r="C171" s="119" t="s">
        <v>36</v>
      </c>
      <c r="D171" s="31" t="s">
        <v>72</v>
      </c>
      <c r="E171" s="185">
        <v>40647</v>
      </c>
      <c r="F171" s="26">
        <v>1</v>
      </c>
      <c r="G171" s="64">
        <v>4.6093999999999999</v>
      </c>
      <c r="H171" s="46">
        <v>16.100000000000001</v>
      </c>
      <c r="O171" s="210">
        <v>2011</v>
      </c>
    </row>
    <row r="172" spans="1:15" ht="15.75" x14ac:dyDescent="0.25">
      <c r="A172" s="118" t="s">
        <v>95</v>
      </c>
      <c r="B172" s="29" t="s">
        <v>430</v>
      </c>
      <c r="C172" s="119" t="s">
        <v>36</v>
      </c>
      <c r="D172" s="31" t="s">
        <v>72</v>
      </c>
      <c r="E172" s="32">
        <v>2009</v>
      </c>
      <c r="F172" s="26">
        <v>1</v>
      </c>
      <c r="G172" s="37">
        <v>4.4000000000000004</v>
      </c>
      <c r="H172" s="34">
        <v>13.34</v>
      </c>
      <c r="O172" s="201">
        <v>2009</v>
      </c>
    </row>
    <row r="173" spans="1:15" ht="15.75" x14ac:dyDescent="0.25">
      <c r="A173" s="118" t="s">
        <v>95</v>
      </c>
      <c r="B173" s="29" t="s">
        <v>318</v>
      </c>
      <c r="C173" s="119" t="s">
        <v>36</v>
      </c>
      <c r="D173" s="31" t="s">
        <v>72</v>
      </c>
      <c r="E173" s="185">
        <v>40724</v>
      </c>
      <c r="F173" s="26">
        <v>1</v>
      </c>
      <c r="G173" s="64">
        <v>1.07</v>
      </c>
      <c r="H173" s="46">
        <v>4.5999999999999996</v>
      </c>
      <c r="O173" s="201">
        <v>2011</v>
      </c>
    </row>
    <row r="174" spans="1:15" ht="15.75" x14ac:dyDescent="0.25">
      <c r="A174" s="118" t="s">
        <v>95</v>
      </c>
      <c r="B174" s="29" t="s">
        <v>338</v>
      </c>
      <c r="C174" s="119" t="s">
        <v>36</v>
      </c>
      <c r="D174" s="31" t="s">
        <v>72</v>
      </c>
      <c r="E174" s="85">
        <v>40802</v>
      </c>
      <c r="F174" s="26">
        <v>1</v>
      </c>
      <c r="G174" s="37">
        <v>2.66</v>
      </c>
      <c r="H174" s="34">
        <v>9.98</v>
      </c>
      <c r="O174" s="201">
        <v>2011</v>
      </c>
    </row>
    <row r="175" spans="1:15" ht="15.75" x14ac:dyDescent="0.25">
      <c r="A175" s="118" t="s">
        <v>95</v>
      </c>
      <c r="B175" s="29" t="s">
        <v>442</v>
      </c>
      <c r="C175" s="119" t="s">
        <v>36</v>
      </c>
      <c r="D175" s="31" t="s">
        <v>69</v>
      </c>
      <c r="E175" s="43">
        <v>41537</v>
      </c>
      <c r="F175" s="26">
        <v>1</v>
      </c>
      <c r="G175" s="64">
        <v>102.54</v>
      </c>
      <c r="H175" s="46">
        <v>282</v>
      </c>
      <c r="O175" s="201">
        <v>2013</v>
      </c>
    </row>
    <row r="176" spans="1:15" ht="15.75" x14ac:dyDescent="0.25">
      <c r="A176" s="118" t="s">
        <v>95</v>
      </c>
      <c r="B176" s="29" t="s">
        <v>490</v>
      </c>
      <c r="C176" s="119" t="s">
        <v>36</v>
      </c>
      <c r="D176" s="31" t="s">
        <v>72</v>
      </c>
      <c r="E176" s="32">
        <v>2004</v>
      </c>
      <c r="F176" s="26">
        <v>1</v>
      </c>
      <c r="G176" s="37">
        <v>4.5</v>
      </c>
      <c r="H176" s="34">
        <v>18.88</v>
      </c>
      <c r="O176" s="201">
        <v>2004</v>
      </c>
    </row>
    <row r="177" spans="1:15" ht="15.75" x14ac:dyDescent="0.25">
      <c r="A177" s="118" t="s">
        <v>95</v>
      </c>
      <c r="B177" s="29" t="s">
        <v>447</v>
      </c>
      <c r="C177" s="119" t="s">
        <v>36</v>
      </c>
      <c r="D177" s="31" t="s">
        <v>72</v>
      </c>
      <c r="E177" s="32">
        <v>2007</v>
      </c>
      <c r="F177" s="26">
        <v>1</v>
      </c>
      <c r="G177" s="37">
        <v>12.3</v>
      </c>
      <c r="H177" s="34">
        <v>48.292999999999999</v>
      </c>
      <c r="O177" s="201">
        <v>2007</v>
      </c>
    </row>
    <row r="178" spans="1:15" ht="15.75" x14ac:dyDescent="0.25">
      <c r="A178" s="118" t="s">
        <v>95</v>
      </c>
      <c r="B178" s="29" t="s">
        <v>358</v>
      </c>
      <c r="C178" s="119" t="s">
        <v>36</v>
      </c>
      <c r="D178" s="31" t="s">
        <v>72</v>
      </c>
      <c r="E178" s="32">
        <v>2008</v>
      </c>
      <c r="F178" s="26">
        <v>1</v>
      </c>
      <c r="G178" s="37">
        <v>0.82</v>
      </c>
      <c r="H178" s="34">
        <v>5.28</v>
      </c>
      <c r="O178" s="201">
        <v>2008</v>
      </c>
    </row>
    <row r="179" spans="1:15" ht="15.75" x14ac:dyDescent="0.25">
      <c r="A179" s="118" t="s">
        <v>95</v>
      </c>
      <c r="B179" s="29" t="s">
        <v>449</v>
      </c>
      <c r="C179" s="119" t="s">
        <v>36</v>
      </c>
      <c r="D179" s="31" t="s">
        <v>72</v>
      </c>
      <c r="E179" s="52">
        <v>41121</v>
      </c>
      <c r="F179" s="26">
        <v>1</v>
      </c>
      <c r="G179" s="37">
        <v>1.57</v>
      </c>
      <c r="H179" s="34">
        <v>10.86</v>
      </c>
      <c r="O179" s="201">
        <v>2012</v>
      </c>
    </row>
    <row r="180" spans="1:15" ht="15.75" x14ac:dyDescent="0.25">
      <c r="A180" s="118" t="s">
        <v>95</v>
      </c>
      <c r="B180" s="62" t="s">
        <v>363</v>
      </c>
      <c r="C180" s="119" t="s">
        <v>36</v>
      </c>
      <c r="D180" s="31" t="s">
        <v>72</v>
      </c>
      <c r="E180" s="43">
        <v>41314</v>
      </c>
      <c r="F180" s="26">
        <v>1</v>
      </c>
      <c r="G180" s="37">
        <v>14.834</v>
      </c>
      <c r="H180" s="34">
        <v>35</v>
      </c>
      <c r="O180" s="201">
        <v>2013</v>
      </c>
    </row>
    <row r="181" spans="1:15" ht="15.75" x14ac:dyDescent="0.25">
      <c r="A181" s="118" t="s">
        <v>95</v>
      </c>
      <c r="B181" s="44" t="s">
        <v>368</v>
      </c>
      <c r="C181" s="119" t="s">
        <v>36</v>
      </c>
      <c r="D181" s="31" t="s">
        <v>72</v>
      </c>
      <c r="E181" s="43">
        <v>41104</v>
      </c>
      <c r="F181" s="26">
        <v>1</v>
      </c>
      <c r="G181" s="45">
        <v>1.05</v>
      </c>
      <c r="H181" s="46">
        <v>4.59</v>
      </c>
      <c r="O181" s="201">
        <v>2012</v>
      </c>
    </row>
    <row r="182" spans="1:15" ht="15.75" x14ac:dyDescent="0.25">
      <c r="A182" s="118" t="s">
        <v>95</v>
      </c>
      <c r="B182" s="29" t="s">
        <v>374</v>
      </c>
      <c r="C182" s="119" t="s">
        <v>36</v>
      </c>
      <c r="D182" s="31" t="s">
        <v>72</v>
      </c>
      <c r="E182" s="185">
        <v>40723</v>
      </c>
      <c r="F182" s="26">
        <v>1</v>
      </c>
      <c r="G182" s="64">
        <v>3.794</v>
      </c>
      <c r="H182" s="46">
        <v>14.92</v>
      </c>
      <c r="O182" s="201">
        <v>2011</v>
      </c>
    </row>
    <row r="183" spans="1:15" ht="15.75" x14ac:dyDescent="0.25">
      <c r="A183" s="110" t="s">
        <v>95</v>
      </c>
      <c r="B183" s="29" t="s">
        <v>463</v>
      </c>
      <c r="C183" s="111" t="s">
        <v>36</v>
      </c>
      <c r="D183" s="31" t="s">
        <v>72</v>
      </c>
      <c r="E183" s="85">
        <v>41026</v>
      </c>
      <c r="F183" s="26">
        <v>1</v>
      </c>
      <c r="G183" s="37">
        <v>5.2</v>
      </c>
      <c r="H183" s="34">
        <v>18.280999999999999</v>
      </c>
      <c r="O183" s="201">
        <v>2012</v>
      </c>
    </row>
    <row r="184" spans="1:15" ht="15.75" x14ac:dyDescent="0.25">
      <c r="A184" s="113" t="s">
        <v>95</v>
      </c>
      <c r="B184" s="56" t="s">
        <v>677</v>
      </c>
      <c r="C184" s="114" t="s">
        <v>36</v>
      </c>
      <c r="D184" s="58" t="s">
        <v>72</v>
      </c>
      <c r="E184" s="85">
        <v>42073</v>
      </c>
      <c r="F184" s="60">
        <v>1</v>
      </c>
      <c r="G184" s="33">
        <v>27.38</v>
      </c>
      <c r="H184" s="63">
        <v>113</v>
      </c>
      <c r="O184" s="201">
        <v>2015</v>
      </c>
    </row>
    <row r="185" spans="1:15" ht="15.75" x14ac:dyDescent="0.25">
      <c r="A185" s="113" t="s">
        <v>95</v>
      </c>
      <c r="B185" s="56" t="s">
        <v>678</v>
      </c>
      <c r="C185" s="114" t="s">
        <v>36</v>
      </c>
      <c r="D185" s="58" t="s">
        <v>72</v>
      </c>
      <c r="E185" s="85">
        <v>42075</v>
      </c>
      <c r="F185" s="60">
        <v>1</v>
      </c>
      <c r="G185" s="33">
        <v>18.32</v>
      </c>
      <c r="H185" s="63">
        <v>30.01</v>
      </c>
      <c r="O185" s="201">
        <v>2015</v>
      </c>
    </row>
    <row r="186" spans="1:15" ht="15.75" x14ac:dyDescent="0.25">
      <c r="A186" s="113" t="s">
        <v>95</v>
      </c>
      <c r="B186" s="56" t="s">
        <v>679</v>
      </c>
      <c r="C186" s="114" t="s">
        <v>36</v>
      </c>
      <c r="D186" s="58" t="s">
        <v>72</v>
      </c>
      <c r="E186" s="65">
        <v>1991</v>
      </c>
      <c r="F186" s="60">
        <v>1</v>
      </c>
      <c r="G186" s="33">
        <v>283.5</v>
      </c>
      <c r="H186" s="63">
        <v>725</v>
      </c>
      <c r="O186" s="65">
        <v>1991</v>
      </c>
    </row>
    <row r="187" spans="1:15" ht="15.75" x14ac:dyDescent="0.25">
      <c r="A187" s="106" t="s">
        <v>96</v>
      </c>
      <c r="B187" s="39" t="s">
        <v>157</v>
      </c>
      <c r="C187" s="31" t="s">
        <v>53</v>
      </c>
      <c r="D187" s="31" t="s">
        <v>72</v>
      </c>
      <c r="E187" s="72">
        <v>1987</v>
      </c>
      <c r="F187" s="26">
        <v>1</v>
      </c>
      <c r="G187" s="50">
        <v>0.5</v>
      </c>
      <c r="H187" s="51">
        <v>1</v>
      </c>
      <c r="O187" s="207">
        <v>1987</v>
      </c>
    </row>
    <row r="188" spans="1:15" ht="15.75" x14ac:dyDescent="0.25">
      <c r="A188" s="106" t="s">
        <v>96</v>
      </c>
      <c r="B188" s="39" t="s">
        <v>158</v>
      </c>
      <c r="C188" s="31" t="s">
        <v>53</v>
      </c>
      <c r="D188" s="31" t="s">
        <v>72</v>
      </c>
      <c r="E188" s="72">
        <v>1955</v>
      </c>
      <c r="F188" s="26">
        <v>1</v>
      </c>
      <c r="G188" s="50">
        <v>0.4</v>
      </c>
      <c r="H188" s="51">
        <v>1.5</v>
      </c>
      <c r="O188" s="207">
        <v>1955</v>
      </c>
    </row>
    <row r="189" spans="1:15" ht="15.75" x14ac:dyDescent="0.25">
      <c r="A189" s="106" t="s">
        <v>96</v>
      </c>
      <c r="B189" s="29" t="s">
        <v>403</v>
      </c>
      <c r="C189" s="31" t="s">
        <v>53</v>
      </c>
      <c r="D189" s="31" t="s">
        <v>69</v>
      </c>
      <c r="E189" s="32">
        <v>2010</v>
      </c>
      <c r="F189" s="26">
        <v>1</v>
      </c>
      <c r="G189" s="37">
        <v>60</v>
      </c>
      <c r="H189" s="47">
        <v>250</v>
      </c>
      <c r="O189" s="201">
        <v>2010</v>
      </c>
    </row>
    <row r="190" spans="1:15" ht="15.75" x14ac:dyDescent="0.25">
      <c r="A190" s="106" t="s">
        <v>96</v>
      </c>
      <c r="B190" s="29" t="s">
        <v>256</v>
      </c>
      <c r="C190" s="31" t="s">
        <v>53</v>
      </c>
      <c r="D190" s="31" t="s">
        <v>72</v>
      </c>
      <c r="E190" s="43">
        <v>41520</v>
      </c>
      <c r="F190" s="26">
        <v>1</v>
      </c>
      <c r="G190" s="64">
        <v>3.05</v>
      </c>
      <c r="H190" s="46">
        <v>12.5</v>
      </c>
      <c r="O190" s="201">
        <v>2013</v>
      </c>
    </row>
    <row r="191" spans="1:15" ht="31.5" x14ac:dyDescent="0.25">
      <c r="A191" s="106" t="s">
        <v>96</v>
      </c>
      <c r="B191" s="29" t="s">
        <v>281</v>
      </c>
      <c r="C191" s="31" t="s">
        <v>53</v>
      </c>
      <c r="D191" s="31" t="s">
        <v>72</v>
      </c>
      <c r="E191" s="43" t="s">
        <v>2</v>
      </c>
      <c r="F191" s="26">
        <v>1</v>
      </c>
      <c r="G191" s="64">
        <v>8.48</v>
      </c>
      <c r="H191" s="46">
        <v>30</v>
      </c>
      <c r="O191" s="201">
        <v>2013</v>
      </c>
    </row>
    <row r="192" spans="1:15" ht="15.75" x14ac:dyDescent="0.25">
      <c r="A192" s="106" t="s">
        <v>96</v>
      </c>
      <c r="B192" s="29" t="s">
        <v>289</v>
      </c>
      <c r="C192" s="31" t="s">
        <v>53</v>
      </c>
      <c r="D192" s="31" t="s">
        <v>72</v>
      </c>
      <c r="E192" s="32">
        <v>2006</v>
      </c>
      <c r="F192" s="26">
        <v>1</v>
      </c>
      <c r="G192" s="37">
        <v>28.81</v>
      </c>
      <c r="H192" s="34">
        <v>51.64</v>
      </c>
      <c r="O192" s="201">
        <v>2006</v>
      </c>
    </row>
    <row r="193" spans="1:15" ht="15.75" x14ac:dyDescent="0.25">
      <c r="A193" s="106" t="s">
        <v>96</v>
      </c>
      <c r="B193" s="29" t="s">
        <v>523</v>
      </c>
      <c r="C193" s="31" t="s">
        <v>53</v>
      </c>
      <c r="D193" s="31" t="s">
        <v>72</v>
      </c>
      <c r="E193" s="32">
        <f>E192</f>
        <v>2006</v>
      </c>
      <c r="F193" s="26">
        <v>1</v>
      </c>
      <c r="G193" s="37">
        <v>7.35</v>
      </c>
      <c r="H193" s="47">
        <v>25</v>
      </c>
      <c r="O193" s="201">
        <f>O192</f>
        <v>2006</v>
      </c>
    </row>
    <row r="194" spans="1:15" ht="15.75" x14ac:dyDescent="0.25">
      <c r="A194" s="106" t="s">
        <v>96</v>
      </c>
      <c r="B194" s="29" t="s">
        <v>346</v>
      </c>
      <c r="C194" s="31" t="s">
        <v>53</v>
      </c>
      <c r="D194" s="31" t="s">
        <v>72</v>
      </c>
      <c r="E194" s="32">
        <v>2009</v>
      </c>
      <c r="F194" s="26">
        <v>1</v>
      </c>
      <c r="G194" s="37">
        <v>4.9000000000000004</v>
      </c>
      <c r="H194" s="34">
        <v>17</v>
      </c>
      <c r="O194" s="201">
        <v>2009</v>
      </c>
    </row>
    <row r="195" spans="1:15" ht="15.75" x14ac:dyDescent="0.25">
      <c r="A195" s="106" t="s">
        <v>96</v>
      </c>
      <c r="B195" s="29" t="s">
        <v>348</v>
      </c>
      <c r="C195" s="31" t="s">
        <v>53</v>
      </c>
      <c r="D195" s="31" t="s">
        <v>72</v>
      </c>
      <c r="E195" s="85">
        <v>40866</v>
      </c>
      <c r="F195" s="26">
        <v>1</v>
      </c>
      <c r="G195" s="45">
        <v>14.9</v>
      </c>
      <c r="H195" s="46">
        <v>48.3</v>
      </c>
      <c r="O195" s="201">
        <v>2011</v>
      </c>
    </row>
    <row r="196" spans="1:15" ht="15.75" x14ac:dyDescent="0.25">
      <c r="A196" s="106" t="s">
        <v>96</v>
      </c>
      <c r="B196" s="44" t="s">
        <v>372</v>
      </c>
      <c r="C196" s="31" t="s">
        <v>53</v>
      </c>
      <c r="D196" s="31" t="s">
        <v>69</v>
      </c>
      <c r="E196" s="185">
        <v>40744</v>
      </c>
      <c r="F196" s="26">
        <v>1</v>
      </c>
      <c r="G196" s="64">
        <v>5.46</v>
      </c>
      <c r="H196" s="46">
        <v>17</v>
      </c>
      <c r="O196" s="201">
        <v>2011</v>
      </c>
    </row>
    <row r="197" spans="1:15" ht="15.75" x14ac:dyDescent="0.25">
      <c r="A197" s="110" t="s">
        <v>96</v>
      </c>
      <c r="B197" s="29" t="s">
        <v>573</v>
      </c>
      <c r="C197" s="111" t="s">
        <v>53</v>
      </c>
      <c r="D197" s="31" t="s">
        <v>576</v>
      </c>
      <c r="E197" s="43">
        <v>41932</v>
      </c>
      <c r="F197" s="26">
        <v>1</v>
      </c>
      <c r="G197" s="37">
        <v>5</v>
      </c>
      <c r="H197" s="34">
        <v>12.57</v>
      </c>
      <c r="O197" s="201">
        <v>2014</v>
      </c>
    </row>
    <row r="198" spans="1:15" ht="15.75" x14ac:dyDescent="0.25">
      <c r="A198" s="110" t="s">
        <v>96</v>
      </c>
      <c r="B198" s="29" t="s">
        <v>559</v>
      </c>
      <c r="C198" s="111" t="s">
        <v>53</v>
      </c>
      <c r="D198" s="31" t="s">
        <v>576</v>
      </c>
      <c r="E198" s="43">
        <v>41810</v>
      </c>
      <c r="F198" s="26">
        <v>1</v>
      </c>
      <c r="G198" s="37">
        <v>9.06</v>
      </c>
      <c r="H198" s="34">
        <v>26.13</v>
      </c>
      <c r="O198" s="201">
        <v>2014</v>
      </c>
    </row>
    <row r="199" spans="1:15" ht="15.75" x14ac:dyDescent="0.25">
      <c r="A199" s="110" t="s">
        <v>96</v>
      </c>
      <c r="B199" s="29" t="s">
        <v>567</v>
      </c>
      <c r="C199" s="111" t="s">
        <v>53</v>
      </c>
      <c r="D199" s="31" t="s">
        <v>576</v>
      </c>
      <c r="E199" s="43">
        <v>41950</v>
      </c>
      <c r="F199" s="26">
        <v>1</v>
      </c>
      <c r="G199" s="37">
        <v>3.3879999999999999</v>
      </c>
      <c r="H199" s="34">
        <v>13.4</v>
      </c>
      <c r="O199" s="201">
        <v>2014</v>
      </c>
    </row>
    <row r="200" spans="1:15" ht="15.75" x14ac:dyDescent="0.25">
      <c r="A200" s="113" t="s">
        <v>96</v>
      </c>
      <c r="B200" s="56" t="s">
        <v>680</v>
      </c>
      <c r="C200" s="114" t="s">
        <v>53</v>
      </c>
      <c r="D200" s="58" t="s">
        <v>72</v>
      </c>
      <c r="E200" s="85">
        <v>42222</v>
      </c>
      <c r="F200" s="60">
        <v>1</v>
      </c>
      <c r="G200" s="33">
        <v>6.79</v>
      </c>
      <c r="H200" s="63">
        <v>15.55</v>
      </c>
      <c r="O200" s="201">
        <v>2015</v>
      </c>
    </row>
    <row r="201" spans="1:15" ht="15.75" x14ac:dyDescent="0.25">
      <c r="A201" s="113" t="s">
        <v>96</v>
      </c>
      <c r="B201" s="56" t="s">
        <v>681</v>
      </c>
      <c r="C201" s="114" t="s">
        <v>53</v>
      </c>
      <c r="D201" s="58" t="s">
        <v>72</v>
      </c>
      <c r="E201" s="85">
        <v>42279</v>
      </c>
      <c r="F201" s="60">
        <v>1</v>
      </c>
      <c r="G201" s="33">
        <v>153.4</v>
      </c>
      <c r="H201" s="63">
        <v>624</v>
      </c>
      <c r="O201" s="201">
        <v>2015</v>
      </c>
    </row>
    <row r="202" spans="1:15" ht="15.75" x14ac:dyDescent="0.25">
      <c r="A202" s="113" t="s">
        <v>96</v>
      </c>
      <c r="B202" s="56" t="s">
        <v>682</v>
      </c>
      <c r="C202" s="114" t="s">
        <v>53</v>
      </c>
      <c r="D202" s="58" t="s">
        <v>72</v>
      </c>
      <c r="E202" s="85">
        <v>37288</v>
      </c>
      <c r="F202" s="60">
        <v>1</v>
      </c>
      <c r="G202" s="33">
        <v>510</v>
      </c>
      <c r="H202" s="63">
        <v>1669</v>
      </c>
      <c r="O202" s="201">
        <v>2002</v>
      </c>
    </row>
    <row r="203" spans="1:15" ht="15.75" x14ac:dyDescent="0.25">
      <c r="A203" s="103" t="s">
        <v>97</v>
      </c>
      <c r="B203" s="29" t="s">
        <v>278</v>
      </c>
      <c r="C203" s="29" t="s">
        <v>42</v>
      </c>
      <c r="D203" s="31" t="s">
        <v>72</v>
      </c>
      <c r="E203" s="32">
        <v>2008</v>
      </c>
      <c r="F203" s="26">
        <v>1</v>
      </c>
      <c r="G203" s="37">
        <v>16.7</v>
      </c>
      <c r="H203" s="34">
        <v>90</v>
      </c>
      <c r="O203" s="201">
        <v>2008</v>
      </c>
    </row>
    <row r="204" spans="1:15" ht="15.75" x14ac:dyDescent="0.25">
      <c r="A204" s="105" t="s">
        <v>97</v>
      </c>
      <c r="B204" s="56" t="s">
        <v>683</v>
      </c>
      <c r="C204" s="56" t="s">
        <v>42</v>
      </c>
      <c r="D204" s="58" t="s">
        <v>72</v>
      </c>
      <c r="E204" s="85">
        <v>42145</v>
      </c>
      <c r="F204" s="60">
        <v>1</v>
      </c>
      <c r="G204" s="33">
        <v>17</v>
      </c>
      <c r="H204" s="63">
        <v>56</v>
      </c>
      <c r="O204" s="201">
        <v>2015</v>
      </c>
    </row>
    <row r="205" spans="1:15" ht="15.75" x14ac:dyDescent="0.25">
      <c r="A205" s="106" t="s">
        <v>98</v>
      </c>
      <c r="B205" s="39" t="s">
        <v>182</v>
      </c>
      <c r="C205" s="31" t="s">
        <v>51</v>
      </c>
      <c r="D205" s="31" t="s">
        <v>72</v>
      </c>
      <c r="E205" s="72">
        <v>1965</v>
      </c>
      <c r="F205" s="26">
        <v>1</v>
      </c>
      <c r="G205" s="50">
        <v>6.88E-2</v>
      </c>
      <c r="H205" s="51">
        <v>0.6</v>
      </c>
      <c r="O205" s="207">
        <v>1965</v>
      </c>
    </row>
    <row r="206" spans="1:15" ht="15.75" x14ac:dyDescent="0.25">
      <c r="A206" s="103" t="s">
        <v>99</v>
      </c>
      <c r="B206" s="62" t="s">
        <v>392</v>
      </c>
      <c r="C206" s="29" t="s">
        <v>50</v>
      </c>
      <c r="D206" s="31" t="s">
        <v>72</v>
      </c>
      <c r="E206" s="43">
        <v>41423</v>
      </c>
      <c r="F206" s="26">
        <v>1</v>
      </c>
      <c r="G206" s="33">
        <v>20.399999999999999</v>
      </c>
      <c r="H206" s="34">
        <v>80.260000000000005</v>
      </c>
      <c r="O206" s="207">
        <v>2013</v>
      </c>
    </row>
    <row r="207" spans="1:15" ht="15.75" x14ac:dyDescent="0.25">
      <c r="A207" s="103" t="s">
        <v>99</v>
      </c>
      <c r="B207" s="29" t="s">
        <v>397</v>
      </c>
      <c r="C207" s="29" t="s">
        <v>50</v>
      </c>
      <c r="D207" s="31" t="s">
        <v>69</v>
      </c>
      <c r="E207" s="43">
        <v>40563</v>
      </c>
      <c r="F207" s="26">
        <v>1</v>
      </c>
      <c r="G207" s="37">
        <v>47</v>
      </c>
      <c r="H207" s="47">
        <v>166</v>
      </c>
      <c r="O207" s="207">
        <v>2011</v>
      </c>
    </row>
    <row r="208" spans="1:15" ht="15.75" x14ac:dyDescent="0.25">
      <c r="A208" s="103" t="s">
        <v>99</v>
      </c>
      <c r="B208" s="29" t="s">
        <v>279</v>
      </c>
      <c r="C208" s="29" t="s">
        <v>50</v>
      </c>
      <c r="D208" s="31" t="s">
        <v>72</v>
      </c>
      <c r="E208" s="43">
        <v>41410</v>
      </c>
      <c r="F208" s="26">
        <v>1</v>
      </c>
      <c r="G208" s="37">
        <v>5.29</v>
      </c>
      <c r="H208" s="34">
        <v>36.380000000000003</v>
      </c>
      <c r="O208" s="207">
        <v>2013</v>
      </c>
    </row>
    <row r="209" spans="1:15" ht="15.75" x14ac:dyDescent="0.25">
      <c r="A209" s="103" t="s">
        <v>99</v>
      </c>
      <c r="B209" s="29" t="s">
        <v>343</v>
      </c>
      <c r="C209" s="29" t="s">
        <v>50</v>
      </c>
      <c r="D209" s="31" t="s">
        <v>72</v>
      </c>
      <c r="E209" s="85">
        <v>40930</v>
      </c>
      <c r="F209" s="26">
        <v>1</v>
      </c>
      <c r="G209" s="64">
        <v>6</v>
      </c>
      <c r="H209" s="46">
        <v>23</v>
      </c>
      <c r="O209" s="207">
        <v>2012</v>
      </c>
    </row>
    <row r="210" spans="1:15" ht="15.75" x14ac:dyDescent="0.25">
      <c r="A210" s="103" t="s">
        <v>99</v>
      </c>
      <c r="B210" s="29" t="s">
        <v>451</v>
      </c>
      <c r="C210" s="29" t="s">
        <v>50</v>
      </c>
      <c r="D210" s="31" t="s">
        <v>72</v>
      </c>
      <c r="E210" s="43">
        <v>41180</v>
      </c>
      <c r="F210" s="26">
        <v>1</v>
      </c>
      <c r="G210" s="121">
        <v>8.44</v>
      </c>
      <c r="H210" s="122">
        <v>71</v>
      </c>
      <c r="O210" s="207">
        <v>2012</v>
      </c>
    </row>
    <row r="211" spans="1:15" ht="15.75" x14ac:dyDescent="0.25">
      <c r="A211" s="110" t="s">
        <v>100</v>
      </c>
      <c r="B211" s="39" t="s">
        <v>164</v>
      </c>
      <c r="C211" s="111" t="s">
        <v>41</v>
      </c>
      <c r="D211" s="31" t="s">
        <v>72</v>
      </c>
      <c r="E211" s="72">
        <v>1924</v>
      </c>
      <c r="F211" s="26">
        <v>1</v>
      </c>
      <c r="G211" s="50">
        <v>9.9199999999999997E-2</v>
      </c>
      <c r="H211" s="51">
        <v>0.7</v>
      </c>
      <c r="O211" s="207">
        <v>1924</v>
      </c>
    </row>
    <row r="212" spans="1:15" ht="15.75" x14ac:dyDescent="0.25">
      <c r="A212" s="110" t="s">
        <v>100</v>
      </c>
      <c r="B212" s="39" t="s">
        <v>165</v>
      </c>
      <c r="C212" s="111" t="s">
        <v>41</v>
      </c>
      <c r="D212" s="31" t="s">
        <v>72</v>
      </c>
      <c r="E212" s="72">
        <v>1928</v>
      </c>
      <c r="F212" s="26">
        <v>1</v>
      </c>
      <c r="G212" s="50">
        <v>1.36</v>
      </c>
      <c r="H212" s="51">
        <v>4</v>
      </c>
      <c r="O212" s="207">
        <v>1928</v>
      </c>
    </row>
    <row r="213" spans="1:15" ht="15.75" x14ac:dyDescent="0.25">
      <c r="A213" s="110" t="s">
        <v>100</v>
      </c>
      <c r="B213" s="39" t="s">
        <v>471</v>
      </c>
      <c r="C213" s="111" t="s">
        <v>41</v>
      </c>
      <c r="D213" s="31" t="s">
        <v>72</v>
      </c>
      <c r="E213" s="40">
        <v>1998</v>
      </c>
      <c r="F213" s="26">
        <v>1</v>
      </c>
      <c r="G213" s="41">
        <v>84</v>
      </c>
      <c r="H213" s="42">
        <v>429</v>
      </c>
      <c r="O213" s="204">
        <v>1998</v>
      </c>
    </row>
    <row r="214" spans="1:15" ht="15.75" x14ac:dyDescent="0.25">
      <c r="A214" s="110" t="s">
        <v>100</v>
      </c>
      <c r="B214" s="39" t="s">
        <v>186</v>
      </c>
      <c r="C214" s="111" t="s">
        <v>41</v>
      </c>
      <c r="D214" s="31" t="s">
        <v>69</v>
      </c>
      <c r="E214" s="40">
        <v>2005</v>
      </c>
      <c r="F214" s="26">
        <v>1</v>
      </c>
      <c r="G214" s="41">
        <v>100</v>
      </c>
      <c r="H214" s="42">
        <v>423.5</v>
      </c>
      <c r="O214" s="204">
        <v>2005</v>
      </c>
    </row>
    <row r="215" spans="1:15" ht="15.75" x14ac:dyDescent="0.25">
      <c r="A215" s="110" t="s">
        <v>100</v>
      </c>
      <c r="B215" s="29" t="s">
        <v>684</v>
      </c>
      <c r="C215" s="111" t="s">
        <v>41</v>
      </c>
      <c r="D215" s="31" t="s">
        <v>69</v>
      </c>
      <c r="E215" s="43">
        <v>40634</v>
      </c>
      <c r="F215" s="26">
        <v>1</v>
      </c>
      <c r="G215" s="64">
        <v>27.617999999999999</v>
      </c>
      <c r="H215" s="46">
        <v>94.47</v>
      </c>
      <c r="O215" s="201">
        <v>2011</v>
      </c>
    </row>
    <row r="216" spans="1:15" ht="15.75" x14ac:dyDescent="0.25">
      <c r="A216" s="110" t="s">
        <v>100</v>
      </c>
      <c r="B216" s="29" t="s">
        <v>323</v>
      </c>
      <c r="C216" s="111" t="s">
        <v>41</v>
      </c>
      <c r="D216" s="31" t="s">
        <v>72</v>
      </c>
      <c r="E216" s="32">
        <v>2001</v>
      </c>
      <c r="F216" s="26">
        <v>1</v>
      </c>
      <c r="G216" s="33">
        <v>3.33</v>
      </c>
      <c r="H216" s="34">
        <v>12.5</v>
      </c>
      <c r="O216" s="201">
        <v>2001</v>
      </c>
    </row>
    <row r="217" spans="1:15" ht="15.75" x14ac:dyDescent="0.25">
      <c r="A217" s="110" t="s">
        <v>100</v>
      </c>
      <c r="B217" s="44" t="s">
        <v>371</v>
      </c>
      <c r="C217" s="111" t="s">
        <v>41</v>
      </c>
      <c r="D217" s="31" t="s">
        <v>72</v>
      </c>
      <c r="E217" s="185">
        <v>41663</v>
      </c>
      <c r="F217" s="26">
        <v>1</v>
      </c>
      <c r="G217" s="95">
        <v>0.31</v>
      </c>
      <c r="H217" s="46">
        <v>1</v>
      </c>
      <c r="O217" s="211">
        <v>2014</v>
      </c>
    </row>
    <row r="218" spans="1:15" ht="15.75" x14ac:dyDescent="0.25">
      <c r="A218" s="110" t="s">
        <v>100</v>
      </c>
      <c r="B218" s="29" t="s">
        <v>462</v>
      </c>
      <c r="C218" s="111" t="s">
        <v>41</v>
      </c>
      <c r="D218" s="31" t="s">
        <v>69</v>
      </c>
      <c r="E218" s="32">
        <v>2006</v>
      </c>
      <c r="F218" s="26">
        <v>1</v>
      </c>
      <c r="G218" s="37">
        <v>4.17</v>
      </c>
      <c r="H218" s="34">
        <v>15</v>
      </c>
      <c r="O218" s="201">
        <v>2006</v>
      </c>
    </row>
    <row r="219" spans="1:15" ht="15.75" x14ac:dyDescent="0.25">
      <c r="A219" s="110" t="s">
        <v>100</v>
      </c>
      <c r="B219" s="29" t="s">
        <v>547</v>
      </c>
      <c r="C219" s="111" t="s">
        <v>41</v>
      </c>
      <c r="D219" s="31" t="s">
        <v>576</v>
      </c>
      <c r="E219" s="43">
        <v>41761</v>
      </c>
      <c r="F219" s="26">
        <v>1</v>
      </c>
      <c r="G219" s="37">
        <v>17.579999999999998</v>
      </c>
      <c r="H219" s="34">
        <v>89.56</v>
      </c>
      <c r="O219" s="201">
        <v>2014</v>
      </c>
    </row>
    <row r="220" spans="1:15" ht="15.75" x14ac:dyDescent="0.25">
      <c r="A220" s="113" t="s">
        <v>100</v>
      </c>
      <c r="B220" s="90" t="s">
        <v>685</v>
      </c>
      <c r="C220" s="114" t="s">
        <v>41</v>
      </c>
      <c r="D220" s="58" t="s">
        <v>69</v>
      </c>
      <c r="E220" s="187">
        <v>42124</v>
      </c>
      <c r="F220" s="60">
        <v>1</v>
      </c>
      <c r="G220" s="123">
        <v>11.243</v>
      </c>
      <c r="H220" s="96">
        <v>35</v>
      </c>
      <c r="O220" s="206">
        <v>2015</v>
      </c>
    </row>
    <row r="221" spans="1:15" ht="15.75" x14ac:dyDescent="0.25">
      <c r="A221" s="113" t="s">
        <v>101</v>
      </c>
      <c r="B221" s="39" t="s">
        <v>163</v>
      </c>
      <c r="C221" s="114" t="s">
        <v>59</v>
      </c>
      <c r="D221" s="31" t="s">
        <v>72</v>
      </c>
      <c r="E221" s="40">
        <v>1961</v>
      </c>
      <c r="F221" s="26">
        <v>1</v>
      </c>
      <c r="G221" s="41">
        <v>6.78</v>
      </c>
      <c r="H221" s="42">
        <v>50</v>
      </c>
      <c r="O221" s="204">
        <v>1961</v>
      </c>
    </row>
    <row r="222" spans="1:15" ht="15.75" x14ac:dyDescent="0.25">
      <c r="A222" s="110" t="s">
        <v>101</v>
      </c>
      <c r="B222" s="39" t="s">
        <v>191</v>
      </c>
      <c r="C222" s="111" t="s">
        <v>59</v>
      </c>
      <c r="D222" s="31" t="s">
        <v>72</v>
      </c>
      <c r="E222" s="40">
        <v>1999</v>
      </c>
      <c r="F222" s="26">
        <v>1</v>
      </c>
      <c r="G222" s="124">
        <v>2.1259999999999999</v>
      </c>
      <c r="H222" s="125">
        <v>11.435</v>
      </c>
      <c r="O222" s="204">
        <v>1999</v>
      </c>
    </row>
    <row r="223" spans="1:15" ht="15.75" x14ac:dyDescent="0.25">
      <c r="A223" s="110" t="s">
        <v>101</v>
      </c>
      <c r="B223" s="39" t="s">
        <v>192</v>
      </c>
      <c r="C223" s="111" t="s">
        <v>59</v>
      </c>
      <c r="D223" s="31" t="s">
        <v>72</v>
      </c>
      <c r="E223" s="40">
        <v>2000</v>
      </c>
      <c r="F223" s="26">
        <v>1</v>
      </c>
      <c r="G223" s="41">
        <v>2.4980000000000002</v>
      </c>
      <c r="H223" s="42">
        <v>11.307</v>
      </c>
      <c r="O223" s="204">
        <v>2000</v>
      </c>
    </row>
    <row r="224" spans="1:15" ht="15.75" x14ac:dyDescent="0.25">
      <c r="A224" s="110" t="s">
        <v>101</v>
      </c>
      <c r="B224" s="62" t="s">
        <v>475</v>
      </c>
      <c r="C224" s="111" t="s">
        <v>59</v>
      </c>
      <c r="D224" s="31" t="s">
        <v>72</v>
      </c>
      <c r="E224" s="32">
        <v>2007</v>
      </c>
      <c r="F224" s="26">
        <v>1</v>
      </c>
      <c r="G224" s="33">
        <f>4.082+0.47</f>
        <v>4.5519999999999996</v>
      </c>
      <c r="H224" s="34">
        <v>24.306999999999999</v>
      </c>
      <c r="O224" s="201">
        <v>2007</v>
      </c>
    </row>
    <row r="225" spans="1:15" ht="15.75" x14ac:dyDescent="0.25">
      <c r="A225" s="110" t="s">
        <v>101</v>
      </c>
      <c r="B225" s="62" t="s">
        <v>476</v>
      </c>
      <c r="C225" s="111" t="s">
        <v>59</v>
      </c>
      <c r="D225" s="31" t="s">
        <v>72</v>
      </c>
      <c r="E225" s="117">
        <v>2007</v>
      </c>
      <c r="F225" s="26">
        <v>1</v>
      </c>
      <c r="G225" s="95">
        <v>3.69</v>
      </c>
      <c r="H225" s="47">
        <v>23.103999999999999</v>
      </c>
      <c r="O225" s="210">
        <v>2007</v>
      </c>
    </row>
    <row r="226" spans="1:15" ht="15.75" x14ac:dyDescent="0.25">
      <c r="A226" s="110" t="s">
        <v>101</v>
      </c>
      <c r="B226" s="62" t="s">
        <v>477</v>
      </c>
      <c r="C226" s="111" t="s">
        <v>59</v>
      </c>
      <c r="D226" s="31" t="s">
        <v>72</v>
      </c>
      <c r="E226" s="117">
        <v>2009</v>
      </c>
      <c r="F226" s="26">
        <v>1</v>
      </c>
      <c r="G226" s="95">
        <v>1.05</v>
      </c>
      <c r="H226" s="34">
        <v>4</v>
      </c>
      <c r="O226" s="210">
        <v>2009</v>
      </c>
    </row>
    <row r="227" spans="1:15" ht="15.75" x14ac:dyDescent="0.25">
      <c r="A227" s="110" t="s">
        <v>101</v>
      </c>
      <c r="B227" s="62" t="s">
        <v>478</v>
      </c>
      <c r="C227" s="111" t="s">
        <v>59</v>
      </c>
      <c r="D227" s="31" t="s">
        <v>72</v>
      </c>
      <c r="E227" s="117">
        <v>2007</v>
      </c>
      <c r="F227" s="26">
        <v>1</v>
      </c>
      <c r="G227" s="95">
        <f>2*2.008</f>
        <v>4.016</v>
      </c>
      <c r="H227" s="47">
        <v>25.16</v>
      </c>
      <c r="O227" s="210">
        <v>2007</v>
      </c>
    </row>
    <row r="228" spans="1:15" ht="15.75" x14ac:dyDescent="0.25">
      <c r="A228" s="110" t="s">
        <v>101</v>
      </c>
      <c r="B228" s="62" t="s">
        <v>479</v>
      </c>
      <c r="C228" s="111" t="s">
        <v>59</v>
      </c>
      <c r="D228" s="31" t="s">
        <v>72</v>
      </c>
      <c r="E228" s="117">
        <v>2009</v>
      </c>
      <c r="F228" s="26">
        <v>1</v>
      </c>
      <c r="G228" s="95">
        <v>5.7140000000000004</v>
      </c>
      <c r="H228" s="47">
        <v>25</v>
      </c>
      <c r="O228" s="210">
        <v>2009</v>
      </c>
    </row>
    <row r="229" spans="1:15" ht="15.75" x14ac:dyDescent="0.25">
      <c r="A229" s="110" t="s">
        <v>101</v>
      </c>
      <c r="B229" s="44" t="s">
        <v>413</v>
      </c>
      <c r="C229" s="111" t="s">
        <v>59</v>
      </c>
      <c r="D229" s="31" t="s">
        <v>69</v>
      </c>
      <c r="E229" s="43">
        <v>41485</v>
      </c>
      <c r="F229" s="26">
        <v>1</v>
      </c>
      <c r="G229" s="37">
        <v>25</v>
      </c>
      <c r="H229" s="34">
        <v>80</v>
      </c>
      <c r="O229" s="201">
        <v>2013</v>
      </c>
    </row>
    <row r="230" spans="1:15" ht="15.75" x14ac:dyDescent="0.25">
      <c r="A230" s="110" t="s">
        <v>101</v>
      </c>
      <c r="B230" s="44" t="s">
        <v>238</v>
      </c>
      <c r="C230" s="111" t="s">
        <v>59</v>
      </c>
      <c r="D230" s="31" t="s">
        <v>72</v>
      </c>
      <c r="E230" s="43">
        <v>41313</v>
      </c>
      <c r="F230" s="26">
        <v>1</v>
      </c>
      <c r="G230" s="37">
        <v>19.03</v>
      </c>
      <c r="H230" s="34">
        <v>70</v>
      </c>
      <c r="O230" s="201">
        <v>2013</v>
      </c>
    </row>
    <row r="231" spans="1:15" ht="15.75" x14ac:dyDescent="0.25">
      <c r="A231" s="110" t="s">
        <v>101</v>
      </c>
      <c r="B231" s="29" t="s">
        <v>197</v>
      </c>
      <c r="C231" s="111" t="s">
        <v>59</v>
      </c>
      <c r="D231" s="31" t="s">
        <v>72</v>
      </c>
      <c r="E231" s="117">
        <v>2009</v>
      </c>
      <c r="F231" s="26">
        <v>1</v>
      </c>
      <c r="G231" s="95">
        <v>63</v>
      </c>
      <c r="H231" s="47">
        <v>330</v>
      </c>
      <c r="O231" s="210">
        <v>2009</v>
      </c>
    </row>
    <row r="232" spans="1:15" ht="15.75" x14ac:dyDescent="0.25">
      <c r="A232" s="110" t="s">
        <v>101</v>
      </c>
      <c r="B232" s="29" t="s">
        <v>521</v>
      </c>
      <c r="C232" s="111" t="s">
        <v>59</v>
      </c>
      <c r="D232" s="31" t="s">
        <v>69</v>
      </c>
      <c r="E232" s="32">
        <f>E231</f>
        <v>2009</v>
      </c>
      <c r="F232" s="26">
        <v>1</v>
      </c>
      <c r="G232" s="37">
        <v>8.68</v>
      </c>
      <c r="H232" s="47">
        <v>41</v>
      </c>
      <c r="O232" s="201">
        <f>O231</f>
        <v>2009</v>
      </c>
    </row>
    <row r="233" spans="1:15" ht="15.75" x14ac:dyDescent="0.25">
      <c r="A233" s="110" t="s">
        <v>101</v>
      </c>
      <c r="B233" s="44" t="s">
        <v>337</v>
      </c>
      <c r="C233" s="111" t="s">
        <v>59</v>
      </c>
      <c r="D233" s="31" t="s">
        <v>72</v>
      </c>
      <c r="E233" s="43">
        <v>40991</v>
      </c>
      <c r="F233" s="26">
        <v>1</v>
      </c>
      <c r="G233" s="37">
        <v>6.56</v>
      </c>
      <c r="H233" s="34">
        <v>23.36</v>
      </c>
      <c r="O233" s="201">
        <v>2012</v>
      </c>
    </row>
    <row r="234" spans="1:15" ht="15.75" x14ac:dyDescent="0.25">
      <c r="A234" s="110" t="s">
        <v>101</v>
      </c>
      <c r="B234" s="29" t="s">
        <v>342</v>
      </c>
      <c r="C234" s="111" t="s">
        <v>59</v>
      </c>
      <c r="D234" s="31" t="s">
        <v>72</v>
      </c>
      <c r="E234" s="85">
        <v>40669</v>
      </c>
      <c r="F234" s="26">
        <v>1</v>
      </c>
      <c r="G234" s="64">
        <v>25.49</v>
      </c>
      <c r="H234" s="46">
        <v>101.49</v>
      </c>
      <c r="O234" s="65">
        <v>2011</v>
      </c>
    </row>
    <row r="235" spans="1:15" ht="15.75" x14ac:dyDescent="0.25">
      <c r="A235" s="110" t="s">
        <v>101</v>
      </c>
      <c r="B235" s="29" t="s">
        <v>365</v>
      </c>
      <c r="C235" s="111" t="s">
        <v>59</v>
      </c>
      <c r="D235" s="31" t="s">
        <v>72</v>
      </c>
      <c r="E235" s="185">
        <v>40728</v>
      </c>
      <c r="F235" s="26">
        <v>1</v>
      </c>
      <c r="G235" s="64">
        <v>1.605</v>
      </c>
      <c r="H235" s="46">
        <v>7.8609999999999998</v>
      </c>
      <c r="O235" s="211">
        <v>2011</v>
      </c>
    </row>
    <row r="236" spans="1:15" ht="15.75" x14ac:dyDescent="0.25">
      <c r="A236" s="110" t="s">
        <v>101</v>
      </c>
      <c r="B236" s="29" t="s">
        <v>381</v>
      </c>
      <c r="C236" s="111" t="s">
        <v>59</v>
      </c>
      <c r="D236" s="31" t="s">
        <v>72</v>
      </c>
      <c r="E236" s="117">
        <v>2009</v>
      </c>
      <c r="F236" s="26">
        <v>1</v>
      </c>
      <c r="G236" s="95">
        <v>14.000999999999999</v>
      </c>
      <c r="H236" s="47">
        <v>56.16</v>
      </c>
      <c r="O236" s="210">
        <v>2009</v>
      </c>
    </row>
    <row r="237" spans="1:15" ht="15.75" x14ac:dyDescent="0.25">
      <c r="A237" s="110" t="s">
        <v>101</v>
      </c>
      <c r="B237" s="29" t="s">
        <v>551</v>
      </c>
      <c r="C237" s="111" t="s">
        <v>59</v>
      </c>
      <c r="D237" s="31" t="s">
        <v>576</v>
      </c>
      <c r="E237" s="43">
        <v>41963</v>
      </c>
      <c r="F237" s="26">
        <v>1</v>
      </c>
      <c r="G237" s="37">
        <v>7.52</v>
      </c>
      <c r="H237" s="34">
        <v>19.669</v>
      </c>
      <c r="O237" s="201">
        <v>2014</v>
      </c>
    </row>
    <row r="238" spans="1:15" ht="15.75" x14ac:dyDescent="0.25">
      <c r="A238" s="110" t="s">
        <v>101</v>
      </c>
      <c r="B238" s="29" t="s">
        <v>552</v>
      </c>
      <c r="C238" s="111" t="s">
        <v>59</v>
      </c>
      <c r="D238" s="31" t="s">
        <v>576</v>
      </c>
      <c r="E238" s="43">
        <v>41704</v>
      </c>
      <c r="F238" s="26">
        <v>1</v>
      </c>
      <c r="G238" s="37">
        <v>8.9700000000000006</v>
      </c>
      <c r="H238" s="34">
        <v>25.913</v>
      </c>
      <c r="O238" s="201">
        <v>2014</v>
      </c>
    </row>
    <row r="239" spans="1:15" ht="15.75" x14ac:dyDescent="0.25">
      <c r="A239" s="110" t="s">
        <v>101</v>
      </c>
      <c r="B239" s="29" t="s">
        <v>568</v>
      </c>
      <c r="C239" s="111" t="s">
        <v>59</v>
      </c>
      <c r="D239" s="31" t="s">
        <v>576</v>
      </c>
      <c r="E239" s="43">
        <v>41957</v>
      </c>
      <c r="F239" s="26">
        <v>1</v>
      </c>
      <c r="G239" s="33">
        <v>19.09</v>
      </c>
      <c r="H239" s="63">
        <v>73.790000000000006</v>
      </c>
      <c r="O239" s="201">
        <v>2014</v>
      </c>
    </row>
    <row r="240" spans="1:15" ht="15.75" x14ac:dyDescent="0.25">
      <c r="A240" s="113" t="s">
        <v>101</v>
      </c>
      <c r="B240" s="56" t="s">
        <v>686</v>
      </c>
      <c r="C240" s="114" t="s">
        <v>59</v>
      </c>
      <c r="D240" s="58" t="s">
        <v>72</v>
      </c>
      <c r="E240" s="187">
        <v>42187</v>
      </c>
      <c r="F240" s="60">
        <v>1</v>
      </c>
      <c r="G240" s="33">
        <v>5.14</v>
      </c>
      <c r="H240" s="63">
        <v>17.5</v>
      </c>
      <c r="O240" s="206">
        <v>2015</v>
      </c>
    </row>
    <row r="241" spans="1:15" ht="15.75" x14ac:dyDescent="0.25">
      <c r="A241" s="113" t="s">
        <v>101</v>
      </c>
      <c r="B241" s="56" t="s">
        <v>687</v>
      </c>
      <c r="C241" s="114" t="s">
        <v>59</v>
      </c>
      <c r="D241" s="58" t="s">
        <v>72</v>
      </c>
      <c r="E241" s="187">
        <v>42082</v>
      </c>
      <c r="F241" s="60">
        <v>1</v>
      </c>
      <c r="G241" s="33">
        <v>5.64</v>
      </c>
      <c r="H241" s="63">
        <v>14.41</v>
      </c>
      <c r="O241" s="206">
        <v>2015</v>
      </c>
    </row>
    <row r="242" spans="1:15" ht="15.75" x14ac:dyDescent="0.25">
      <c r="A242" s="113" t="s">
        <v>101</v>
      </c>
      <c r="B242" s="56" t="s">
        <v>688</v>
      </c>
      <c r="C242" s="114" t="s">
        <v>59</v>
      </c>
      <c r="D242" s="58" t="s">
        <v>72</v>
      </c>
      <c r="E242" s="65">
        <v>1957</v>
      </c>
      <c r="F242" s="60">
        <v>1</v>
      </c>
      <c r="G242" s="33">
        <v>0.2</v>
      </c>
      <c r="H242" s="63">
        <v>0.5</v>
      </c>
      <c r="O242" s="65">
        <v>1957</v>
      </c>
    </row>
    <row r="243" spans="1:15" ht="15.75" x14ac:dyDescent="0.25">
      <c r="A243" s="113" t="s">
        <v>697</v>
      </c>
      <c r="B243" s="56" t="s">
        <v>271</v>
      </c>
      <c r="C243" s="114" t="s">
        <v>698</v>
      </c>
      <c r="D243" s="58" t="s">
        <v>72</v>
      </c>
      <c r="E243" s="85">
        <v>40709</v>
      </c>
      <c r="F243" s="60">
        <v>1</v>
      </c>
      <c r="G243" s="33">
        <v>2.8690000000000002</v>
      </c>
      <c r="H243" s="63">
        <v>13.2</v>
      </c>
      <c r="O243" s="65">
        <v>2011</v>
      </c>
    </row>
    <row r="244" spans="1:15" ht="15.75" x14ac:dyDescent="0.25">
      <c r="A244" s="126" t="s">
        <v>102</v>
      </c>
      <c r="B244" s="29" t="s">
        <v>359</v>
      </c>
      <c r="C244" s="44" t="s">
        <v>64</v>
      </c>
      <c r="D244" s="31" t="s">
        <v>72</v>
      </c>
      <c r="E244" s="185">
        <v>40704</v>
      </c>
      <c r="F244" s="26">
        <v>1</v>
      </c>
      <c r="G244" s="64">
        <v>33</v>
      </c>
      <c r="H244" s="46">
        <v>141</v>
      </c>
      <c r="O244" s="211">
        <v>2011</v>
      </c>
    </row>
    <row r="245" spans="1:15" ht="15.75" x14ac:dyDescent="0.25">
      <c r="A245" s="127" t="s">
        <v>102</v>
      </c>
      <c r="B245" s="56" t="s">
        <v>689</v>
      </c>
      <c r="C245" s="128" t="s">
        <v>64</v>
      </c>
      <c r="D245" s="58" t="s">
        <v>72</v>
      </c>
      <c r="E245" s="185">
        <v>42250</v>
      </c>
      <c r="F245" s="60">
        <v>1</v>
      </c>
      <c r="G245" s="45">
        <v>1.343</v>
      </c>
      <c r="H245" s="69">
        <v>6</v>
      </c>
      <c r="O245" s="211">
        <v>2015</v>
      </c>
    </row>
    <row r="246" spans="1:15" ht="15.75" x14ac:dyDescent="0.25">
      <c r="A246" s="103" t="s">
        <v>132</v>
      </c>
      <c r="B246" s="29" t="s">
        <v>532</v>
      </c>
      <c r="C246" s="29" t="s">
        <v>37</v>
      </c>
      <c r="D246" s="31" t="s">
        <v>72</v>
      </c>
      <c r="E246" s="32">
        <v>2009</v>
      </c>
      <c r="F246" s="26">
        <v>1</v>
      </c>
      <c r="G246" s="95">
        <v>14.835000000000001</v>
      </c>
      <c r="H246" s="47">
        <v>56.89</v>
      </c>
      <c r="O246" s="201">
        <v>2009</v>
      </c>
    </row>
    <row r="247" spans="1:15" ht="15.75" x14ac:dyDescent="0.25">
      <c r="A247" s="110" t="s">
        <v>132</v>
      </c>
      <c r="B247" s="29" t="s">
        <v>553</v>
      </c>
      <c r="C247" s="111" t="s">
        <v>37</v>
      </c>
      <c r="D247" s="31" t="s">
        <v>576</v>
      </c>
      <c r="E247" s="43">
        <v>41985</v>
      </c>
      <c r="F247" s="26">
        <v>1</v>
      </c>
      <c r="G247" s="37">
        <v>35.186</v>
      </c>
      <c r="H247" s="34">
        <v>110</v>
      </c>
      <c r="O247" s="201">
        <v>2014</v>
      </c>
    </row>
    <row r="248" spans="1:15" ht="15.75" x14ac:dyDescent="0.25">
      <c r="A248" s="110" t="s">
        <v>132</v>
      </c>
      <c r="B248" s="29" t="s">
        <v>561</v>
      </c>
      <c r="C248" s="111" t="s">
        <v>37</v>
      </c>
      <c r="D248" s="31" t="s">
        <v>576</v>
      </c>
      <c r="E248" s="43">
        <v>41957</v>
      </c>
      <c r="F248" s="26">
        <v>1</v>
      </c>
      <c r="G248" s="37">
        <v>21.315000000000001</v>
      </c>
      <c r="H248" s="34">
        <v>83.54</v>
      </c>
      <c r="O248" s="201">
        <v>2014</v>
      </c>
    </row>
    <row r="249" spans="1:15" ht="15.75" x14ac:dyDescent="0.25">
      <c r="A249" s="106" t="s">
        <v>133</v>
      </c>
      <c r="B249" s="39" t="s">
        <v>175</v>
      </c>
      <c r="C249" s="31" t="s">
        <v>12</v>
      </c>
      <c r="D249" s="31" t="s">
        <v>72</v>
      </c>
      <c r="E249" s="72">
        <v>1950</v>
      </c>
      <c r="F249" s="26">
        <v>1</v>
      </c>
      <c r="G249" s="50">
        <v>0.46400000000000002</v>
      </c>
      <c r="H249" s="51">
        <v>2.5</v>
      </c>
      <c r="O249" s="207">
        <v>1950</v>
      </c>
    </row>
    <row r="250" spans="1:15" ht="15.75" x14ac:dyDescent="0.25">
      <c r="A250" s="106" t="s">
        <v>133</v>
      </c>
      <c r="B250" s="29" t="s">
        <v>214</v>
      </c>
      <c r="C250" s="31" t="s">
        <v>12</v>
      </c>
      <c r="D250" s="31" t="s">
        <v>72</v>
      </c>
      <c r="E250" s="32">
        <v>2010</v>
      </c>
      <c r="F250" s="26">
        <v>1</v>
      </c>
      <c r="G250" s="37">
        <v>6.85</v>
      </c>
      <c r="H250" s="34">
        <v>21.5</v>
      </c>
      <c r="O250" s="201">
        <v>2010</v>
      </c>
    </row>
    <row r="251" spans="1:15" ht="15.75" x14ac:dyDescent="0.25">
      <c r="A251" s="126" t="s">
        <v>103</v>
      </c>
      <c r="B251" s="44" t="s">
        <v>204</v>
      </c>
      <c r="C251" s="44" t="s">
        <v>40</v>
      </c>
      <c r="D251" s="31" t="s">
        <v>72</v>
      </c>
      <c r="E251" s="43">
        <v>41319</v>
      </c>
      <c r="F251" s="26">
        <v>1</v>
      </c>
      <c r="G251" s="64">
        <v>4.4000000000000004</v>
      </c>
      <c r="H251" s="46">
        <v>14.41</v>
      </c>
      <c r="O251" s="201">
        <v>2013</v>
      </c>
    </row>
    <row r="252" spans="1:15" ht="15.75" x14ac:dyDescent="0.25">
      <c r="A252" s="126" t="s">
        <v>103</v>
      </c>
      <c r="B252" s="29" t="s">
        <v>220</v>
      </c>
      <c r="C252" s="44" t="s">
        <v>40</v>
      </c>
      <c r="D252" s="31" t="s">
        <v>72</v>
      </c>
      <c r="E252" s="43">
        <v>41535</v>
      </c>
      <c r="F252" s="26">
        <v>1</v>
      </c>
      <c r="G252" s="120">
        <v>5.82</v>
      </c>
      <c r="H252" s="47">
        <v>23.58</v>
      </c>
      <c r="O252" s="201">
        <v>2013</v>
      </c>
    </row>
    <row r="253" spans="1:15" ht="15.75" x14ac:dyDescent="0.25">
      <c r="A253" s="126" t="s">
        <v>103</v>
      </c>
      <c r="B253" s="29" t="s">
        <v>375</v>
      </c>
      <c r="C253" s="44" t="s">
        <v>40</v>
      </c>
      <c r="D253" s="31" t="s">
        <v>72</v>
      </c>
      <c r="E253" s="185">
        <v>41033</v>
      </c>
      <c r="F253" s="26">
        <v>1</v>
      </c>
      <c r="G253" s="64">
        <v>5.8</v>
      </c>
      <c r="H253" s="46">
        <v>14</v>
      </c>
      <c r="O253" s="211">
        <v>2012</v>
      </c>
    </row>
    <row r="254" spans="1:15" ht="15.75" x14ac:dyDescent="0.25">
      <c r="A254" s="110" t="s">
        <v>103</v>
      </c>
      <c r="B254" s="29" t="s">
        <v>571</v>
      </c>
      <c r="C254" s="111" t="s">
        <v>40</v>
      </c>
      <c r="D254" s="31" t="s">
        <v>576</v>
      </c>
      <c r="E254" s="43">
        <v>41775</v>
      </c>
      <c r="F254" s="26">
        <v>1</v>
      </c>
      <c r="G254" s="37">
        <v>5.4219999999999997</v>
      </c>
      <c r="H254" s="34">
        <v>18.61</v>
      </c>
      <c r="O254" s="201">
        <v>2014</v>
      </c>
    </row>
    <row r="255" spans="1:15" ht="15.75" x14ac:dyDescent="0.25">
      <c r="A255" s="113" t="s">
        <v>103</v>
      </c>
      <c r="B255" s="56" t="s">
        <v>690</v>
      </c>
      <c r="C255" s="114" t="s">
        <v>40</v>
      </c>
      <c r="D255" s="58" t="s">
        <v>72</v>
      </c>
      <c r="E255" s="185">
        <v>42294</v>
      </c>
      <c r="F255" s="60">
        <v>1</v>
      </c>
      <c r="G255" s="33">
        <v>12.6</v>
      </c>
      <c r="H255" s="63">
        <v>60</v>
      </c>
      <c r="O255" s="211">
        <v>2015</v>
      </c>
    </row>
    <row r="256" spans="1:15" ht="15.75" x14ac:dyDescent="0.25">
      <c r="A256" s="113" t="s">
        <v>103</v>
      </c>
      <c r="B256" s="56" t="s">
        <v>691</v>
      </c>
      <c r="C256" s="114" t="s">
        <v>40</v>
      </c>
      <c r="D256" s="58" t="s">
        <v>72</v>
      </c>
      <c r="E256" s="185">
        <v>42122</v>
      </c>
      <c r="F256" s="60">
        <v>1</v>
      </c>
      <c r="G256" s="33">
        <v>7.96</v>
      </c>
      <c r="H256" s="63">
        <v>25</v>
      </c>
      <c r="O256" s="211">
        <v>2015</v>
      </c>
    </row>
    <row r="257" spans="1:15" ht="15.75" x14ac:dyDescent="0.25">
      <c r="A257" s="113" t="s">
        <v>103</v>
      </c>
      <c r="B257" s="56" t="s">
        <v>692</v>
      </c>
      <c r="C257" s="114" t="s">
        <v>40</v>
      </c>
      <c r="D257" s="58" t="s">
        <v>72</v>
      </c>
      <c r="E257" s="185">
        <v>42129</v>
      </c>
      <c r="F257" s="60">
        <v>1</v>
      </c>
      <c r="G257" s="33">
        <v>1.32</v>
      </c>
      <c r="H257" s="63">
        <v>4.2</v>
      </c>
      <c r="O257" s="211">
        <v>2015</v>
      </c>
    </row>
    <row r="258" spans="1:15" ht="15.75" x14ac:dyDescent="0.25">
      <c r="A258" s="103" t="s">
        <v>104</v>
      </c>
      <c r="B258" s="29" t="s">
        <v>379</v>
      </c>
      <c r="C258" s="29" t="s">
        <v>20</v>
      </c>
      <c r="D258" s="31" t="s">
        <v>72</v>
      </c>
      <c r="E258" s="32">
        <v>2009</v>
      </c>
      <c r="F258" s="26">
        <v>1</v>
      </c>
      <c r="G258" s="37">
        <v>1.06</v>
      </c>
      <c r="H258" s="34">
        <v>5</v>
      </c>
      <c r="O258" s="201">
        <v>2009</v>
      </c>
    </row>
    <row r="259" spans="1:15" ht="15.75" x14ac:dyDescent="0.25">
      <c r="A259" s="126" t="s">
        <v>105</v>
      </c>
      <c r="B259" s="44" t="s">
        <v>213</v>
      </c>
      <c r="C259" s="44" t="s">
        <v>58</v>
      </c>
      <c r="D259" s="31" t="s">
        <v>72</v>
      </c>
      <c r="E259" s="85">
        <v>41203</v>
      </c>
      <c r="F259" s="26">
        <v>1</v>
      </c>
      <c r="G259" s="64">
        <v>8.58</v>
      </c>
      <c r="H259" s="46">
        <v>30.03</v>
      </c>
      <c r="O259" s="65">
        <v>2012</v>
      </c>
    </row>
    <row r="260" spans="1:15" ht="15.75" x14ac:dyDescent="0.25">
      <c r="A260" s="126" t="s">
        <v>105</v>
      </c>
      <c r="B260" s="109" t="s">
        <v>398</v>
      </c>
      <c r="C260" s="44" t="s">
        <v>58</v>
      </c>
      <c r="D260" s="31" t="s">
        <v>69</v>
      </c>
      <c r="E260" s="85">
        <v>41242</v>
      </c>
      <c r="F260" s="26">
        <v>1</v>
      </c>
      <c r="G260" s="37">
        <v>513</v>
      </c>
      <c r="H260" s="34">
        <v>1470</v>
      </c>
      <c r="O260" s="65">
        <v>2012</v>
      </c>
    </row>
    <row r="261" spans="1:15" ht="15.75" x14ac:dyDescent="0.25">
      <c r="A261" s="126" t="s">
        <v>105</v>
      </c>
      <c r="B261" s="29" t="s">
        <v>259</v>
      </c>
      <c r="C261" s="44" t="s">
        <v>58</v>
      </c>
      <c r="D261" s="31" t="s">
        <v>72</v>
      </c>
      <c r="E261" s="85">
        <v>40271</v>
      </c>
      <c r="F261" s="26">
        <v>1</v>
      </c>
      <c r="G261" s="37">
        <v>6.45</v>
      </c>
      <c r="H261" s="47">
        <v>20</v>
      </c>
      <c r="O261" s="65">
        <v>2010</v>
      </c>
    </row>
    <row r="262" spans="1:15" ht="15.75" x14ac:dyDescent="0.25">
      <c r="A262" s="126" t="s">
        <v>105</v>
      </c>
      <c r="B262" s="29" t="s">
        <v>275</v>
      </c>
      <c r="C262" s="44" t="s">
        <v>58</v>
      </c>
      <c r="D262" s="31" t="s">
        <v>72</v>
      </c>
      <c r="E262" s="85">
        <f>E260</f>
        <v>41242</v>
      </c>
      <c r="F262" s="26">
        <v>1</v>
      </c>
      <c r="G262" s="37">
        <v>8.1</v>
      </c>
      <c r="H262" s="47">
        <v>40</v>
      </c>
      <c r="O262" s="65">
        <v>2012</v>
      </c>
    </row>
    <row r="263" spans="1:15" ht="15.75" x14ac:dyDescent="0.25">
      <c r="A263" s="106" t="s">
        <v>106</v>
      </c>
      <c r="B263" s="39" t="s">
        <v>150</v>
      </c>
      <c r="C263" s="31" t="s">
        <v>56</v>
      </c>
      <c r="D263" s="31" t="s">
        <v>72</v>
      </c>
      <c r="E263" s="72">
        <v>1954</v>
      </c>
      <c r="F263" s="26">
        <v>1</v>
      </c>
      <c r="G263" s="50">
        <v>0.4</v>
      </c>
      <c r="H263" s="51">
        <v>1.5</v>
      </c>
      <c r="O263" s="207">
        <v>1954</v>
      </c>
    </row>
    <row r="264" spans="1:15" ht="15.75" x14ac:dyDescent="0.25">
      <c r="A264" s="106" t="s">
        <v>106</v>
      </c>
      <c r="B264" s="29" t="s">
        <v>410</v>
      </c>
      <c r="C264" s="31" t="s">
        <v>56</v>
      </c>
      <c r="D264" s="31" t="s">
        <v>72</v>
      </c>
      <c r="E264" s="52">
        <v>41151</v>
      </c>
      <c r="F264" s="26">
        <v>1</v>
      </c>
      <c r="G264" s="50">
        <v>11.31</v>
      </c>
      <c r="H264" s="51">
        <v>62.768000000000001</v>
      </c>
      <c r="O264" s="212">
        <v>2012</v>
      </c>
    </row>
    <row r="265" spans="1:15" ht="15.75" x14ac:dyDescent="0.25">
      <c r="A265" s="106" t="s">
        <v>106</v>
      </c>
      <c r="B265" s="29" t="s">
        <v>320</v>
      </c>
      <c r="C265" s="31" t="s">
        <v>56</v>
      </c>
      <c r="D265" s="31" t="s">
        <v>72</v>
      </c>
      <c r="E265" s="185">
        <v>40597</v>
      </c>
      <c r="F265" s="26">
        <v>1</v>
      </c>
      <c r="G265" s="45">
        <v>17.489999999999998</v>
      </c>
      <c r="H265" s="46">
        <v>97.7</v>
      </c>
      <c r="O265" s="211">
        <v>2011</v>
      </c>
    </row>
    <row r="266" spans="1:15" ht="15.75" x14ac:dyDescent="0.25">
      <c r="A266" s="103" t="s">
        <v>107</v>
      </c>
      <c r="B266" s="29" t="s">
        <v>326</v>
      </c>
      <c r="C266" s="29" t="s">
        <v>60</v>
      </c>
      <c r="D266" s="31" t="s">
        <v>72</v>
      </c>
      <c r="E266" s="43">
        <v>41068</v>
      </c>
      <c r="F266" s="26">
        <v>1</v>
      </c>
      <c r="G266" s="33">
        <v>40.159999999999997</v>
      </c>
      <c r="H266" s="34">
        <v>248</v>
      </c>
      <c r="O266" s="201">
        <v>2012</v>
      </c>
    </row>
    <row r="267" spans="1:15" ht="15.75" x14ac:dyDescent="0.25">
      <c r="A267" s="103" t="s">
        <v>107</v>
      </c>
      <c r="B267" s="48" t="s">
        <v>522</v>
      </c>
      <c r="C267" s="29" t="s">
        <v>60</v>
      </c>
      <c r="D267" s="31" t="s">
        <v>72</v>
      </c>
      <c r="E267" s="49" t="s">
        <v>1</v>
      </c>
      <c r="F267" s="26">
        <v>1</v>
      </c>
      <c r="G267" s="50">
        <v>64.28</v>
      </c>
      <c r="H267" s="51">
        <v>450</v>
      </c>
      <c r="O267" s="205">
        <v>2010</v>
      </c>
    </row>
    <row r="268" spans="1:15" ht="15.75" x14ac:dyDescent="0.25">
      <c r="A268" s="103" t="s">
        <v>107</v>
      </c>
      <c r="B268" s="29" t="s">
        <v>450</v>
      </c>
      <c r="C268" s="29" t="s">
        <v>60</v>
      </c>
      <c r="D268" s="31" t="s">
        <v>69</v>
      </c>
      <c r="E268" s="43">
        <v>40921</v>
      </c>
      <c r="F268" s="26">
        <v>1</v>
      </c>
      <c r="G268" s="45">
        <v>18.5</v>
      </c>
      <c r="H268" s="69">
        <v>50.42</v>
      </c>
      <c r="O268" s="201">
        <v>2012</v>
      </c>
    </row>
    <row r="269" spans="1:15" ht="15.75" x14ac:dyDescent="0.25">
      <c r="A269" s="103" t="s">
        <v>107</v>
      </c>
      <c r="B269" s="29" t="s">
        <v>458</v>
      </c>
      <c r="C269" s="29" t="s">
        <v>60</v>
      </c>
      <c r="D269" s="31" t="s">
        <v>72</v>
      </c>
      <c r="E269" s="129">
        <v>41263</v>
      </c>
      <c r="F269" s="26">
        <v>1</v>
      </c>
      <c r="G269" s="95">
        <v>14.25</v>
      </c>
      <c r="H269" s="47">
        <v>35.1</v>
      </c>
      <c r="O269" s="210">
        <v>2012</v>
      </c>
    </row>
    <row r="270" spans="1:15" ht="15.75" x14ac:dyDescent="0.25">
      <c r="A270" s="127" t="s">
        <v>107</v>
      </c>
      <c r="B270" s="56" t="s">
        <v>709</v>
      </c>
      <c r="C270" s="128" t="s">
        <v>60</v>
      </c>
      <c r="D270" s="31" t="s">
        <v>72</v>
      </c>
      <c r="E270" s="59">
        <v>2010</v>
      </c>
      <c r="F270" s="26">
        <v>1</v>
      </c>
      <c r="G270" s="37">
        <v>42.25</v>
      </c>
      <c r="H270" s="47">
        <v>92</v>
      </c>
      <c r="O270" s="65">
        <v>2010</v>
      </c>
    </row>
    <row r="271" spans="1:15" ht="15.75" x14ac:dyDescent="0.25">
      <c r="A271" s="105" t="s">
        <v>107</v>
      </c>
      <c r="B271" s="56" t="s">
        <v>693</v>
      </c>
      <c r="C271" s="56" t="s">
        <v>60</v>
      </c>
      <c r="D271" s="58" t="s">
        <v>72</v>
      </c>
      <c r="E271" s="185">
        <v>42310</v>
      </c>
      <c r="F271" s="60">
        <v>1</v>
      </c>
      <c r="G271" s="120">
        <v>7.2</v>
      </c>
      <c r="H271" s="61">
        <v>25.2</v>
      </c>
      <c r="O271" s="211">
        <v>2015</v>
      </c>
    </row>
    <row r="272" spans="1:15" ht="15.75" x14ac:dyDescent="0.25">
      <c r="A272" s="105" t="s">
        <v>107</v>
      </c>
      <c r="B272" s="56" t="s">
        <v>694</v>
      </c>
      <c r="C272" s="56" t="s">
        <v>60</v>
      </c>
      <c r="D272" s="58" t="s">
        <v>72</v>
      </c>
      <c r="E272" s="185">
        <v>42096</v>
      </c>
      <c r="F272" s="60">
        <v>1</v>
      </c>
      <c r="G272" s="120">
        <v>19.568000000000001</v>
      </c>
      <c r="H272" s="61">
        <v>68.489999999999995</v>
      </c>
      <c r="O272" s="211">
        <v>2015</v>
      </c>
    </row>
    <row r="273" spans="1:15" ht="15.75" x14ac:dyDescent="0.25">
      <c r="A273" s="105" t="s">
        <v>107</v>
      </c>
      <c r="B273" s="56" t="s">
        <v>695</v>
      </c>
      <c r="C273" s="56" t="s">
        <v>60</v>
      </c>
      <c r="D273" s="58" t="s">
        <v>72</v>
      </c>
      <c r="E273" s="185">
        <v>42236</v>
      </c>
      <c r="F273" s="60">
        <v>1</v>
      </c>
      <c r="G273" s="120">
        <v>8.3160000000000007</v>
      </c>
      <c r="H273" s="61">
        <v>24.35</v>
      </c>
      <c r="O273" s="211">
        <v>2015</v>
      </c>
    </row>
    <row r="274" spans="1:15" ht="15.75" x14ac:dyDescent="0.25">
      <c r="A274" s="105" t="s">
        <v>107</v>
      </c>
      <c r="B274" s="56" t="s">
        <v>696</v>
      </c>
      <c r="C274" s="56" t="s">
        <v>60</v>
      </c>
      <c r="D274" s="58" t="s">
        <v>72</v>
      </c>
      <c r="E274" s="185">
        <v>42251</v>
      </c>
      <c r="F274" s="60">
        <v>1</v>
      </c>
      <c r="G274" s="120">
        <v>69.626999999999995</v>
      </c>
      <c r="H274" s="61">
        <v>241.1</v>
      </c>
      <c r="O274" s="211">
        <v>2015</v>
      </c>
    </row>
    <row r="275" spans="1:15" ht="15.75" x14ac:dyDescent="0.25">
      <c r="A275" s="126" t="s">
        <v>108</v>
      </c>
      <c r="B275" s="29" t="s">
        <v>284</v>
      </c>
      <c r="C275" s="44" t="s">
        <v>21</v>
      </c>
      <c r="D275" s="31" t="s">
        <v>72</v>
      </c>
      <c r="E275" s="52">
        <v>40641</v>
      </c>
      <c r="F275" s="26">
        <v>1</v>
      </c>
      <c r="G275" s="64">
        <v>14.5</v>
      </c>
      <c r="H275" s="46">
        <v>48</v>
      </c>
      <c r="O275" s="212">
        <v>2011</v>
      </c>
    </row>
    <row r="276" spans="1:15" ht="15.75" x14ac:dyDescent="0.25">
      <c r="A276" s="126" t="s">
        <v>108</v>
      </c>
      <c r="B276" s="29" t="s">
        <v>336</v>
      </c>
      <c r="C276" s="44" t="s">
        <v>21</v>
      </c>
      <c r="D276" s="31" t="s">
        <v>72</v>
      </c>
      <c r="E276" s="43">
        <v>41319</v>
      </c>
      <c r="F276" s="26">
        <v>1</v>
      </c>
      <c r="G276" s="37">
        <v>18.68</v>
      </c>
      <c r="H276" s="34">
        <v>150</v>
      </c>
      <c r="O276" s="201">
        <v>2013</v>
      </c>
    </row>
    <row r="277" spans="1:15" ht="15.75" x14ac:dyDescent="0.25">
      <c r="A277" s="127" t="s">
        <v>108</v>
      </c>
      <c r="B277" s="56" t="s">
        <v>699</v>
      </c>
      <c r="C277" s="128" t="s">
        <v>21</v>
      </c>
      <c r="D277" s="58" t="s">
        <v>72</v>
      </c>
      <c r="E277" s="185">
        <v>42144</v>
      </c>
      <c r="F277" s="60">
        <v>1</v>
      </c>
      <c r="G277" s="33">
        <v>101.72</v>
      </c>
      <c r="H277" s="63">
        <v>470</v>
      </c>
      <c r="O277" s="211">
        <v>2015</v>
      </c>
    </row>
    <row r="278" spans="1:15" ht="15.75" x14ac:dyDescent="0.25">
      <c r="A278" s="106" t="s">
        <v>109</v>
      </c>
      <c r="B278" s="44" t="s">
        <v>218</v>
      </c>
      <c r="C278" s="31" t="s">
        <v>5</v>
      </c>
      <c r="D278" s="31" t="s">
        <v>72</v>
      </c>
      <c r="E278" s="85">
        <v>41243</v>
      </c>
      <c r="F278" s="26">
        <v>1</v>
      </c>
      <c r="G278" s="45">
        <v>3.49</v>
      </c>
      <c r="H278" s="46">
        <v>19.286999999999999</v>
      </c>
      <c r="O278" s="65">
        <v>2012</v>
      </c>
    </row>
    <row r="279" spans="1:15" ht="15.75" x14ac:dyDescent="0.25">
      <c r="A279" s="106" t="s">
        <v>109</v>
      </c>
      <c r="B279" s="44" t="s">
        <v>499</v>
      </c>
      <c r="C279" s="31" t="s">
        <v>5</v>
      </c>
      <c r="D279" s="31" t="s">
        <v>72</v>
      </c>
      <c r="E279" s="52">
        <v>41347</v>
      </c>
      <c r="F279" s="26">
        <v>1</v>
      </c>
      <c r="G279" s="130">
        <f>5.39+0.04</f>
        <v>5.43</v>
      </c>
      <c r="H279" s="122">
        <v>20.07</v>
      </c>
      <c r="O279" s="212">
        <v>2013</v>
      </c>
    </row>
    <row r="280" spans="1:15" ht="15.75" x14ac:dyDescent="0.25">
      <c r="A280" s="106" t="s">
        <v>109</v>
      </c>
      <c r="B280" s="29" t="s">
        <v>500</v>
      </c>
      <c r="C280" s="31" t="s">
        <v>5</v>
      </c>
      <c r="D280" s="31" t="s">
        <v>72</v>
      </c>
      <c r="E280" s="43">
        <v>40599</v>
      </c>
      <c r="F280" s="26">
        <v>1</v>
      </c>
      <c r="G280" s="37">
        <v>4.6900000000000004</v>
      </c>
      <c r="H280" s="47">
        <v>16</v>
      </c>
      <c r="O280" s="201">
        <v>2011</v>
      </c>
    </row>
    <row r="281" spans="1:15" ht="15.75" x14ac:dyDescent="0.25">
      <c r="A281" s="106" t="s">
        <v>109</v>
      </c>
      <c r="B281" s="29" t="s">
        <v>288</v>
      </c>
      <c r="C281" s="31" t="s">
        <v>5</v>
      </c>
      <c r="D281" s="31" t="s">
        <v>72</v>
      </c>
      <c r="E281" s="43">
        <v>41312</v>
      </c>
      <c r="F281" s="26">
        <v>1</v>
      </c>
      <c r="G281" s="37">
        <v>29.25</v>
      </c>
      <c r="H281" s="47">
        <v>108</v>
      </c>
      <c r="O281" s="201">
        <v>2013</v>
      </c>
    </row>
    <row r="282" spans="1:15" ht="15.75" x14ac:dyDescent="0.25">
      <c r="A282" s="106" t="s">
        <v>109</v>
      </c>
      <c r="B282" s="29" t="s">
        <v>437</v>
      </c>
      <c r="C282" s="31" t="s">
        <v>5</v>
      </c>
      <c r="D282" s="31" t="s">
        <v>72</v>
      </c>
      <c r="E282" s="85">
        <v>41270</v>
      </c>
      <c r="F282" s="26">
        <v>1</v>
      </c>
      <c r="G282" s="121">
        <v>32.548000000000002</v>
      </c>
      <c r="H282" s="122">
        <v>125</v>
      </c>
      <c r="O282" s="65">
        <v>2012</v>
      </c>
    </row>
    <row r="283" spans="1:15" ht="15.75" x14ac:dyDescent="0.25">
      <c r="A283" s="106" t="s">
        <v>109</v>
      </c>
      <c r="B283" s="29" t="s">
        <v>329</v>
      </c>
      <c r="C283" s="31" t="s">
        <v>5</v>
      </c>
      <c r="D283" s="31" t="s">
        <v>72</v>
      </c>
      <c r="E283" s="43">
        <v>41310</v>
      </c>
      <c r="F283" s="26">
        <v>1</v>
      </c>
      <c r="G283" s="37">
        <v>9.0299999999999994</v>
      </c>
      <c r="H283" s="34">
        <v>31</v>
      </c>
      <c r="O283" s="201">
        <v>2013</v>
      </c>
    </row>
    <row r="284" spans="1:15" ht="15.75" x14ac:dyDescent="0.25">
      <c r="A284" s="106" t="s">
        <v>109</v>
      </c>
      <c r="B284" s="48" t="s">
        <v>357</v>
      </c>
      <c r="C284" s="31" t="s">
        <v>5</v>
      </c>
      <c r="D284" s="31" t="s">
        <v>72</v>
      </c>
      <c r="E284" s="49">
        <v>2009</v>
      </c>
      <c r="F284" s="26">
        <v>1</v>
      </c>
      <c r="G284" s="50">
        <v>1.98</v>
      </c>
      <c r="H284" s="51">
        <v>10.08</v>
      </c>
      <c r="O284" s="205">
        <v>2009</v>
      </c>
    </row>
    <row r="285" spans="1:15" ht="15.75" x14ac:dyDescent="0.25">
      <c r="A285" s="103" t="s">
        <v>109</v>
      </c>
      <c r="B285" s="44" t="s">
        <v>533</v>
      </c>
      <c r="C285" s="29" t="s">
        <v>5</v>
      </c>
      <c r="D285" s="31" t="s">
        <v>69</v>
      </c>
      <c r="E285" s="43">
        <v>41285</v>
      </c>
      <c r="F285" s="26">
        <v>1</v>
      </c>
      <c r="G285" s="220">
        <v>24.28</v>
      </c>
      <c r="H285" s="222">
        <v>71.39</v>
      </c>
      <c r="O285" s="201">
        <v>2013</v>
      </c>
    </row>
    <row r="286" spans="1:15" ht="15.75" x14ac:dyDescent="0.25">
      <c r="A286" s="103" t="s">
        <v>109</v>
      </c>
      <c r="B286" s="44" t="s">
        <v>464</v>
      </c>
      <c r="C286" s="29" t="s">
        <v>5</v>
      </c>
      <c r="D286" s="31" t="s">
        <v>72</v>
      </c>
      <c r="E286" s="43">
        <v>40636</v>
      </c>
      <c r="F286" s="26">
        <v>1</v>
      </c>
      <c r="G286" s="221"/>
      <c r="H286" s="223"/>
      <c r="O286" s="201">
        <v>2011</v>
      </c>
    </row>
    <row r="287" spans="1:15" ht="15.75" x14ac:dyDescent="0.25">
      <c r="A287" s="103" t="s">
        <v>109</v>
      </c>
      <c r="B287" s="29" t="s">
        <v>376</v>
      </c>
      <c r="C287" s="29" t="s">
        <v>5</v>
      </c>
      <c r="D287" s="31" t="s">
        <v>72</v>
      </c>
      <c r="E287" s="85">
        <v>40373</v>
      </c>
      <c r="F287" s="26">
        <v>1</v>
      </c>
      <c r="G287" s="37">
        <v>22.5</v>
      </c>
      <c r="H287" s="47">
        <v>82.74</v>
      </c>
      <c r="O287" s="65">
        <v>2010</v>
      </c>
    </row>
    <row r="288" spans="1:15" ht="15.75" x14ac:dyDescent="0.25">
      <c r="A288" s="131" t="s">
        <v>110</v>
      </c>
      <c r="B288" s="39" t="s">
        <v>470</v>
      </c>
      <c r="C288" s="132" t="s">
        <v>61</v>
      </c>
      <c r="D288" s="31" t="s">
        <v>72</v>
      </c>
      <c r="E288" s="86">
        <v>1929</v>
      </c>
      <c r="F288" s="26">
        <v>1</v>
      </c>
      <c r="G288" s="87">
        <v>1.04</v>
      </c>
      <c r="H288" s="88">
        <v>2.4500000000000002</v>
      </c>
      <c r="O288" s="209">
        <v>1929</v>
      </c>
    </row>
    <row r="289" spans="1:15" ht="15.75" x14ac:dyDescent="0.25">
      <c r="A289" s="131" t="s">
        <v>110</v>
      </c>
      <c r="B289" s="29" t="s">
        <v>198</v>
      </c>
      <c r="C289" s="132" t="s">
        <v>61</v>
      </c>
      <c r="D289" s="31" t="s">
        <v>72</v>
      </c>
      <c r="E289" s="85">
        <v>41697</v>
      </c>
      <c r="F289" s="26">
        <v>1</v>
      </c>
      <c r="G289" s="37">
        <v>2.4</v>
      </c>
      <c r="H289" s="34">
        <v>10</v>
      </c>
      <c r="O289" s="65">
        <v>2014</v>
      </c>
    </row>
    <row r="290" spans="1:15" ht="15.75" x14ac:dyDescent="0.25">
      <c r="A290" s="131" t="s">
        <v>110</v>
      </c>
      <c r="B290" s="29" t="s">
        <v>207</v>
      </c>
      <c r="C290" s="132" t="s">
        <v>61</v>
      </c>
      <c r="D290" s="31" t="s">
        <v>72</v>
      </c>
      <c r="E290" s="32">
        <v>2008</v>
      </c>
      <c r="F290" s="26">
        <v>1</v>
      </c>
      <c r="G290" s="37">
        <v>81</v>
      </c>
      <c r="H290" s="47">
        <v>257</v>
      </c>
      <c r="O290" s="201">
        <v>2008</v>
      </c>
    </row>
    <row r="291" spans="1:15" ht="15.75" x14ac:dyDescent="0.25">
      <c r="A291" s="131" t="s">
        <v>110</v>
      </c>
      <c r="B291" s="29" t="s">
        <v>480</v>
      </c>
      <c r="C291" s="132" t="s">
        <v>61</v>
      </c>
      <c r="D291" s="31" t="s">
        <v>72</v>
      </c>
      <c r="E291" s="43">
        <v>41408</v>
      </c>
      <c r="F291" s="26">
        <v>1</v>
      </c>
      <c r="G291" s="37">
        <v>8.9109999999999996</v>
      </c>
      <c r="H291" s="47">
        <v>25.8</v>
      </c>
      <c r="O291" s="201">
        <v>2013</v>
      </c>
    </row>
    <row r="292" spans="1:15" ht="15.75" x14ac:dyDescent="0.25">
      <c r="A292" s="131" t="s">
        <v>110</v>
      </c>
      <c r="B292" s="29" t="s">
        <v>390</v>
      </c>
      <c r="C292" s="132" t="s">
        <v>61</v>
      </c>
      <c r="D292" s="31" t="s">
        <v>72</v>
      </c>
      <c r="E292" s="43">
        <v>41005</v>
      </c>
      <c r="F292" s="26">
        <v>1</v>
      </c>
      <c r="G292" s="64">
        <v>16.350000000000001</v>
      </c>
      <c r="H292" s="47">
        <v>58.18</v>
      </c>
      <c r="O292" s="201">
        <v>2012</v>
      </c>
    </row>
    <row r="293" spans="1:15" ht="15.75" x14ac:dyDescent="0.25">
      <c r="A293" s="131" t="s">
        <v>110</v>
      </c>
      <c r="B293" s="29" t="s">
        <v>395</v>
      </c>
      <c r="C293" s="132" t="s">
        <v>61</v>
      </c>
      <c r="D293" s="31" t="s">
        <v>72</v>
      </c>
      <c r="E293" s="52">
        <v>40760</v>
      </c>
      <c r="F293" s="26">
        <v>1</v>
      </c>
      <c r="G293" s="64">
        <v>9.19</v>
      </c>
      <c r="H293" s="46">
        <v>35</v>
      </c>
      <c r="O293" s="212">
        <v>2011</v>
      </c>
    </row>
    <row r="294" spans="1:15" ht="15.75" x14ac:dyDescent="0.25">
      <c r="A294" s="131" t="s">
        <v>110</v>
      </c>
      <c r="B294" s="29" t="s">
        <v>492</v>
      </c>
      <c r="C294" s="132" t="s">
        <v>61</v>
      </c>
      <c r="D294" s="31" t="s">
        <v>72</v>
      </c>
      <c r="E294" s="52">
        <v>41045</v>
      </c>
      <c r="F294" s="26">
        <v>1</v>
      </c>
      <c r="G294" s="45">
        <v>17</v>
      </c>
      <c r="H294" s="46">
        <v>56</v>
      </c>
      <c r="O294" s="212">
        <v>2012</v>
      </c>
    </row>
    <row r="295" spans="1:15" ht="15.75" x14ac:dyDescent="0.25">
      <c r="A295" s="131" t="s">
        <v>110</v>
      </c>
      <c r="B295" s="29" t="s">
        <v>495</v>
      </c>
      <c r="C295" s="132" t="s">
        <v>61</v>
      </c>
      <c r="D295" s="31" t="s">
        <v>72</v>
      </c>
      <c r="E295" s="85">
        <v>40560</v>
      </c>
      <c r="F295" s="26">
        <v>1</v>
      </c>
      <c r="G295" s="37">
        <v>16.375</v>
      </c>
      <c r="H295" s="47">
        <v>51.18</v>
      </c>
      <c r="O295" s="65">
        <v>2011</v>
      </c>
    </row>
    <row r="296" spans="1:15" ht="15.75" x14ac:dyDescent="0.25">
      <c r="A296" s="131" t="s">
        <v>110</v>
      </c>
      <c r="B296" s="29" t="s">
        <v>405</v>
      </c>
      <c r="C296" s="132" t="s">
        <v>61</v>
      </c>
      <c r="D296" s="31" t="s">
        <v>72</v>
      </c>
      <c r="E296" s="43">
        <v>41118</v>
      </c>
      <c r="F296" s="26">
        <v>1</v>
      </c>
      <c r="G296" s="37">
        <v>8.41</v>
      </c>
      <c r="H296" s="47">
        <v>29.260999999999999</v>
      </c>
      <c r="O296" s="201">
        <v>2012</v>
      </c>
    </row>
    <row r="297" spans="1:15" ht="15.75" x14ac:dyDescent="0.25">
      <c r="A297" s="131" t="s">
        <v>110</v>
      </c>
      <c r="B297" s="29" t="s">
        <v>406</v>
      </c>
      <c r="C297" s="132" t="s">
        <v>61</v>
      </c>
      <c r="D297" s="31" t="s">
        <v>72</v>
      </c>
      <c r="E297" s="43">
        <v>41199</v>
      </c>
      <c r="F297" s="26">
        <v>1</v>
      </c>
      <c r="G297" s="37">
        <v>6</v>
      </c>
      <c r="H297" s="47">
        <v>24</v>
      </c>
      <c r="O297" s="201">
        <v>2012</v>
      </c>
    </row>
    <row r="298" spans="1:15" ht="15.75" x14ac:dyDescent="0.25">
      <c r="A298" s="131" t="s">
        <v>110</v>
      </c>
      <c r="B298" s="44" t="s">
        <v>409</v>
      </c>
      <c r="C298" s="132" t="s">
        <v>61</v>
      </c>
      <c r="D298" s="31" t="s">
        <v>72</v>
      </c>
      <c r="E298" s="52">
        <v>41613</v>
      </c>
      <c r="F298" s="26">
        <v>1</v>
      </c>
      <c r="G298" s="37">
        <v>44.1</v>
      </c>
      <c r="H298" s="34">
        <v>160</v>
      </c>
      <c r="O298" s="212">
        <v>2013</v>
      </c>
    </row>
    <row r="299" spans="1:15" ht="15.75" x14ac:dyDescent="0.25">
      <c r="A299" s="131" t="s">
        <v>110</v>
      </c>
      <c r="B299" s="29" t="s">
        <v>231</v>
      </c>
      <c r="C299" s="132" t="s">
        <v>61</v>
      </c>
      <c r="D299" s="31" t="s">
        <v>72</v>
      </c>
      <c r="E299" s="43">
        <v>40766</v>
      </c>
      <c r="F299" s="26">
        <v>1</v>
      </c>
      <c r="G299" s="37">
        <v>8.4719999999999995</v>
      </c>
      <c r="H299" s="47">
        <v>35.1</v>
      </c>
      <c r="O299" s="201">
        <v>2011</v>
      </c>
    </row>
    <row r="300" spans="1:15" ht="15.75" x14ac:dyDescent="0.25">
      <c r="A300" s="131" t="s">
        <v>110</v>
      </c>
      <c r="B300" s="29" t="s">
        <v>232</v>
      </c>
      <c r="C300" s="132" t="s">
        <v>61</v>
      </c>
      <c r="D300" s="31" t="s">
        <v>72</v>
      </c>
      <c r="E300" s="52">
        <v>40815</v>
      </c>
      <c r="F300" s="26">
        <v>1</v>
      </c>
      <c r="G300" s="64">
        <v>9.16</v>
      </c>
      <c r="H300" s="46">
        <v>33</v>
      </c>
      <c r="O300" s="212">
        <v>2011</v>
      </c>
    </row>
    <row r="301" spans="1:15" ht="15.75" x14ac:dyDescent="0.25">
      <c r="A301" s="131" t="s">
        <v>110</v>
      </c>
      <c r="B301" s="29" t="s">
        <v>423</v>
      </c>
      <c r="C301" s="132" t="s">
        <v>61</v>
      </c>
      <c r="D301" s="31" t="s">
        <v>72</v>
      </c>
      <c r="E301" s="32">
        <v>2009</v>
      </c>
      <c r="F301" s="26">
        <v>1</v>
      </c>
      <c r="G301" s="37">
        <v>9.1</v>
      </c>
      <c r="H301" s="34">
        <v>27.36</v>
      </c>
      <c r="O301" s="201">
        <v>2009</v>
      </c>
    </row>
    <row r="302" spans="1:15" ht="15.75" x14ac:dyDescent="0.25">
      <c r="A302" s="131" t="s">
        <v>110</v>
      </c>
      <c r="B302" s="29" t="s">
        <v>507</v>
      </c>
      <c r="C302" s="132" t="s">
        <v>61</v>
      </c>
      <c r="D302" s="31" t="s">
        <v>72</v>
      </c>
      <c r="E302" s="43">
        <v>41249</v>
      </c>
      <c r="F302" s="26">
        <v>1</v>
      </c>
      <c r="G302" s="37">
        <v>12.38</v>
      </c>
      <c r="H302" s="34">
        <v>61</v>
      </c>
      <c r="O302" s="201">
        <v>2012</v>
      </c>
    </row>
    <row r="303" spans="1:15" ht="15.75" x14ac:dyDescent="0.25">
      <c r="A303" s="131" t="s">
        <v>110</v>
      </c>
      <c r="B303" s="29" t="s">
        <v>282</v>
      </c>
      <c r="C303" s="132" t="s">
        <v>61</v>
      </c>
      <c r="D303" s="31" t="s">
        <v>72</v>
      </c>
      <c r="E303" s="43">
        <v>41075</v>
      </c>
      <c r="F303" s="26">
        <v>1</v>
      </c>
      <c r="G303" s="37">
        <v>5.68</v>
      </c>
      <c r="H303" s="34">
        <v>21</v>
      </c>
      <c r="O303" s="201">
        <v>2012</v>
      </c>
    </row>
    <row r="304" spans="1:15" ht="15.75" x14ac:dyDescent="0.25">
      <c r="A304" s="131" t="s">
        <v>110</v>
      </c>
      <c r="B304" s="29" t="s">
        <v>306</v>
      </c>
      <c r="C304" s="132" t="s">
        <v>61</v>
      </c>
      <c r="D304" s="31" t="s">
        <v>72</v>
      </c>
      <c r="E304" s="43">
        <v>41449</v>
      </c>
      <c r="F304" s="26">
        <v>1</v>
      </c>
      <c r="G304" s="37">
        <v>15.497999999999999</v>
      </c>
      <c r="H304" s="47">
        <v>52.98</v>
      </c>
      <c r="O304" s="201">
        <v>2013</v>
      </c>
    </row>
    <row r="305" spans="1:15" ht="15.75" x14ac:dyDescent="0.25">
      <c r="A305" s="131" t="s">
        <v>110</v>
      </c>
      <c r="B305" s="29" t="s">
        <v>322</v>
      </c>
      <c r="C305" s="132" t="s">
        <v>61</v>
      </c>
      <c r="D305" s="31" t="s">
        <v>72</v>
      </c>
      <c r="E305" s="85">
        <v>41354</v>
      </c>
      <c r="F305" s="26">
        <v>1</v>
      </c>
      <c r="G305" s="37">
        <v>11.39</v>
      </c>
      <c r="H305" s="34">
        <v>40</v>
      </c>
      <c r="O305" s="65">
        <v>2013</v>
      </c>
    </row>
    <row r="306" spans="1:15" ht="15.75" x14ac:dyDescent="0.25">
      <c r="A306" s="131" t="s">
        <v>110</v>
      </c>
      <c r="B306" s="29" t="s">
        <v>328</v>
      </c>
      <c r="C306" s="132" t="s">
        <v>61</v>
      </c>
      <c r="D306" s="31" t="s">
        <v>72</v>
      </c>
      <c r="E306" s="43">
        <v>41571</v>
      </c>
      <c r="F306" s="26">
        <v>1</v>
      </c>
      <c r="G306" s="33">
        <v>7.7</v>
      </c>
      <c r="H306" s="34">
        <v>39.61</v>
      </c>
      <c r="O306" s="201">
        <v>2013</v>
      </c>
    </row>
    <row r="307" spans="1:15" ht="15.75" x14ac:dyDescent="0.25">
      <c r="A307" s="131" t="s">
        <v>110</v>
      </c>
      <c r="B307" s="29" t="s">
        <v>347</v>
      </c>
      <c r="C307" s="132" t="s">
        <v>61</v>
      </c>
      <c r="D307" s="31" t="s">
        <v>72</v>
      </c>
      <c r="E307" s="32">
        <v>2010</v>
      </c>
      <c r="F307" s="26">
        <v>1</v>
      </c>
      <c r="G307" s="37">
        <v>20</v>
      </c>
      <c r="H307" s="34">
        <v>108.06</v>
      </c>
      <c r="O307" s="201">
        <v>2010</v>
      </c>
    </row>
    <row r="308" spans="1:15" ht="15.75" x14ac:dyDescent="0.25">
      <c r="A308" s="131" t="s">
        <v>110</v>
      </c>
      <c r="B308" s="29" t="s">
        <v>524</v>
      </c>
      <c r="C308" s="132" t="s">
        <v>61</v>
      </c>
      <c r="D308" s="31" t="s">
        <v>72</v>
      </c>
      <c r="E308" s="32">
        <v>2010</v>
      </c>
      <c r="F308" s="26">
        <v>1</v>
      </c>
      <c r="G308" s="37">
        <v>21.58</v>
      </c>
      <c r="H308" s="34">
        <v>95.3</v>
      </c>
      <c r="O308" s="201">
        <v>2010</v>
      </c>
    </row>
    <row r="309" spans="1:15" ht="15.75" x14ac:dyDescent="0.25">
      <c r="A309" s="131" t="s">
        <v>110</v>
      </c>
      <c r="B309" s="29" t="s">
        <v>353</v>
      </c>
      <c r="C309" s="132" t="s">
        <v>61</v>
      </c>
      <c r="D309" s="31" t="s">
        <v>72</v>
      </c>
      <c r="E309" s="43">
        <v>41457</v>
      </c>
      <c r="F309" s="26">
        <v>1</v>
      </c>
      <c r="G309" s="37">
        <v>8.5660000000000007</v>
      </c>
      <c r="H309" s="34">
        <v>25</v>
      </c>
      <c r="O309" s="201">
        <v>2013</v>
      </c>
    </row>
    <row r="310" spans="1:15" ht="15.75" x14ac:dyDescent="0.25">
      <c r="A310" s="131" t="s">
        <v>110</v>
      </c>
      <c r="B310" s="29" t="s">
        <v>527</v>
      </c>
      <c r="C310" s="132" t="s">
        <v>61</v>
      </c>
      <c r="D310" s="31" t="s">
        <v>72</v>
      </c>
      <c r="E310" s="43">
        <v>41477</v>
      </c>
      <c r="F310" s="26">
        <v>1</v>
      </c>
      <c r="G310" s="37">
        <v>2.5</v>
      </c>
      <c r="H310" s="34">
        <v>11</v>
      </c>
      <c r="O310" s="201">
        <v>2013</v>
      </c>
    </row>
    <row r="311" spans="1:15" ht="15.75" x14ac:dyDescent="0.25">
      <c r="A311" s="131" t="s">
        <v>110</v>
      </c>
      <c r="B311" s="29" t="s">
        <v>366</v>
      </c>
      <c r="C311" s="132" t="s">
        <v>61</v>
      </c>
      <c r="D311" s="31" t="s">
        <v>72</v>
      </c>
      <c r="E311" s="43">
        <v>41449</v>
      </c>
      <c r="F311" s="26">
        <v>1</v>
      </c>
      <c r="G311" s="37">
        <v>11.939</v>
      </c>
      <c r="H311" s="47">
        <v>40</v>
      </c>
      <c r="O311" s="201">
        <v>2013</v>
      </c>
    </row>
    <row r="312" spans="1:15" ht="15.75" x14ac:dyDescent="0.25">
      <c r="A312" s="131" t="s">
        <v>110</v>
      </c>
      <c r="B312" s="29" t="s">
        <v>367</v>
      </c>
      <c r="C312" s="132" t="s">
        <v>61</v>
      </c>
      <c r="D312" s="31" t="s">
        <v>72</v>
      </c>
      <c r="E312" s="43">
        <v>41298</v>
      </c>
      <c r="F312" s="26">
        <v>1</v>
      </c>
      <c r="G312" s="37">
        <v>16.64</v>
      </c>
      <c r="H312" s="47">
        <v>60</v>
      </c>
      <c r="O312" s="201">
        <v>2013</v>
      </c>
    </row>
    <row r="313" spans="1:15" ht="15.75" x14ac:dyDescent="0.25">
      <c r="A313" s="131" t="s">
        <v>110</v>
      </c>
      <c r="B313" s="29" t="s">
        <v>370</v>
      </c>
      <c r="C313" s="132" t="s">
        <v>61</v>
      </c>
      <c r="D313" s="31" t="s">
        <v>72</v>
      </c>
      <c r="E313" s="52">
        <v>41017</v>
      </c>
      <c r="F313" s="26">
        <v>1</v>
      </c>
      <c r="G313" s="37">
        <v>8.5779999999999994</v>
      </c>
      <c r="H313" s="34">
        <v>27</v>
      </c>
      <c r="O313" s="212">
        <v>2012</v>
      </c>
    </row>
    <row r="314" spans="1:15" ht="15.75" x14ac:dyDescent="0.25">
      <c r="A314" s="131" t="s">
        <v>110</v>
      </c>
      <c r="B314" s="44" t="s">
        <v>454</v>
      </c>
      <c r="C314" s="132" t="s">
        <v>61</v>
      </c>
      <c r="D314" s="31" t="s">
        <v>72</v>
      </c>
      <c r="E314" s="52">
        <v>41240</v>
      </c>
      <c r="F314" s="26">
        <v>1</v>
      </c>
      <c r="G314" s="95">
        <v>8.9459999999999997</v>
      </c>
      <c r="H314" s="46">
        <v>30</v>
      </c>
      <c r="O314" s="212">
        <v>2012</v>
      </c>
    </row>
    <row r="315" spans="1:15" ht="15.75" x14ac:dyDescent="0.25">
      <c r="A315" s="131" t="s">
        <v>110</v>
      </c>
      <c r="B315" s="29" t="s">
        <v>460</v>
      </c>
      <c r="C315" s="132" t="s">
        <v>61</v>
      </c>
      <c r="D315" s="31" t="s">
        <v>72</v>
      </c>
      <c r="E315" s="32">
        <v>2010</v>
      </c>
      <c r="F315" s="26">
        <v>1</v>
      </c>
      <c r="G315" s="37">
        <v>1.2</v>
      </c>
      <c r="H315" s="47">
        <v>5.64</v>
      </c>
      <c r="O315" s="201">
        <v>2010</v>
      </c>
    </row>
    <row r="316" spans="1:15" ht="15.75" x14ac:dyDescent="0.25">
      <c r="A316" s="131" t="s">
        <v>110</v>
      </c>
      <c r="B316" s="29" t="s">
        <v>461</v>
      </c>
      <c r="C316" s="132" t="s">
        <v>61</v>
      </c>
      <c r="D316" s="31" t="s">
        <v>72</v>
      </c>
      <c r="E316" s="32">
        <v>2008</v>
      </c>
      <c r="F316" s="26">
        <v>1</v>
      </c>
      <c r="G316" s="37">
        <v>23.6</v>
      </c>
      <c r="H316" s="34">
        <v>88.207999999999998</v>
      </c>
      <c r="O316" s="201">
        <v>2008</v>
      </c>
    </row>
    <row r="317" spans="1:15" ht="15.75" x14ac:dyDescent="0.25">
      <c r="A317" s="110" t="s">
        <v>110</v>
      </c>
      <c r="B317" s="29" t="s">
        <v>577</v>
      </c>
      <c r="C317" s="111" t="s">
        <v>61</v>
      </c>
      <c r="D317" s="31" t="s">
        <v>576</v>
      </c>
      <c r="E317" s="43">
        <v>41974</v>
      </c>
      <c r="F317" s="26">
        <v>1</v>
      </c>
      <c r="G317" s="37">
        <v>0.63100000000000001</v>
      </c>
      <c r="H317" s="34">
        <v>2.5</v>
      </c>
      <c r="O317" s="201">
        <v>2014</v>
      </c>
    </row>
    <row r="318" spans="1:15" ht="15.75" x14ac:dyDescent="0.25">
      <c r="A318" s="110" t="s">
        <v>110</v>
      </c>
      <c r="B318" s="29" t="s">
        <v>542</v>
      </c>
      <c r="C318" s="111" t="s">
        <v>61</v>
      </c>
      <c r="D318" s="31" t="s">
        <v>576</v>
      </c>
      <c r="E318" s="43">
        <v>41687</v>
      </c>
      <c r="F318" s="26">
        <v>1</v>
      </c>
      <c r="G318" s="33">
        <v>4.6840000000000002</v>
      </c>
      <c r="H318" s="63">
        <v>12.44</v>
      </c>
      <c r="O318" s="201">
        <v>2014</v>
      </c>
    </row>
    <row r="319" spans="1:15" ht="15.75" x14ac:dyDescent="0.25">
      <c r="A319" s="110" t="s">
        <v>110</v>
      </c>
      <c r="B319" s="29" t="s">
        <v>578</v>
      </c>
      <c r="C319" s="111" t="s">
        <v>61</v>
      </c>
      <c r="D319" s="31" t="s">
        <v>576</v>
      </c>
      <c r="E319" s="43">
        <v>41837</v>
      </c>
      <c r="F319" s="26">
        <v>1</v>
      </c>
      <c r="G319" s="37">
        <v>10.319000000000001</v>
      </c>
      <c r="H319" s="34">
        <v>39.033999999999999</v>
      </c>
      <c r="O319" s="201">
        <v>2014</v>
      </c>
    </row>
    <row r="320" spans="1:15" ht="15.75" x14ac:dyDescent="0.25">
      <c r="A320" s="113" t="s">
        <v>110</v>
      </c>
      <c r="B320" s="56" t="s">
        <v>700</v>
      </c>
      <c r="C320" s="114" t="s">
        <v>61</v>
      </c>
      <c r="D320" s="58" t="s">
        <v>72</v>
      </c>
      <c r="E320" s="185">
        <v>42299</v>
      </c>
      <c r="F320" s="60">
        <v>1</v>
      </c>
      <c r="G320" s="33">
        <v>7.5</v>
      </c>
      <c r="H320" s="63">
        <v>29.446999999999999</v>
      </c>
      <c r="O320" s="211">
        <v>2015</v>
      </c>
    </row>
    <row r="321" spans="1:15" ht="15.75" x14ac:dyDescent="0.25">
      <c r="A321" s="113" t="s">
        <v>110</v>
      </c>
      <c r="B321" s="56" t="s">
        <v>701</v>
      </c>
      <c r="C321" s="114" t="s">
        <v>61</v>
      </c>
      <c r="D321" s="58" t="s">
        <v>72</v>
      </c>
      <c r="E321" s="185">
        <v>42020</v>
      </c>
      <c r="F321" s="60">
        <v>1</v>
      </c>
      <c r="G321" s="33">
        <v>25.92</v>
      </c>
      <c r="H321" s="63">
        <v>105</v>
      </c>
      <c r="O321" s="211">
        <v>2015</v>
      </c>
    </row>
    <row r="322" spans="1:15" ht="15.75" x14ac:dyDescent="0.25">
      <c r="A322" s="113" t="s">
        <v>110</v>
      </c>
      <c r="B322" s="56" t="s">
        <v>702</v>
      </c>
      <c r="C322" s="114" t="s">
        <v>61</v>
      </c>
      <c r="D322" s="58" t="s">
        <v>72</v>
      </c>
      <c r="E322" s="185">
        <v>42042</v>
      </c>
      <c r="F322" s="60">
        <v>1</v>
      </c>
      <c r="G322" s="33">
        <v>9.3620000000000001</v>
      </c>
      <c r="H322" s="63">
        <v>23.338000000000001</v>
      </c>
      <c r="O322" s="211">
        <v>2015</v>
      </c>
    </row>
    <row r="323" spans="1:15" ht="15.75" x14ac:dyDescent="0.25">
      <c r="A323" s="113" t="s">
        <v>110</v>
      </c>
      <c r="B323" s="56" t="s">
        <v>703</v>
      </c>
      <c r="C323" s="114" t="s">
        <v>61</v>
      </c>
      <c r="D323" s="58" t="s">
        <v>72</v>
      </c>
      <c r="E323" s="185">
        <v>42303</v>
      </c>
      <c r="F323" s="60">
        <v>1</v>
      </c>
      <c r="G323" s="33">
        <v>9.01</v>
      </c>
      <c r="H323" s="63">
        <v>19.73</v>
      </c>
      <c r="O323" s="211">
        <v>2015</v>
      </c>
    </row>
    <row r="324" spans="1:15" ht="15.75" x14ac:dyDescent="0.25">
      <c r="A324" s="113" t="s">
        <v>110</v>
      </c>
      <c r="B324" s="56" t="s">
        <v>704</v>
      </c>
      <c r="C324" s="114" t="s">
        <v>61</v>
      </c>
      <c r="D324" s="58" t="s">
        <v>72</v>
      </c>
      <c r="E324" s="185">
        <v>42279</v>
      </c>
      <c r="F324" s="60">
        <v>1</v>
      </c>
      <c r="G324" s="33">
        <v>7.9489999999999998</v>
      </c>
      <c r="H324" s="63">
        <v>28.4</v>
      </c>
      <c r="O324" s="211">
        <v>2015</v>
      </c>
    </row>
    <row r="325" spans="1:15" ht="15.75" x14ac:dyDescent="0.25">
      <c r="A325" s="113" t="s">
        <v>110</v>
      </c>
      <c r="B325" s="56" t="s">
        <v>705</v>
      </c>
      <c r="C325" s="114" t="s">
        <v>61</v>
      </c>
      <c r="D325" s="58" t="s">
        <v>72</v>
      </c>
      <c r="E325" s="185">
        <v>42039</v>
      </c>
      <c r="F325" s="60">
        <v>1</v>
      </c>
      <c r="G325" s="33">
        <v>11.9</v>
      </c>
      <c r="H325" s="63">
        <v>28.42</v>
      </c>
      <c r="O325" s="211">
        <v>2015</v>
      </c>
    </row>
    <row r="326" spans="1:15" ht="15.75" x14ac:dyDescent="0.25">
      <c r="A326" s="113" t="s">
        <v>110</v>
      </c>
      <c r="B326" s="56" t="s">
        <v>706</v>
      </c>
      <c r="C326" s="114" t="s">
        <v>61</v>
      </c>
      <c r="D326" s="58" t="s">
        <v>72</v>
      </c>
      <c r="E326" s="185">
        <v>42180</v>
      </c>
      <c r="F326" s="60">
        <v>1</v>
      </c>
      <c r="G326" s="33">
        <v>7.08</v>
      </c>
      <c r="H326" s="63">
        <v>23.54</v>
      </c>
      <c r="O326" s="211">
        <v>2015</v>
      </c>
    </row>
    <row r="327" spans="1:15" ht="15.75" x14ac:dyDescent="0.25">
      <c r="A327" s="113" t="s">
        <v>110</v>
      </c>
      <c r="B327" s="56" t="s">
        <v>707</v>
      </c>
      <c r="C327" s="114" t="s">
        <v>61</v>
      </c>
      <c r="D327" s="58" t="s">
        <v>72</v>
      </c>
      <c r="E327" s="185">
        <v>42124</v>
      </c>
      <c r="F327" s="60">
        <v>1</v>
      </c>
      <c r="G327" s="33">
        <v>9.08</v>
      </c>
      <c r="H327" s="63">
        <v>29.03</v>
      </c>
      <c r="O327" s="211">
        <v>2015</v>
      </c>
    </row>
    <row r="328" spans="1:15" ht="15.75" x14ac:dyDescent="0.25">
      <c r="A328" s="126" t="s">
        <v>111</v>
      </c>
      <c r="B328" s="44" t="s">
        <v>201</v>
      </c>
      <c r="C328" s="44" t="s">
        <v>52</v>
      </c>
      <c r="D328" s="31" t="s">
        <v>72</v>
      </c>
      <c r="E328" s="43">
        <v>41570</v>
      </c>
      <c r="F328" s="26">
        <v>1</v>
      </c>
      <c r="G328" s="37">
        <v>4.38</v>
      </c>
      <c r="H328" s="34">
        <v>18</v>
      </c>
      <c r="O328" s="201">
        <v>2013</v>
      </c>
    </row>
    <row r="329" spans="1:15" ht="15.75" x14ac:dyDescent="0.25">
      <c r="A329" s="126" t="s">
        <v>111</v>
      </c>
      <c r="B329" s="109" t="s">
        <v>399</v>
      </c>
      <c r="C329" s="44" t="s">
        <v>52</v>
      </c>
      <c r="D329" s="31" t="s">
        <v>72</v>
      </c>
      <c r="E329" s="85">
        <v>41625</v>
      </c>
      <c r="F329" s="26">
        <v>1</v>
      </c>
      <c r="G329" s="37">
        <v>18.149999999999999</v>
      </c>
      <c r="H329" s="34">
        <v>63.524999999999991</v>
      </c>
      <c r="O329" s="65">
        <v>2013</v>
      </c>
    </row>
    <row r="330" spans="1:15" ht="15.75" x14ac:dyDescent="0.25">
      <c r="A330" s="126" t="s">
        <v>111</v>
      </c>
      <c r="B330" s="48" t="s">
        <v>496</v>
      </c>
      <c r="C330" s="44" t="s">
        <v>52</v>
      </c>
      <c r="D330" s="31" t="s">
        <v>72</v>
      </c>
      <c r="E330" s="49">
        <v>2009</v>
      </c>
      <c r="F330" s="26">
        <v>1</v>
      </c>
      <c r="G330" s="50">
        <v>110.32</v>
      </c>
      <c r="H330" s="51">
        <v>370</v>
      </c>
      <c r="O330" s="205">
        <v>2009</v>
      </c>
    </row>
    <row r="331" spans="1:15" ht="15.75" x14ac:dyDescent="0.25">
      <c r="A331" s="126" t="s">
        <v>111</v>
      </c>
      <c r="B331" s="29" t="s">
        <v>283</v>
      </c>
      <c r="C331" s="44" t="s">
        <v>52</v>
      </c>
      <c r="D331" s="31" t="s">
        <v>72</v>
      </c>
      <c r="E331" s="43">
        <v>41393</v>
      </c>
      <c r="F331" s="26">
        <v>1</v>
      </c>
      <c r="G331" s="37">
        <v>5.74</v>
      </c>
      <c r="H331" s="34">
        <v>20.64</v>
      </c>
      <c r="O331" s="201">
        <v>2013</v>
      </c>
    </row>
    <row r="332" spans="1:15" ht="15.75" x14ac:dyDescent="0.25">
      <c r="A332" s="126" t="s">
        <v>111</v>
      </c>
      <c r="B332" s="29" t="s">
        <v>327</v>
      </c>
      <c r="C332" s="44" t="s">
        <v>52</v>
      </c>
      <c r="D332" s="31" t="s">
        <v>72</v>
      </c>
      <c r="E332" s="43">
        <v>41591</v>
      </c>
      <c r="F332" s="26">
        <v>1</v>
      </c>
      <c r="G332" s="37">
        <v>42</v>
      </c>
      <c r="H332" s="34">
        <v>146</v>
      </c>
      <c r="O332" s="201">
        <v>2013</v>
      </c>
    </row>
    <row r="333" spans="1:15" ht="15.75" x14ac:dyDescent="0.25">
      <c r="A333" s="110" t="s">
        <v>111</v>
      </c>
      <c r="B333" s="29" t="s">
        <v>554</v>
      </c>
      <c r="C333" s="111" t="s">
        <v>52</v>
      </c>
      <c r="D333" s="31" t="s">
        <v>576</v>
      </c>
      <c r="E333" s="43">
        <v>41859</v>
      </c>
      <c r="F333" s="26">
        <v>1</v>
      </c>
      <c r="G333" s="37">
        <v>5.95</v>
      </c>
      <c r="H333" s="34">
        <v>15.6</v>
      </c>
      <c r="O333" s="201">
        <v>2014</v>
      </c>
    </row>
    <row r="334" spans="1:15" ht="15.75" x14ac:dyDescent="0.25">
      <c r="A334" s="110" t="s">
        <v>111</v>
      </c>
      <c r="B334" s="29" t="s">
        <v>560</v>
      </c>
      <c r="C334" s="111" t="s">
        <v>52</v>
      </c>
      <c r="D334" s="31" t="s">
        <v>576</v>
      </c>
      <c r="E334" s="43">
        <v>41974</v>
      </c>
      <c r="F334" s="26">
        <v>1</v>
      </c>
      <c r="G334" s="37">
        <v>11.089</v>
      </c>
      <c r="H334" s="34">
        <v>31</v>
      </c>
      <c r="O334" s="201">
        <v>2014</v>
      </c>
    </row>
    <row r="335" spans="1:15" ht="15.75" x14ac:dyDescent="0.25">
      <c r="A335" s="110" t="s">
        <v>111</v>
      </c>
      <c r="B335" s="56" t="s">
        <v>708</v>
      </c>
      <c r="C335" s="111" t="s">
        <v>52</v>
      </c>
      <c r="D335" s="31" t="s">
        <v>576</v>
      </c>
      <c r="E335" s="43">
        <v>41913</v>
      </c>
      <c r="F335" s="26">
        <v>1</v>
      </c>
      <c r="G335" s="37">
        <v>4.0599999999999996</v>
      </c>
      <c r="H335" s="34">
        <v>12.79</v>
      </c>
      <c r="O335" s="201">
        <v>2014</v>
      </c>
    </row>
    <row r="336" spans="1:15" ht="15.75" x14ac:dyDescent="0.25">
      <c r="A336" s="126" t="s">
        <v>134</v>
      </c>
      <c r="B336" s="44" t="s">
        <v>206</v>
      </c>
      <c r="C336" s="44" t="s">
        <v>30</v>
      </c>
      <c r="D336" s="31" t="s">
        <v>72</v>
      </c>
      <c r="E336" s="43">
        <v>41035</v>
      </c>
      <c r="F336" s="26">
        <v>1</v>
      </c>
      <c r="G336" s="95">
        <v>13.37</v>
      </c>
      <c r="H336" s="47">
        <v>58</v>
      </c>
      <c r="O336" s="201">
        <v>2012</v>
      </c>
    </row>
    <row r="337" spans="1:15" ht="15.75" x14ac:dyDescent="0.25">
      <c r="A337" s="126" t="s">
        <v>134</v>
      </c>
      <c r="B337" s="29" t="s">
        <v>389</v>
      </c>
      <c r="C337" s="44" t="s">
        <v>30</v>
      </c>
      <c r="D337" s="31" t="s">
        <v>72</v>
      </c>
      <c r="E337" s="43">
        <v>41089</v>
      </c>
      <c r="F337" s="26">
        <v>1</v>
      </c>
      <c r="G337" s="37">
        <v>14.91</v>
      </c>
      <c r="H337" s="61">
        <v>39.479999999999997</v>
      </c>
      <c r="O337" s="201">
        <v>2012</v>
      </c>
    </row>
    <row r="338" spans="1:15" ht="15.75" x14ac:dyDescent="0.25">
      <c r="A338" s="126" t="s">
        <v>134</v>
      </c>
      <c r="B338" s="44" t="s">
        <v>212</v>
      </c>
      <c r="C338" s="44" t="s">
        <v>30</v>
      </c>
      <c r="D338" s="31" t="s">
        <v>69</v>
      </c>
      <c r="E338" s="43">
        <v>41541</v>
      </c>
      <c r="F338" s="26">
        <v>1</v>
      </c>
      <c r="G338" s="37">
        <v>93</v>
      </c>
      <c r="H338" s="34">
        <v>340</v>
      </c>
      <c r="O338" s="201">
        <v>2013</v>
      </c>
    </row>
    <row r="339" spans="1:15" ht="15.75" x14ac:dyDescent="0.25">
      <c r="A339" s="126" t="s">
        <v>134</v>
      </c>
      <c r="B339" s="29" t="s">
        <v>223</v>
      </c>
      <c r="C339" s="44" t="s">
        <v>30</v>
      </c>
      <c r="D339" s="31" t="s">
        <v>72</v>
      </c>
      <c r="E339" s="43">
        <v>41316</v>
      </c>
      <c r="F339" s="26">
        <v>1</v>
      </c>
      <c r="G339" s="37">
        <v>66.290000000000006</v>
      </c>
      <c r="H339" s="47">
        <v>224</v>
      </c>
      <c r="O339" s="201">
        <v>2013</v>
      </c>
    </row>
    <row r="340" spans="1:15" ht="15.75" x14ac:dyDescent="0.25">
      <c r="A340" s="126" t="s">
        <v>134</v>
      </c>
      <c r="B340" s="44" t="s">
        <v>414</v>
      </c>
      <c r="C340" s="44" t="s">
        <v>30</v>
      </c>
      <c r="D340" s="31" t="s">
        <v>72</v>
      </c>
      <c r="E340" s="85">
        <v>41088</v>
      </c>
      <c r="F340" s="26">
        <v>1</v>
      </c>
      <c r="G340" s="95">
        <v>48.5</v>
      </c>
      <c r="H340" s="47">
        <v>140</v>
      </c>
      <c r="O340" s="65">
        <v>2012</v>
      </c>
    </row>
    <row r="341" spans="1:15" ht="15.75" x14ac:dyDescent="0.25">
      <c r="A341" s="126" t="s">
        <v>134</v>
      </c>
      <c r="B341" s="44" t="s">
        <v>415</v>
      </c>
      <c r="C341" s="44" t="s">
        <v>30</v>
      </c>
      <c r="D341" s="31" t="s">
        <v>72</v>
      </c>
      <c r="E341" s="43">
        <v>41499</v>
      </c>
      <c r="F341" s="26">
        <v>1</v>
      </c>
      <c r="G341" s="95">
        <v>17.7</v>
      </c>
      <c r="H341" s="47">
        <v>50</v>
      </c>
      <c r="O341" s="201">
        <v>2013</v>
      </c>
    </row>
    <row r="342" spans="1:15" ht="15.75" x14ac:dyDescent="0.25">
      <c r="A342" s="126" t="s">
        <v>134</v>
      </c>
      <c r="B342" s="44" t="s">
        <v>252</v>
      </c>
      <c r="C342" s="44" t="s">
        <v>30</v>
      </c>
      <c r="D342" s="31" t="s">
        <v>72</v>
      </c>
      <c r="E342" s="185">
        <v>41901</v>
      </c>
      <c r="F342" s="26">
        <v>1</v>
      </c>
      <c r="G342" s="37">
        <v>28.277999999999999</v>
      </c>
      <c r="H342" s="34">
        <v>85</v>
      </c>
      <c r="O342" s="211">
        <v>2014</v>
      </c>
    </row>
    <row r="343" spans="1:15" ht="15.75" x14ac:dyDescent="0.25">
      <c r="A343" s="126" t="s">
        <v>134</v>
      </c>
      <c r="B343" s="29" t="s">
        <v>267</v>
      </c>
      <c r="C343" s="44" t="s">
        <v>30</v>
      </c>
      <c r="D343" s="31" t="s">
        <v>72</v>
      </c>
      <c r="E343" s="43">
        <v>41421</v>
      </c>
      <c r="F343" s="26">
        <v>1</v>
      </c>
      <c r="G343" s="37">
        <v>3.0979999999999999</v>
      </c>
      <c r="H343" s="34">
        <v>10.199999999999999</v>
      </c>
      <c r="O343" s="201">
        <v>2013</v>
      </c>
    </row>
    <row r="344" spans="1:15" ht="15.75" x14ac:dyDescent="0.25">
      <c r="A344" s="126" t="s">
        <v>134</v>
      </c>
      <c r="B344" s="29" t="s">
        <v>425</v>
      </c>
      <c r="C344" s="44" t="s">
        <v>30</v>
      </c>
      <c r="D344" s="31" t="s">
        <v>72</v>
      </c>
      <c r="E344" s="85">
        <f>E343</f>
        <v>41421</v>
      </c>
      <c r="F344" s="26">
        <v>1</v>
      </c>
      <c r="G344" s="37">
        <v>1.42</v>
      </c>
      <c r="H344" s="47">
        <v>5.5</v>
      </c>
      <c r="O344" s="65">
        <v>2013</v>
      </c>
    </row>
    <row r="345" spans="1:15" ht="15.75" x14ac:dyDescent="0.25">
      <c r="A345" s="126" t="s">
        <v>134</v>
      </c>
      <c r="B345" s="29" t="s">
        <v>290</v>
      </c>
      <c r="C345" s="44" t="s">
        <v>30</v>
      </c>
      <c r="D345" s="31" t="s">
        <v>72</v>
      </c>
      <c r="E345" s="32">
        <v>2008</v>
      </c>
      <c r="F345" s="26">
        <v>1</v>
      </c>
      <c r="G345" s="220">
        <v>31.3</v>
      </c>
      <c r="H345" s="222">
        <v>100</v>
      </c>
      <c r="O345" s="201">
        <v>2008</v>
      </c>
    </row>
    <row r="346" spans="1:15" ht="15.75" x14ac:dyDescent="0.25">
      <c r="A346" s="126" t="s">
        <v>134</v>
      </c>
      <c r="B346" s="29" t="s">
        <v>510</v>
      </c>
      <c r="C346" s="44" t="s">
        <v>30</v>
      </c>
      <c r="D346" s="31" t="s">
        <v>72</v>
      </c>
      <c r="E346" s="32">
        <v>2009</v>
      </c>
      <c r="F346" s="26">
        <v>1</v>
      </c>
      <c r="G346" s="221"/>
      <c r="H346" s="223"/>
      <c r="O346" s="201">
        <v>2009</v>
      </c>
    </row>
    <row r="347" spans="1:15" ht="15.75" x14ac:dyDescent="0.25">
      <c r="A347" s="126" t="s">
        <v>134</v>
      </c>
      <c r="B347" s="29" t="s">
        <v>291</v>
      </c>
      <c r="C347" s="44" t="s">
        <v>30</v>
      </c>
      <c r="D347" s="31" t="s">
        <v>72</v>
      </c>
      <c r="E347" s="85">
        <v>39554</v>
      </c>
      <c r="F347" s="26">
        <v>1</v>
      </c>
      <c r="G347" s="37">
        <v>5.2</v>
      </c>
      <c r="H347" s="34">
        <v>20</v>
      </c>
      <c r="O347" s="65">
        <v>2008</v>
      </c>
    </row>
    <row r="348" spans="1:15" ht="15.75" x14ac:dyDescent="0.25">
      <c r="A348" s="126" t="s">
        <v>134</v>
      </c>
      <c r="B348" s="44" t="s">
        <v>514</v>
      </c>
      <c r="C348" s="44" t="s">
        <v>30</v>
      </c>
      <c r="D348" s="31" t="s">
        <v>72</v>
      </c>
      <c r="E348" s="43">
        <v>41094</v>
      </c>
      <c r="F348" s="26">
        <v>1</v>
      </c>
      <c r="G348" s="37">
        <v>38.6</v>
      </c>
      <c r="H348" s="47">
        <v>105</v>
      </c>
      <c r="O348" s="201">
        <v>2012</v>
      </c>
    </row>
    <row r="349" spans="1:15" ht="15.75" x14ac:dyDescent="0.25">
      <c r="A349" s="126" t="s">
        <v>134</v>
      </c>
      <c r="B349" s="29" t="s">
        <v>308</v>
      </c>
      <c r="C349" s="44" t="s">
        <v>30</v>
      </c>
      <c r="D349" s="31" t="s">
        <v>72</v>
      </c>
      <c r="E349" s="85">
        <v>40851</v>
      </c>
      <c r="F349" s="26">
        <v>1</v>
      </c>
      <c r="G349" s="64">
        <v>9.74</v>
      </c>
      <c r="H349" s="46">
        <v>41</v>
      </c>
      <c r="O349" s="65">
        <v>2011</v>
      </c>
    </row>
    <row r="350" spans="1:15" ht="15.75" x14ac:dyDescent="0.25">
      <c r="A350" s="126" t="s">
        <v>134</v>
      </c>
      <c r="B350" s="29" t="s">
        <v>312</v>
      </c>
      <c r="C350" s="44" t="s">
        <v>30</v>
      </c>
      <c r="D350" s="31" t="s">
        <v>72</v>
      </c>
      <c r="E350" s="43">
        <v>41334</v>
      </c>
      <c r="F350" s="26">
        <v>1</v>
      </c>
      <c r="G350" s="33">
        <v>25.452000000000002</v>
      </c>
      <c r="H350" s="47">
        <v>74.92</v>
      </c>
      <c r="O350" s="201">
        <v>2013</v>
      </c>
    </row>
    <row r="351" spans="1:15" ht="15.75" x14ac:dyDescent="0.25">
      <c r="A351" s="126" t="s">
        <v>134</v>
      </c>
      <c r="B351" s="29" t="s">
        <v>438</v>
      </c>
      <c r="C351" s="44" t="s">
        <v>30</v>
      </c>
      <c r="D351" s="31" t="s">
        <v>72</v>
      </c>
      <c r="E351" s="85">
        <v>40843</v>
      </c>
      <c r="F351" s="26">
        <v>1</v>
      </c>
      <c r="G351" s="37">
        <v>37.700000000000003</v>
      </c>
      <c r="H351" s="34">
        <v>130</v>
      </c>
      <c r="O351" s="65">
        <v>2011</v>
      </c>
    </row>
    <row r="352" spans="1:15" ht="15.75" x14ac:dyDescent="0.25">
      <c r="A352" s="126" t="s">
        <v>134</v>
      </c>
      <c r="B352" s="29" t="s">
        <v>332</v>
      </c>
      <c r="C352" s="44" t="s">
        <v>30</v>
      </c>
      <c r="D352" s="31" t="s">
        <v>72</v>
      </c>
      <c r="E352" s="185">
        <v>40686</v>
      </c>
      <c r="F352" s="26">
        <v>1</v>
      </c>
      <c r="G352" s="64">
        <v>26.579000000000001</v>
      </c>
      <c r="H352" s="46">
        <v>85</v>
      </c>
      <c r="O352" s="211">
        <v>2011</v>
      </c>
    </row>
    <row r="353" spans="1:15" ht="15.75" x14ac:dyDescent="0.25">
      <c r="A353" s="126" t="s">
        <v>134</v>
      </c>
      <c r="B353" s="29" t="s">
        <v>352</v>
      </c>
      <c r="C353" s="44" t="s">
        <v>30</v>
      </c>
      <c r="D353" s="31" t="s">
        <v>72</v>
      </c>
      <c r="E353" s="43">
        <v>41229</v>
      </c>
      <c r="F353" s="26">
        <v>1</v>
      </c>
      <c r="G353" s="37">
        <v>8.9</v>
      </c>
      <c r="H353" s="34">
        <v>26</v>
      </c>
      <c r="O353" s="201">
        <v>2012</v>
      </c>
    </row>
    <row r="354" spans="1:15" ht="15.75" x14ac:dyDescent="0.25">
      <c r="A354" s="126" t="s">
        <v>134</v>
      </c>
      <c r="B354" s="29" t="s">
        <v>355</v>
      </c>
      <c r="C354" s="44" t="s">
        <v>30</v>
      </c>
      <c r="D354" s="31" t="s">
        <v>72</v>
      </c>
      <c r="E354" s="32">
        <v>2010</v>
      </c>
      <c r="F354" s="26">
        <v>1</v>
      </c>
      <c r="G354" s="37">
        <v>21.6</v>
      </c>
      <c r="H354" s="47">
        <v>70</v>
      </c>
      <c r="O354" s="201">
        <v>2010</v>
      </c>
    </row>
    <row r="355" spans="1:15" ht="15.75" x14ac:dyDescent="0.25">
      <c r="A355" s="126" t="s">
        <v>134</v>
      </c>
      <c r="B355" s="44" t="s">
        <v>360</v>
      </c>
      <c r="C355" s="44" t="s">
        <v>30</v>
      </c>
      <c r="D355" s="31" t="s">
        <v>72</v>
      </c>
      <c r="E355" s="185">
        <v>41192</v>
      </c>
      <c r="F355" s="26">
        <v>1</v>
      </c>
      <c r="G355" s="64">
        <v>8.73</v>
      </c>
      <c r="H355" s="46">
        <v>30</v>
      </c>
      <c r="O355" s="211">
        <v>2012</v>
      </c>
    </row>
    <row r="356" spans="1:15" ht="15.75" x14ac:dyDescent="0.25">
      <c r="A356" s="126" t="s">
        <v>134</v>
      </c>
      <c r="B356" s="29" t="s">
        <v>528</v>
      </c>
      <c r="C356" s="44" t="s">
        <v>30</v>
      </c>
      <c r="D356" s="31" t="s">
        <v>72</v>
      </c>
      <c r="E356" s="43">
        <v>41272</v>
      </c>
      <c r="F356" s="26">
        <v>1</v>
      </c>
      <c r="G356" s="33">
        <v>18.5</v>
      </c>
      <c r="H356" s="63">
        <v>69.680000000000007</v>
      </c>
      <c r="O356" s="201">
        <v>2012</v>
      </c>
    </row>
    <row r="357" spans="1:15" ht="15.75" x14ac:dyDescent="0.25">
      <c r="A357" s="126" t="s">
        <v>134</v>
      </c>
      <c r="B357" s="29" t="s">
        <v>385</v>
      </c>
      <c r="C357" s="44" t="s">
        <v>30</v>
      </c>
      <c r="D357" s="31" t="s">
        <v>72</v>
      </c>
      <c r="E357" s="43">
        <v>41425</v>
      </c>
      <c r="F357" s="26">
        <v>1</v>
      </c>
      <c r="G357" s="37">
        <v>10.566000000000001</v>
      </c>
      <c r="H357" s="34">
        <v>32</v>
      </c>
      <c r="O357" s="201">
        <v>2013</v>
      </c>
    </row>
    <row r="358" spans="1:15" ht="15.75" x14ac:dyDescent="0.25">
      <c r="A358" s="110" t="s">
        <v>134</v>
      </c>
      <c r="B358" s="29" t="s">
        <v>540</v>
      </c>
      <c r="C358" s="111" t="s">
        <v>30</v>
      </c>
      <c r="D358" s="31" t="s">
        <v>576</v>
      </c>
      <c r="E358" s="43">
        <v>41870</v>
      </c>
      <c r="F358" s="26">
        <v>1</v>
      </c>
      <c r="G358" s="37">
        <v>7.33</v>
      </c>
      <c r="H358" s="34">
        <v>25</v>
      </c>
      <c r="O358" s="201">
        <v>2014</v>
      </c>
    </row>
    <row r="359" spans="1:15" ht="15.75" x14ac:dyDescent="0.25">
      <c r="A359" s="110" t="s">
        <v>134</v>
      </c>
      <c r="B359" s="29" t="s">
        <v>549</v>
      </c>
      <c r="C359" s="111" t="s">
        <v>30</v>
      </c>
      <c r="D359" s="31" t="s">
        <v>576</v>
      </c>
      <c r="E359" s="85">
        <v>41649</v>
      </c>
      <c r="F359" s="26">
        <v>1</v>
      </c>
      <c r="G359" s="37">
        <v>49.2</v>
      </c>
      <c r="H359" s="34">
        <v>152.13</v>
      </c>
      <c r="O359" s="65">
        <v>2014</v>
      </c>
    </row>
    <row r="360" spans="1:15" ht="15.75" x14ac:dyDescent="0.25">
      <c r="A360" s="110" t="s">
        <v>134</v>
      </c>
      <c r="B360" s="29" t="s">
        <v>558</v>
      </c>
      <c r="C360" s="111" t="s">
        <v>30</v>
      </c>
      <c r="D360" s="31" t="s">
        <v>576</v>
      </c>
      <c r="E360" s="43">
        <v>41830</v>
      </c>
      <c r="F360" s="26">
        <v>1</v>
      </c>
      <c r="G360" s="33">
        <v>35.6</v>
      </c>
      <c r="H360" s="63">
        <v>118.8</v>
      </c>
      <c r="O360" s="201">
        <v>2014</v>
      </c>
    </row>
    <row r="361" spans="1:15" ht="15.75" x14ac:dyDescent="0.25">
      <c r="A361" s="110" t="s">
        <v>134</v>
      </c>
      <c r="B361" s="29" t="s">
        <v>565</v>
      </c>
      <c r="C361" s="111" t="s">
        <v>30</v>
      </c>
      <c r="D361" s="31" t="s">
        <v>576</v>
      </c>
      <c r="E361" s="43">
        <v>41802</v>
      </c>
      <c r="F361" s="26">
        <v>1</v>
      </c>
      <c r="G361" s="37">
        <v>3.43</v>
      </c>
      <c r="H361" s="34">
        <v>10.16</v>
      </c>
      <c r="O361" s="201">
        <v>2014</v>
      </c>
    </row>
    <row r="362" spans="1:15" ht="15.75" x14ac:dyDescent="0.25">
      <c r="A362" s="118" t="s">
        <v>134</v>
      </c>
      <c r="B362" s="44" t="s">
        <v>572</v>
      </c>
      <c r="C362" s="119" t="s">
        <v>30</v>
      </c>
      <c r="D362" s="31" t="s">
        <v>576</v>
      </c>
      <c r="E362" s="43">
        <v>41929</v>
      </c>
      <c r="F362" s="26">
        <v>1</v>
      </c>
      <c r="G362" s="95">
        <v>3.9780000000000002</v>
      </c>
      <c r="H362" s="47">
        <v>10.063000000000001</v>
      </c>
      <c r="O362" s="201">
        <v>2014</v>
      </c>
    </row>
    <row r="363" spans="1:15" ht="15.75" x14ac:dyDescent="0.25">
      <c r="A363" s="133" t="s">
        <v>134</v>
      </c>
      <c r="B363" s="44" t="s">
        <v>468</v>
      </c>
      <c r="C363" s="134" t="s">
        <v>30</v>
      </c>
      <c r="D363" s="31" t="s">
        <v>69</v>
      </c>
      <c r="E363" s="43">
        <v>41061</v>
      </c>
      <c r="F363" s="26">
        <v>1</v>
      </c>
      <c r="G363" s="95">
        <v>229.69</v>
      </c>
      <c r="H363" s="47">
        <v>900</v>
      </c>
      <c r="O363" s="201">
        <v>2012</v>
      </c>
    </row>
    <row r="364" spans="1:15" ht="15.75" x14ac:dyDescent="0.25">
      <c r="A364" s="133" t="s">
        <v>134</v>
      </c>
      <c r="B364" s="128" t="s">
        <v>710</v>
      </c>
      <c r="C364" s="134" t="s">
        <v>30</v>
      </c>
      <c r="D364" s="58" t="s">
        <v>72</v>
      </c>
      <c r="E364" s="185">
        <v>42296</v>
      </c>
      <c r="F364" s="60">
        <v>1</v>
      </c>
      <c r="G364" s="120">
        <v>23.3</v>
      </c>
      <c r="H364" s="61">
        <v>100</v>
      </c>
      <c r="O364" s="211">
        <v>2015</v>
      </c>
    </row>
    <row r="365" spans="1:15" ht="15.75" x14ac:dyDescent="0.25">
      <c r="A365" s="133" t="s">
        <v>134</v>
      </c>
      <c r="B365" s="128" t="s">
        <v>711</v>
      </c>
      <c r="C365" s="134" t="s">
        <v>30</v>
      </c>
      <c r="D365" s="58" t="s">
        <v>72</v>
      </c>
      <c r="E365" s="185">
        <v>42292</v>
      </c>
      <c r="F365" s="60">
        <v>1</v>
      </c>
      <c r="G365" s="120">
        <v>3.7</v>
      </c>
      <c r="H365" s="61">
        <v>12.52</v>
      </c>
      <c r="O365" s="211">
        <v>2015</v>
      </c>
    </row>
    <row r="366" spans="1:15" ht="15.75" x14ac:dyDescent="0.25">
      <c r="A366" s="133" t="s">
        <v>134</v>
      </c>
      <c r="B366" s="128" t="s">
        <v>712</v>
      </c>
      <c r="C366" s="134" t="s">
        <v>30</v>
      </c>
      <c r="D366" s="58" t="s">
        <v>72</v>
      </c>
      <c r="E366" s="185">
        <v>42305</v>
      </c>
      <c r="F366" s="60">
        <v>1</v>
      </c>
      <c r="G366" s="120">
        <v>10.050000000000001</v>
      </c>
      <c r="H366" s="61">
        <v>39.979999999999997</v>
      </c>
      <c r="O366" s="211">
        <v>2015</v>
      </c>
    </row>
    <row r="367" spans="1:15" ht="15.75" x14ac:dyDescent="0.25">
      <c r="A367" s="133" t="s">
        <v>134</v>
      </c>
      <c r="B367" s="128" t="s">
        <v>713</v>
      </c>
      <c r="C367" s="134" t="s">
        <v>30</v>
      </c>
      <c r="D367" s="58" t="s">
        <v>72</v>
      </c>
      <c r="E367" s="185">
        <v>42292</v>
      </c>
      <c r="F367" s="60">
        <v>1</v>
      </c>
      <c r="G367" s="120">
        <v>23.125</v>
      </c>
      <c r="H367" s="61">
        <v>70</v>
      </c>
      <c r="O367" s="211">
        <v>2015</v>
      </c>
    </row>
    <row r="368" spans="1:15" ht="15.75" x14ac:dyDescent="0.25">
      <c r="A368" s="133" t="s">
        <v>134</v>
      </c>
      <c r="B368" s="128" t="s">
        <v>714</v>
      </c>
      <c r="C368" s="134" t="s">
        <v>30</v>
      </c>
      <c r="D368" s="58" t="s">
        <v>72</v>
      </c>
      <c r="E368" s="185">
        <v>42047</v>
      </c>
      <c r="F368" s="60">
        <v>1</v>
      </c>
      <c r="G368" s="120">
        <v>9.18</v>
      </c>
      <c r="H368" s="61">
        <v>34.5</v>
      </c>
      <c r="O368" s="211">
        <v>2015</v>
      </c>
    </row>
    <row r="369" spans="1:15" ht="15.75" x14ac:dyDescent="0.25">
      <c r="A369" s="133" t="s">
        <v>134</v>
      </c>
      <c r="B369" s="128" t="s">
        <v>715</v>
      </c>
      <c r="C369" s="134" t="s">
        <v>30</v>
      </c>
      <c r="D369" s="58" t="s">
        <v>72</v>
      </c>
      <c r="E369" s="185">
        <v>42302</v>
      </c>
      <c r="F369" s="60">
        <v>1</v>
      </c>
      <c r="G369" s="120">
        <v>7</v>
      </c>
      <c r="H369" s="61">
        <v>27</v>
      </c>
      <c r="O369" s="211">
        <v>2015</v>
      </c>
    </row>
    <row r="370" spans="1:15" ht="15.75" x14ac:dyDescent="0.25">
      <c r="A370" s="133" t="s">
        <v>134</v>
      </c>
      <c r="B370" s="128" t="s">
        <v>716</v>
      </c>
      <c r="C370" s="134" t="s">
        <v>30</v>
      </c>
      <c r="D370" s="58" t="s">
        <v>72</v>
      </c>
      <c r="E370" s="185">
        <v>42301</v>
      </c>
      <c r="F370" s="60">
        <v>1</v>
      </c>
      <c r="G370" s="120">
        <v>8.84</v>
      </c>
      <c r="H370" s="61">
        <v>24.84</v>
      </c>
      <c r="O370" s="211">
        <v>2015</v>
      </c>
    </row>
    <row r="371" spans="1:15" ht="15.75" x14ac:dyDescent="0.25">
      <c r="A371" s="107" t="s">
        <v>135</v>
      </c>
      <c r="B371" s="39" t="s">
        <v>178</v>
      </c>
      <c r="C371" s="108" t="s">
        <v>54</v>
      </c>
      <c r="D371" s="31" t="s">
        <v>72</v>
      </c>
      <c r="E371" s="135">
        <v>1961</v>
      </c>
      <c r="F371" s="26">
        <v>1</v>
      </c>
      <c r="G371" s="136">
        <v>18.600000000000001</v>
      </c>
      <c r="H371" s="137">
        <v>110</v>
      </c>
      <c r="O371" s="213">
        <v>1961</v>
      </c>
    </row>
    <row r="372" spans="1:15" ht="15.75" x14ac:dyDescent="0.25">
      <c r="A372" s="107" t="s">
        <v>135</v>
      </c>
      <c r="B372" s="29" t="s">
        <v>199</v>
      </c>
      <c r="C372" s="108" t="s">
        <v>54</v>
      </c>
      <c r="D372" s="31" t="s">
        <v>72</v>
      </c>
      <c r="E372" s="43">
        <v>41460</v>
      </c>
      <c r="F372" s="26">
        <v>1</v>
      </c>
      <c r="G372" s="37">
        <v>29.303999999999998</v>
      </c>
      <c r="H372" s="34">
        <v>109</v>
      </c>
      <c r="O372" s="201">
        <v>2013</v>
      </c>
    </row>
    <row r="373" spans="1:15" ht="15.75" x14ac:dyDescent="0.25">
      <c r="A373" s="107" t="s">
        <v>135</v>
      </c>
      <c r="B373" s="44" t="s">
        <v>487</v>
      </c>
      <c r="C373" s="108" t="s">
        <v>54</v>
      </c>
      <c r="D373" s="31" t="s">
        <v>72</v>
      </c>
      <c r="E373" s="43">
        <v>41258</v>
      </c>
      <c r="F373" s="26">
        <v>1</v>
      </c>
      <c r="G373" s="64">
        <v>4.42</v>
      </c>
      <c r="H373" s="46">
        <v>13.65</v>
      </c>
      <c r="O373" s="201">
        <v>2012</v>
      </c>
    </row>
    <row r="374" spans="1:15" ht="15.75" x14ac:dyDescent="0.25">
      <c r="A374" s="107" t="s">
        <v>135</v>
      </c>
      <c r="B374" s="29" t="s">
        <v>402</v>
      </c>
      <c r="C374" s="108" t="s">
        <v>54</v>
      </c>
      <c r="D374" s="31" t="s">
        <v>72</v>
      </c>
      <c r="E374" s="32">
        <v>2010</v>
      </c>
      <c r="F374" s="26">
        <v>1</v>
      </c>
      <c r="G374" s="33">
        <v>91.4</v>
      </c>
      <c r="H374" s="47">
        <v>360</v>
      </c>
      <c r="O374" s="201">
        <v>2010</v>
      </c>
    </row>
    <row r="375" spans="1:15" ht="15.75" x14ac:dyDescent="0.25">
      <c r="A375" s="107" t="s">
        <v>135</v>
      </c>
      <c r="B375" s="29" t="s">
        <v>285</v>
      </c>
      <c r="C375" s="108" t="s">
        <v>54</v>
      </c>
      <c r="D375" s="31" t="s">
        <v>72</v>
      </c>
      <c r="E375" s="52">
        <v>40688</v>
      </c>
      <c r="F375" s="26">
        <v>1</v>
      </c>
      <c r="G375" s="64">
        <v>25.2</v>
      </c>
      <c r="H375" s="46">
        <v>126</v>
      </c>
      <c r="O375" s="212">
        <v>2011</v>
      </c>
    </row>
    <row r="376" spans="1:15" ht="15.75" x14ac:dyDescent="0.25">
      <c r="A376" s="107" t="s">
        <v>135</v>
      </c>
      <c r="B376" s="29" t="s">
        <v>426</v>
      </c>
      <c r="C376" s="108" t="s">
        <v>54</v>
      </c>
      <c r="D376" s="31" t="s">
        <v>72</v>
      </c>
      <c r="E376" s="32">
        <v>2010</v>
      </c>
      <c r="F376" s="26">
        <v>1</v>
      </c>
      <c r="G376" s="37">
        <v>9.5</v>
      </c>
      <c r="H376" s="47">
        <v>40</v>
      </c>
      <c r="O376" s="201">
        <v>2010</v>
      </c>
    </row>
    <row r="377" spans="1:15" ht="15.75" x14ac:dyDescent="0.25">
      <c r="A377" s="107" t="s">
        <v>135</v>
      </c>
      <c r="B377" s="29" t="s">
        <v>444</v>
      </c>
      <c r="C377" s="108" t="s">
        <v>54</v>
      </c>
      <c r="D377" s="31" t="s">
        <v>72</v>
      </c>
      <c r="E377" s="32">
        <v>2010</v>
      </c>
      <c r="F377" s="26">
        <v>1</v>
      </c>
      <c r="G377" s="37">
        <v>8.8000000000000007</v>
      </c>
      <c r="H377" s="34">
        <v>31.97</v>
      </c>
      <c r="O377" s="201">
        <v>2010</v>
      </c>
    </row>
    <row r="378" spans="1:15" ht="15.75" x14ac:dyDescent="0.25">
      <c r="A378" s="107" t="s">
        <v>135</v>
      </c>
      <c r="B378" s="29" t="s">
        <v>530</v>
      </c>
      <c r="C378" s="108" t="s">
        <v>54</v>
      </c>
      <c r="D378" s="31" t="s">
        <v>72</v>
      </c>
      <c r="E378" s="32">
        <f>E377</f>
        <v>2010</v>
      </c>
      <c r="F378" s="26">
        <v>1</v>
      </c>
      <c r="G378" s="37">
        <v>62.15</v>
      </c>
      <c r="H378" s="47">
        <v>156</v>
      </c>
      <c r="O378" s="201">
        <f>O377</f>
        <v>2010</v>
      </c>
    </row>
    <row r="379" spans="1:15" ht="15.75" x14ac:dyDescent="0.25">
      <c r="A379" s="107" t="s">
        <v>135</v>
      </c>
      <c r="B379" s="29" t="s">
        <v>531</v>
      </c>
      <c r="C379" s="108" t="s">
        <v>54</v>
      </c>
      <c r="D379" s="31" t="s">
        <v>72</v>
      </c>
      <c r="E379" s="43">
        <v>41541</v>
      </c>
      <c r="F379" s="26">
        <v>1</v>
      </c>
      <c r="G379" s="37">
        <v>19.690000000000001</v>
      </c>
      <c r="H379" s="47">
        <v>100.646</v>
      </c>
      <c r="O379" s="201">
        <v>2013</v>
      </c>
    </row>
    <row r="380" spans="1:15" ht="15.75" x14ac:dyDescent="0.25">
      <c r="A380" s="107" t="s">
        <v>135</v>
      </c>
      <c r="B380" s="29" t="s">
        <v>383</v>
      </c>
      <c r="C380" s="108" t="s">
        <v>54</v>
      </c>
      <c r="D380" s="31" t="s">
        <v>72</v>
      </c>
      <c r="E380" s="85">
        <f>E379</f>
        <v>41541</v>
      </c>
      <c r="F380" s="26">
        <v>1</v>
      </c>
      <c r="G380" s="95">
        <v>40.24</v>
      </c>
      <c r="H380" s="47">
        <v>180</v>
      </c>
      <c r="O380" s="65">
        <v>2013</v>
      </c>
    </row>
    <row r="381" spans="1:15" ht="15.75" x14ac:dyDescent="0.25">
      <c r="A381" s="110" t="s">
        <v>135</v>
      </c>
      <c r="B381" s="29" t="s">
        <v>574</v>
      </c>
      <c r="C381" s="111" t="s">
        <v>54</v>
      </c>
      <c r="D381" s="31" t="s">
        <v>576</v>
      </c>
      <c r="E381" s="43">
        <v>41927</v>
      </c>
      <c r="F381" s="26">
        <v>1</v>
      </c>
      <c r="G381" s="37">
        <v>2.36</v>
      </c>
      <c r="H381" s="34">
        <v>9.66</v>
      </c>
      <c r="O381" s="201">
        <v>2014</v>
      </c>
    </row>
    <row r="382" spans="1:15" ht="15.75" x14ac:dyDescent="0.25">
      <c r="A382" s="110" t="s">
        <v>135</v>
      </c>
      <c r="B382" s="29" t="s">
        <v>575</v>
      </c>
      <c r="C382" s="111" t="s">
        <v>54</v>
      </c>
      <c r="D382" s="31" t="s">
        <v>576</v>
      </c>
      <c r="E382" s="43">
        <v>41992</v>
      </c>
      <c r="F382" s="26">
        <v>1</v>
      </c>
      <c r="G382" s="37">
        <v>8.82</v>
      </c>
      <c r="H382" s="34">
        <v>32.543999999999997</v>
      </c>
      <c r="O382" s="201">
        <v>2014</v>
      </c>
    </row>
    <row r="383" spans="1:15" ht="15.75" x14ac:dyDescent="0.25">
      <c r="A383" s="110" t="s">
        <v>135</v>
      </c>
      <c r="B383" s="29" t="s">
        <v>562</v>
      </c>
      <c r="C383" s="111" t="s">
        <v>54</v>
      </c>
      <c r="D383" s="31" t="s">
        <v>576</v>
      </c>
      <c r="E383" s="43">
        <v>41836</v>
      </c>
      <c r="F383" s="26">
        <v>1</v>
      </c>
      <c r="G383" s="37">
        <v>13.5</v>
      </c>
      <c r="H383" s="34">
        <v>46.89</v>
      </c>
      <c r="O383" s="201">
        <v>2014</v>
      </c>
    </row>
    <row r="384" spans="1:15" ht="15.75" x14ac:dyDescent="0.25">
      <c r="A384" s="110" t="s">
        <v>135</v>
      </c>
      <c r="B384" s="29" t="s">
        <v>570</v>
      </c>
      <c r="C384" s="111" t="s">
        <v>54</v>
      </c>
      <c r="D384" s="31" t="s">
        <v>576</v>
      </c>
      <c r="E384" s="43">
        <v>42004</v>
      </c>
      <c r="F384" s="26">
        <v>1</v>
      </c>
      <c r="G384" s="37">
        <v>3.72</v>
      </c>
      <c r="H384" s="34">
        <v>14.47</v>
      </c>
      <c r="O384" s="201">
        <v>2014</v>
      </c>
    </row>
    <row r="385" spans="1:15" ht="15.75" x14ac:dyDescent="0.25">
      <c r="A385" s="131" t="s">
        <v>112</v>
      </c>
      <c r="B385" s="39" t="s">
        <v>153</v>
      </c>
      <c r="C385" s="132" t="s">
        <v>9</v>
      </c>
      <c r="D385" s="31" t="s">
        <v>72</v>
      </c>
      <c r="E385" s="86">
        <v>1984</v>
      </c>
      <c r="F385" s="26">
        <v>1</v>
      </c>
      <c r="G385" s="87">
        <v>0.3</v>
      </c>
      <c r="H385" s="88">
        <v>1</v>
      </c>
      <c r="O385" s="209">
        <v>1984</v>
      </c>
    </row>
    <row r="386" spans="1:15" ht="15.75" x14ac:dyDescent="0.25">
      <c r="A386" s="131" t="s">
        <v>112</v>
      </c>
      <c r="B386" s="29" t="s">
        <v>211</v>
      </c>
      <c r="C386" s="132" t="s">
        <v>9</v>
      </c>
      <c r="D386" s="31" t="s">
        <v>72</v>
      </c>
      <c r="E386" s="32">
        <v>2010</v>
      </c>
      <c r="F386" s="26">
        <v>1</v>
      </c>
      <c r="G386" s="37">
        <v>12.41</v>
      </c>
      <c r="H386" s="47">
        <v>40</v>
      </c>
      <c r="O386" s="201">
        <v>2010</v>
      </c>
    </row>
    <row r="387" spans="1:15" ht="15.75" x14ac:dyDescent="0.25">
      <c r="A387" s="131" t="s">
        <v>112</v>
      </c>
      <c r="B387" s="44" t="s">
        <v>391</v>
      </c>
      <c r="C387" s="132" t="s">
        <v>9</v>
      </c>
      <c r="D387" s="31" t="s">
        <v>72</v>
      </c>
      <c r="E387" s="52">
        <v>41137</v>
      </c>
      <c r="F387" s="26">
        <v>1</v>
      </c>
      <c r="G387" s="64">
        <v>32.409999999999997</v>
      </c>
      <c r="H387" s="47">
        <v>76.36</v>
      </c>
      <c r="O387" s="212">
        <v>2012</v>
      </c>
    </row>
    <row r="388" spans="1:15" ht="15.75" x14ac:dyDescent="0.25">
      <c r="A388" s="131" t="s">
        <v>112</v>
      </c>
      <c r="B388" s="29" t="s">
        <v>226</v>
      </c>
      <c r="C388" s="132" t="s">
        <v>9</v>
      </c>
      <c r="D388" s="31" t="s">
        <v>72</v>
      </c>
      <c r="E388" s="32">
        <v>2008</v>
      </c>
      <c r="F388" s="26">
        <v>1</v>
      </c>
      <c r="G388" s="37">
        <v>11</v>
      </c>
      <c r="H388" s="34">
        <v>47</v>
      </c>
      <c r="O388" s="201">
        <v>2008</v>
      </c>
    </row>
    <row r="389" spans="1:15" ht="15.75" x14ac:dyDescent="0.25">
      <c r="A389" s="131" t="s">
        <v>112</v>
      </c>
      <c r="B389" s="29" t="s">
        <v>228</v>
      </c>
      <c r="C389" s="132" t="s">
        <v>9</v>
      </c>
      <c r="D389" s="31" t="s">
        <v>72</v>
      </c>
      <c r="E389" s="32">
        <v>2009</v>
      </c>
      <c r="F389" s="26">
        <v>1</v>
      </c>
      <c r="G389" s="37">
        <v>16.206</v>
      </c>
      <c r="H389" s="34">
        <v>59.927999999999997</v>
      </c>
      <c r="O389" s="201">
        <v>2009</v>
      </c>
    </row>
    <row r="390" spans="1:15" ht="15.75" x14ac:dyDescent="0.25">
      <c r="A390" s="131" t="s">
        <v>112</v>
      </c>
      <c r="B390" s="44" t="s">
        <v>237</v>
      </c>
      <c r="C390" s="132" t="s">
        <v>9</v>
      </c>
      <c r="D390" s="31" t="s">
        <v>72</v>
      </c>
      <c r="E390" s="85">
        <v>41382</v>
      </c>
      <c r="F390" s="26">
        <v>1</v>
      </c>
      <c r="G390" s="95">
        <v>7.77</v>
      </c>
      <c r="H390" s="47">
        <v>31.17</v>
      </c>
      <c r="O390" s="65">
        <v>2013</v>
      </c>
    </row>
    <row r="391" spans="1:15" ht="15.75" x14ac:dyDescent="0.25">
      <c r="A391" s="131" t="s">
        <v>112</v>
      </c>
      <c r="B391" s="29" t="s">
        <v>249</v>
      </c>
      <c r="C391" s="132" t="s">
        <v>9</v>
      </c>
      <c r="D391" s="31" t="s">
        <v>72</v>
      </c>
      <c r="E391" s="85">
        <v>41348</v>
      </c>
      <c r="F391" s="26">
        <v>1</v>
      </c>
      <c r="G391" s="37">
        <v>19.04</v>
      </c>
      <c r="H391" s="47">
        <v>35.79</v>
      </c>
      <c r="O391" s="65">
        <v>2013</v>
      </c>
    </row>
    <row r="392" spans="1:15" ht="15.75" x14ac:dyDescent="0.25">
      <c r="A392" s="131" t="s">
        <v>112</v>
      </c>
      <c r="B392" s="29" t="s">
        <v>257</v>
      </c>
      <c r="C392" s="132" t="s">
        <v>9</v>
      </c>
      <c r="D392" s="31" t="s">
        <v>72</v>
      </c>
      <c r="E392" s="85">
        <v>40458</v>
      </c>
      <c r="F392" s="26">
        <v>1</v>
      </c>
      <c r="G392" s="37">
        <v>22.5</v>
      </c>
      <c r="H392" s="47">
        <v>86.97</v>
      </c>
      <c r="O392" s="65">
        <v>2010</v>
      </c>
    </row>
    <row r="393" spans="1:15" ht="15.75" x14ac:dyDescent="0.25">
      <c r="A393" s="131" t="s">
        <v>112</v>
      </c>
      <c r="B393" s="29" t="s">
        <v>258</v>
      </c>
      <c r="C393" s="132" t="s">
        <v>9</v>
      </c>
      <c r="D393" s="31" t="s">
        <v>72</v>
      </c>
      <c r="E393" s="85">
        <v>40333</v>
      </c>
      <c r="F393" s="26">
        <v>1</v>
      </c>
      <c r="G393" s="37">
        <v>45</v>
      </c>
      <c r="H393" s="47">
        <v>125</v>
      </c>
      <c r="O393" s="65">
        <v>2010</v>
      </c>
    </row>
    <row r="394" spans="1:15" ht="15.75" x14ac:dyDescent="0.25">
      <c r="A394" s="131" t="s">
        <v>112</v>
      </c>
      <c r="B394" s="29" t="s">
        <v>508</v>
      </c>
      <c r="C394" s="132" t="s">
        <v>9</v>
      </c>
      <c r="D394" s="31" t="s">
        <v>72</v>
      </c>
      <c r="E394" s="32">
        <v>2009</v>
      </c>
      <c r="F394" s="26">
        <v>1</v>
      </c>
      <c r="G394" s="37">
        <v>8.48</v>
      </c>
      <c r="H394" s="34">
        <v>32.42</v>
      </c>
      <c r="O394" s="201">
        <v>2009</v>
      </c>
    </row>
    <row r="395" spans="1:15" ht="15.75" x14ac:dyDescent="0.25">
      <c r="A395" s="131" t="s">
        <v>112</v>
      </c>
      <c r="B395" s="29" t="s">
        <v>324</v>
      </c>
      <c r="C395" s="132" t="s">
        <v>9</v>
      </c>
      <c r="D395" s="31" t="s">
        <v>72</v>
      </c>
      <c r="E395" s="117">
        <v>2010</v>
      </c>
      <c r="F395" s="26">
        <v>1</v>
      </c>
      <c r="G395" s="95">
        <v>24.2</v>
      </c>
      <c r="H395" s="34">
        <v>67</v>
      </c>
      <c r="O395" s="210">
        <v>2010</v>
      </c>
    </row>
    <row r="396" spans="1:15" ht="15.75" x14ac:dyDescent="0.25">
      <c r="A396" s="131" t="s">
        <v>112</v>
      </c>
      <c r="B396" s="44" t="s">
        <v>335</v>
      </c>
      <c r="C396" s="132" t="s">
        <v>9</v>
      </c>
      <c r="D396" s="31" t="s">
        <v>72</v>
      </c>
      <c r="E396" s="43">
        <v>41015</v>
      </c>
      <c r="F396" s="26">
        <v>1</v>
      </c>
      <c r="G396" s="95">
        <v>26.6</v>
      </c>
      <c r="H396" s="47">
        <v>64.319999999999993</v>
      </c>
      <c r="O396" s="201">
        <v>2012</v>
      </c>
    </row>
    <row r="397" spans="1:15" ht="15.75" x14ac:dyDescent="0.25">
      <c r="A397" s="131" t="s">
        <v>112</v>
      </c>
      <c r="B397" s="29" t="s">
        <v>377</v>
      </c>
      <c r="C397" s="132" t="s">
        <v>9</v>
      </c>
      <c r="D397" s="31" t="s">
        <v>72</v>
      </c>
      <c r="E397" s="85">
        <v>41523</v>
      </c>
      <c r="F397" s="26">
        <v>1</v>
      </c>
      <c r="G397" s="37">
        <v>4.67</v>
      </c>
      <c r="H397" s="47">
        <v>20.87</v>
      </c>
      <c r="O397" s="65">
        <v>2013</v>
      </c>
    </row>
    <row r="398" spans="1:15" ht="15.75" x14ac:dyDescent="0.25">
      <c r="A398" s="138" t="s">
        <v>112</v>
      </c>
      <c r="B398" s="56" t="s">
        <v>717</v>
      </c>
      <c r="C398" s="139" t="s">
        <v>9</v>
      </c>
      <c r="D398" s="58" t="s">
        <v>69</v>
      </c>
      <c r="E398" s="85">
        <v>42348</v>
      </c>
      <c r="F398" s="60">
        <v>1</v>
      </c>
      <c r="G398" s="33">
        <v>332.18</v>
      </c>
      <c r="H398" s="61">
        <v>1026</v>
      </c>
      <c r="O398" s="65">
        <v>2015</v>
      </c>
    </row>
    <row r="399" spans="1:15" ht="15.75" x14ac:dyDescent="0.25">
      <c r="A399" s="138" t="s">
        <v>112</v>
      </c>
      <c r="B399" s="56" t="s">
        <v>718</v>
      </c>
      <c r="C399" s="139" t="s">
        <v>9</v>
      </c>
      <c r="D399" s="58" t="s">
        <v>72</v>
      </c>
      <c r="E399" s="85">
        <v>42306</v>
      </c>
      <c r="F399" s="60">
        <v>1</v>
      </c>
      <c r="G399" s="33">
        <v>1.9550000000000001</v>
      </c>
      <c r="H399" s="61">
        <v>6.42</v>
      </c>
      <c r="O399" s="65">
        <v>2015</v>
      </c>
    </row>
    <row r="400" spans="1:15" ht="15.75" x14ac:dyDescent="0.25">
      <c r="A400" s="103" t="s">
        <v>113</v>
      </c>
      <c r="B400" s="29" t="s">
        <v>473</v>
      </c>
      <c r="C400" s="29" t="s">
        <v>31</v>
      </c>
      <c r="D400" s="31" t="s">
        <v>69</v>
      </c>
      <c r="E400" s="32">
        <v>2008</v>
      </c>
      <c r="F400" s="26">
        <v>1</v>
      </c>
      <c r="G400" s="95">
        <v>101.94</v>
      </c>
      <c r="H400" s="47">
        <v>315</v>
      </c>
      <c r="O400" s="201">
        <v>2008</v>
      </c>
    </row>
    <row r="401" spans="1:15" ht="15.75" x14ac:dyDescent="0.25">
      <c r="A401" s="103" t="s">
        <v>113</v>
      </c>
      <c r="B401" s="29" t="s">
        <v>224</v>
      </c>
      <c r="C401" s="29" t="s">
        <v>31</v>
      </c>
      <c r="D401" s="31" t="s">
        <v>72</v>
      </c>
      <c r="E401" s="43">
        <v>41060</v>
      </c>
      <c r="F401" s="26">
        <v>1</v>
      </c>
      <c r="G401" s="37">
        <v>68.861999999999995</v>
      </c>
      <c r="H401" s="34">
        <v>192</v>
      </c>
      <c r="O401" s="201">
        <v>2012</v>
      </c>
    </row>
    <row r="402" spans="1:15" ht="15.75" x14ac:dyDescent="0.25">
      <c r="A402" s="103" t="s">
        <v>113</v>
      </c>
      <c r="B402" s="29" t="s">
        <v>246</v>
      </c>
      <c r="C402" s="29" t="s">
        <v>31</v>
      </c>
      <c r="D402" s="31" t="s">
        <v>72</v>
      </c>
      <c r="E402" s="43">
        <v>41435</v>
      </c>
      <c r="F402" s="26">
        <v>1</v>
      </c>
      <c r="G402" s="37">
        <v>13</v>
      </c>
      <c r="H402" s="47">
        <v>45</v>
      </c>
      <c r="O402" s="201">
        <v>2013</v>
      </c>
    </row>
    <row r="403" spans="1:15" ht="15.75" x14ac:dyDescent="0.25">
      <c r="A403" s="103" t="s">
        <v>113</v>
      </c>
      <c r="B403" s="44" t="s">
        <v>265</v>
      </c>
      <c r="C403" s="29" t="s">
        <v>31</v>
      </c>
      <c r="D403" s="31" t="s">
        <v>72</v>
      </c>
      <c r="E403" s="52">
        <v>41213</v>
      </c>
      <c r="F403" s="26">
        <v>1</v>
      </c>
      <c r="G403" s="64">
        <v>19.75</v>
      </c>
      <c r="H403" s="46">
        <v>36</v>
      </c>
      <c r="O403" s="212">
        <v>2012</v>
      </c>
    </row>
    <row r="404" spans="1:15" ht="15.75" x14ac:dyDescent="0.25">
      <c r="A404" s="103" t="s">
        <v>113</v>
      </c>
      <c r="B404" s="44" t="s">
        <v>276</v>
      </c>
      <c r="C404" s="29" t="s">
        <v>31</v>
      </c>
      <c r="D404" s="31" t="s">
        <v>72</v>
      </c>
      <c r="E404" s="43">
        <v>41515</v>
      </c>
      <c r="F404" s="26">
        <v>1</v>
      </c>
      <c r="G404" s="37">
        <v>13.58</v>
      </c>
      <c r="H404" s="47">
        <v>32.07</v>
      </c>
      <c r="O404" s="201">
        <v>2013</v>
      </c>
    </row>
    <row r="405" spans="1:15" ht="15.75" x14ac:dyDescent="0.25">
      <c r="A405" s="103" t="s">
        <v>113</v>
      </c>
      <c r="B405" s="29" t="s">
        <v>317</v>
      </c>
      <c r="C405" s="29" t="s">
        <v>31</v>
      </c>
      <c r="D405" s="31" t="s">
        <v>72</v>
      </c>
      <c r="E405" s="43">
        <v>41467</v>
      </c>
      <c r="F405" s="26">
        <v>1</v>
      </c>
      <c r="G405" s="64">
        <v>14.66</v>
      </c>
      <c r="H405" s="46">
        <v>60</v>
      </c>
      <c r="O405" s="201">
        <v>2013</v>
      </c>
    </row>
    <row r="406" spans="1:15" ht="15.75" x14ac:dyDescent="0.25">
      <c r="A406" s="103" t="s">
        <v>113</v>
      </c>
      <c r="B406" s="29" t="s">
        <v>518</v>
      </c>
      <c r="C406" s="29" t="s">
        <v>31</v>
      </c>
      <c r="D406" s="31" t="s">
        <v>72</v>
      </c>
      <c r="E406" s="43">
        <v>41354</v>
      </c>
      <c r="F406" s="26">
        <v>1</v>
      </c>
      <c r="G406" s="37">
        <v>6.63</v>
      </c>
      <c r="H406" s="34">
        <v>30</v>
      </c>
      <c r="O406" s="201">
        <v>2013</v>
      </c>
    </row>
    <row r="407" spans="1:15" ht="15.75" x14ac:dyDescent="0.25">
      <c r="A407" s="110" t="s">
        <v>113</v>
      </c>
      <c r="B407" s="29" t="s">
        <v>539</v>
      </c>
      <c r="C407" s="111" t="s">
        <v>31</v>
      </c>
      <c r="D407" s="31" t="s">
        <v>72</v>
      </c>
      <c r="E407" s="43">
        <v>41794</v>
      </c>
      <c r="F407" s="26">
        <v>1</v>
      </c>
      <c r="G407" s="37">
        <v>0.495</v>
      </c>
      <c r="H407" s="34">
        <v>1.5</v>
      </c>
      <c r="O407" s="201">
        <v>2014</v>
      </c>
    </row>
    <row r="408" spans="1:15" ht="15.75" x14ac:dyDescent="0.25">
      <c r="A408" s="131" t="s">
        <v>114</v>
      </c>
      <c r="B408" s="44" t="s">
        <v>469</v>
      </c>
      <c r="C408" s="132" t="s">
        <v>27</v>
      </c>
      <c r="D408" s="31" t="s">
        <v>72</v>
      </c>
      <c r="E408" s="32">
        <v>2006</v>
      </c>
      <c r="F408" s="26">
        <v>1</v>
      </c>
      <c r="G408" s="37">
        <v>27.27</v>
      </c>
      <c r="H408" s="47">
        <v>86.39</v>
      </c>
      <c r="O408" s="201">
        <v>2006</v>
      </c>
    </row>
    <row r="409" spans="1:15" ht="15.75" x14ac:dyDescent="0.25">
      <c r="A409" s="131" t="s">
        <v>114</v>
      </c>
      <c r="B409" s="44" t="s">
        <v>474</v>
      </c>
      <c r="C409" s="132" t="s">
        <v>27</v>
      </c>
      <c r="D409" s="31" t="s">
        <v>72</v>
      </c>
      <c r="E409" s="85">
        <v>41257</v>
      </c>
      <c r="F409" s="26">
        <v>1</v>
      </c>
      <c r="G409" s="64">
        <v>16.32</v>
      </c>
      <c r="H409" s="46">
        <v>42.14</v>
      </c>
      <c r="O409" s="65">
        <v>2012</v>
      </c>
    </row>
    <row r="410" spans="1:15" ht="15.75" x14ac:dyDescent="0.25">
      <c r="A410" s="131" t="s">
        <v>114</v>
      </c>
      <c r="B410" s="44" t="s">
        <v>418</v>
      </c>
      <c r="C410" s="132" t="s">
        <v>27</v>
      </c>
      <c r="D410" s="31" t="s">
        <v>72</v>
      </c>
      <c r="E410" s="52">
        <v>41167</v>
      </c>
      <c r="F410" s="26">
        <v>1</v>
      </c>
      <c r="G410" s="130">
        <v>3.98</v>
      </c>
      <c r="H410" s="141">
        <v>11</v>
      </c>
      <c r="O410" s="212">
        <v>2012</v>
      </c>
    </row>
    <row r="411" spans="1:15" ht="15.75" x14ac:dyDescent="0.25">
      <c r="A411" s="131" t="s">
        <v>114</v>
      </c>
      <c r="B411" s="44" t="s">
        <v>260</v>
      </c>
      <c r="C411" s="132" t="s">
        <v>27</v>
      </c>
      <c r="D411" s="31" t="s">
        <v>72</v>
      </c>
      <c r="E411" s="85">
        <v>41205</v>
      </c>
      <c r="F411" s="26">
        <v>1</v>
      </c>
      <c r="G411" s="37">
        <v>9.33</v>
      </c>
      <c r="H411" s="63">
        <v>42.42</v>
      </c>
      <c r="O411" s="65">
        <v>2012</v>
      </c>
    </row>
    <row r="412" spans="1:15" ht="15.75" x14ac:dyDescent="0.25">
      <c r="A412" s="131" t="s">
        <v>114</v>
      </c>
      <c r="B412" s="29" t="s">
        <v>268</v>
      </c>
      <c r="C412" s="132" t="s">
        <v>27</v>
      </c>
      <c r="D412" s="31" t="s">
        <v>72</v>
      </c>
      <c r="E412" s="52">
        <v>41425</v>
      </c>
      <c r="F412" s="26">
        <v>1</v>
      </c>
      <c r="G412" s="37">
        <v>6.8659999999999997</v>
      </c>
      <c r="H412" s="34">
        <v>25.8</v>
      </c>
      <c r="O412" s="212">
        <v>2013</v>
      </c>
    </row>
    <row r="413" spans="1:15" ht="15.75" x14ac:dyDescent="0.25">
      <c r="A413" s="131" t="s">
        <v>114</v>
      </c>
      <c r="B413" s="44" t="s">
        <v>422</v>
      </c>
      <c r="C413" s="132" t="s">
        <v>27</v>
      </c>
      <c r="D413" s="31" t="s">
        <v>69</v>
      </c>
      <c r="E413" s="43">
        <v>40991</v>
      </c>
      <c r="F413" s="26">
        <v>1</v>
      </c>
      <c r="G413" s="95">
        <v>96</v>
      </c>
      <c r="H413" s="47">
        <v>314</v>
      </c>
      <c r="O413" s="201">
        <v>2012</v>
      </c>
    </row>
    <row r="414" spans="1:15" ht="15.75" x14ac:dyDescent="0.25">
      <c r="A414" s="131" t="s">
        <v>114</v>
      </c>
      <c r="B414" s="29" t="s">
        <v>292</v>
      </c>
      <c r="C414" s="132" t="s">
        <v>27</v>
      </c>
      <c r="D414" s="31" t="s">
        <v>72</v>
      </c>
      <c r="E414" s="32">
        <v>2009</v>
      </c>
      <c r="F414" s="26">
        <v>1</v>
      </c>
      <c r="G414" s="37">
        <v>10.8</v>
      </c>
      <c r="H414" s="63">
        <v>38.56</v>
      </c>
      <c r="O414" s="201">
        <v>2009</v>
      </c>
    </row>
    <row r="415" spans="1:15" ht="15.75" x14ac:dyDescent="0.25">
      <c r="A415" s="131" t="s">
        <v>114</v>
      </c>
      <c r="B415" s="140" t="s">
        <v>296</v>
      </c>
      <c r="C415" s="132" t="s">
        <v>27</v>
      </c>
      <c r="D415" s="31" t="s">
        <v>72</v>
      </c>
      <c r="E415" s="85">
        <v>40682</v>
      </c>
      <c r="F415" s="26">
        <v>1</v>
      </c>
      <c r="G415" s="64">
        <v>3.84</v>
      </c>
      <c r="H415" s="46">
        <v>21.56</v>
      </c>
      <c r="O415" s="65">
        <v>2011</v>
      </c>
    </row>
    <row r="416" spans="1:15" ht="15.75" x14ac:dyDescent="0.25">
      <c r="A416" s="131" t="s">
        <v>114</v>
      </c>
      <c r="B416" s="140" t="s">
        <v>511</v>
      </c>
      <c r="C416" s="132" t="s">
        <v>27</v>
      </c>
      <c r="D416" s="31" t="s">
        <v>72</v>
      </c>
      <c r="E416" s="85">
        <v>40697</v>
      </c>
      <c r="F416" s="26">
        <v>1</v>
      </c>
      <c r="G416" s="64">
        <v>3.08</v>
      </c>
      <c r="H416" s="46">
        <v>18.97</v>
      </c>
      <c r="O416" s="65">
        <v>2011</v>
      </c>
    </row>
    <row r="417" spans="1:15" ht="15.75" x14ac:dyDescent="0.25">
      <c r="A417" s="131" t="s">
        <v>114</v>
      </c>
      <c r="B417" s="140" t="s">
        <v>512</v>
      </c>
      <c r="C417" s="132" t="s">
        <v>27</v>
      </c>
      <c r="D417" s="31" t="s">
        <v>72</v>
      </c>
      <c r="E417" s="85">
        <v>40871</v>
      </c>
      <c r="F417" s="26">
        <v>1</v>
      </c>
      <c r="G417" s="64">
        <v>10.35</v>
      </c>
      <c r="H417" s="46">
        <v>57.76</v>
      </c>
      <c r="O417" s="65">
        <v>2011</v>
      </c>
    </row>
    <row r="418" spans="1:15" ht="15.75" x14ac:dyDescent="0.25">
      <c r="A418" s="131" t="s">
        <v>114</v>
      </c>
      <c r="B418" s="44" t="s">
        <v>513</v>
      </c>
      <c r="C418" s="132" t="s">
        <v>27</v>
      </c>
      <c r="D418" s="31" t="s">
        <v>72</v>
      </c>
      <c r="E418" s="85">
        <v>40760</v>
      </c>
      <c r="F418" s="26">
        <v>1</v>
      </c>
      <c r="G418" s="64">
        <v>4.5999999999999996</v>
      </c>
      <c r="H418" s="46">
        <v>21.62</v>
      </c>
      <c r="O418" s="65">
        <v>2011</v>
      </c>
    </row>
    <row r="419" spans="1:15" ht="15.75" x14ac:dyDescent="0.25">
      <c r="A419" s="131" t="s">
        <v>114</v>
      </c>
      <c r="B419" s="29" t="s">
        <v>333</v>
      </c>
      <c r="C419" s="132" t="s">
        <v>27</v>
      </c>
      <c r="D419" s="31" t="s">
        <v>72</v>
      </c>
      <c r="E419" s="185">
        <v>41635</v>
      </c>
      <c r="F419" s="26">
        <v>1</v>
      </c>
      <c r="G419" s="64">
        <v>36.380000000000003</v>
      </c>
      <c r="H419" s="46">
        <v>83.83</v>
      </c>
      <c r="O419" s="211">
        <v>2013</v>
      </c>
    </row>
    <row r="420" spans="1:15" ht="15.75" x14ac:dyDescent="0.25">
      <c r="A420" s="131" t="s">
        <v>114</v>
      </c>
      <c r="B420" s="44" t="s">
        <v>350</v>
      </c>
      <c r="C420" s="132" t="s">
        <v>27</v>
      </c>
      <c r="D420" s="31" t="s">
        <v>72</v>
      </c>
      <c r="E420" s="43">
        <v>41005</v>
      </c>
      <c r="F420" s="26">
        <v>1</v>
      </c>
      <c r="G420" s="95">
        <v>18</v>
      </c>
      <c r="H420" s="61">
        <v>68.930000000000007</v>
      </c>
      <c r="O420" s="201">
        <v>2012</v>
      </c>
    </row>
    <row r="421" spans="1:15" ht="15.75" x14ac:dyDescent="0.25">
      <c r="A421" s="131" t="s">
        <v>114</v>
      </c>
      <c r="B421" s="44" t="s">
        <v>529</v>
      </c>
      <c r="C421" s="132" t="s">
        <v>27</v>
      </c>
      <c r="D421" s="31" t="s">
        <v>72</v>
      </c>
      <c r="E421" s="43">
        <v>40999</v>
      </c>
      <c r="F421" s="26">
        <v>1</v>
      </c>
      <c r="G421" s="64">
        <v>16.66</v>
      </c>
      <c r="H421" s="46">
        <v>49.23</v>
      </c>
      <c r="O421" s="201">
        <v>2012</v>
      </c>
    </row>
    <row r="422" spans="1:15" ht="15.75" x14ac:dyDescent="0.25">
      <c r="A422" s="131" t="s">
        <v>114</v>
      </c>
      <c r="B422" s="29" t="s">
        <v>380</v>
      </c>
      <c r="C422" s="132" t="s">
        <v>27</v>
      </c>
      <c r="D422" s="31" t="s">
        <v>72</v>
      </c>
      <c r="E422" s="85">
        <v>41600</v>
      </c>
      <c r="F422" s="26">
        <v>1</v>
      </c>
      <c r="G422" s="37">
        <v>14.9</v>
      </c>
      <c r="H422" s="63">
        <v>41.33</v>
      </c>
      <c r="O422" s="65">
        <v>2013</v>
      </c>
    </row>
    <row r="423" spans="1:15" ht="15.75" x14ac:dyDescent="0.25">
      <c r="A423" s="131" t="s">
        <v>114</v>
      </c>
      <c r="B423" s="29" t="s">
        <v>455</v>
      </c>
      <c r="C423" s="132" t="s">
        <v>27</v>
      </c>
      <c r="D423" s="31" t="s">
        <v>72</v>
      </c>
      <c r="E423" s="85">
        <v>40829</v>
      </c>
      <c r="F423" s="26">
        <v>1</v>
      </c>
      <c r="G423" s="64">
        <v>21.9</v>
      </c>
      <c r="H423" s="46">
        <v>70</v>
      </c>
      <c r="O423" s="65">
        <v>2011</v>
      </c>
    </row>
    <row r="424" spans="1:15" ht="15.75" x14ac:dyDescent="0.25">
      <c r="A424" s="110" t="s">
        <v>114</v>
      </c>
      <c r="B424" s="29" t="s">
        <v>543</v>
      </c>
      <c r="C424" s="111" t="s">
        <v>27</v>
      </c>
      <c r="D424" s="31" t="s">
        <v>69</v>
      </c>
      <c r="E424" s="43">
        <v>41789</v>
      </c>
      <c r="F424" s="26">
        <v>1</v>
      </c>
      <c r="G424" s="37">
        <v>244.83</v>
      </c>
      <c r="H424" s="34">
        <v>842.1</v>
      </c>
      <c r="O424" s="201">
        <v>2014</v>
      </c>
    </row>
    <row r="425" spans="1:15" ht="15.75" x14ac:dyDescent="0.25">
      <c r="A425" s="110" t="s">
        <v>114</v>
      </c>
      <c r="B425" s="29" t="s">
        <v>556</v>
      </c>
      <c r="C425" s="111" t="s">
        <v>27</v>
      </c>
      <c r="D425" s="31" t="s">
        <v>576</v>
      </c>
      <c r="E425" s="43">
        <v>41751</v>
      </c>
      <c r="F425" s="26">
        <v>1</v>
      </c>
      <c r="G425" s="37">
        <v>7.19</v>
      </c>
      <c r="H425" s="34">
        <v>25.22</v>
      </c>
      <c r="O425" s="201">
        <v>2014</v>
      </c>
    </row>
    <row r="426" spans="1:15" ht="15.75" x14ac:dyDescent="0.25">
      <c r="A426" s="110" t="s">
        <v>114</v>
      </c>
      <c r="B426" s="29" t="s">
        <v>566</v>
      </c>
      <c r="C426" s="111" t="s">
        <v>27</v>
      </c>
      <c r="D426" s="31" t="s">
        <v>576</v>
      </c>
      <c r="E426" s="43">
        <v>41772</v>
      </c>
      <c r="F426" s="26">
        <v>1</v>
      </c>
      <c r="G426" s="37">
        <v>7.39</v>
      </c>
      <c r="H426" s="34">
        <v>14.03</v>
      </c>
      <c r="O426" s="201">
        <v>2014</v>
      </c>
    </row>
    <row r="427" spans="1:15" ht="15.75" x14ac:dyDescent="0.25">
      <c r="A427" s="113" t="s">
        <v>114</v>
      </c>
      <c r="B427" s="56" t="s">
        <v>719</v>
      </c>
      <c r="C427" s="114" t="s">
        <v>27</v>
      </c>
      <c r="D427" s="58" t="s">
        <v>69</v>
      </c>
      <c r="E427" s="85">
        <v>42250</v>
      </c>
      <c r="F427" s="60">
        <v>1</v>
      </c>
      <c r="G427" s="33">
        <v>121.654</v>
      </c>
      <c r="H427" s="63">
        <v>409</v>
      </c>
      <c r="O427" s="65">
        <v>2015</v>
      </c>
    </row>
    <row r="428" spans="1:15" ht="15.75" x14ac:dyDescent="0.25">
      <c r="A428" s="113" t="s">
        <v>114</v>
      </c>
      <c r="B428" s="56" t="s">
        <v>720</v>
      </c>
      <c r="C428" s="114" t="s">
        <v>27</v>
      </c>
      <c r="D428" s="58" t="s">
        <v>72</v>
      </c>
      <c r="E428" s="85">
        <v>42357</v>
      </c>
      <c r="F428" s="60">
        <v>1</v>
      </c>
      <c r="G428" s="33">
        <v>13.6</v>
      </c>
      <c r="H428" s="63">
        <v>37.159999999999997</v>
      </c>
      <c r="O428" s="65">
        <v>2015</v>
      </c>
    </row>
    <row r="429" spans="1:15" ht="15.75" x14ac:dyDescent="0.25">
      <c r="A429" s="113" t="s">
        <v>114</v>
      </c>
      <c r="B429" s="56" t="s">
        <v>721</v>
      </c>
      <c r="C429" s="114" t="s">
        <v>27</v>
      </c>
      <c r="D429" s="58" t="s">
        <v>72</v>
      </c>
      <c r="E429" s="85">
        <v>42069</v>
      </c>
      <c r="F429" s="60">
        <v>1</v>
      </c>
      <c r="G429" s="33">
        <v>11.7</v>
      </c>
      <c r="H429" s="63">
        <v>33.08</v>
      </c>
      <c r="O429" s="65">
        <v>2015</v>
      </c>
    </row>
    <row r="430" spans="1:15" ht="15.75" x14ac:dyDescent="0.25">
      <c r="A430" s="113" t="s">
        <v>114</v>
      </c>
      <c r="B430" s="56" t="s">
        <v>722</v>
      </c>
      <c r="C430" s="114" t="s">
        <v>27</v>
      </c>
      <c r="D430" s="58" t="s">
        <v>72</v>
      </c>
      <c r="E430" s="85">
        <v>42103</v>
      </c>
      <c r="F430" s="60">
        <v>1</v>
      </c>
      <c r="G430" s="33">
        <v>6.93</v>
      </c>
      <c r="H430" s="63">
        <v>19.190000000000001</v>
      </c>
      <c r="O430" s="65">
        <v>2015</v>
      </c>
    </row>
    <row r="431" spans="1:15" ht="15.75" x14ac:dyDescent="0.25">
      <c r="A431" s="113" t="s">
        <v>114</v>
      </c>
      <c r="B431" s="56" t="s">
        <v>723</v>
      </c>
      <c r="C431" s="114" t="s">
        <v>27</v>
      </c>
      <c r="D431" s="58" t="s">
        <v>72</v>
      </c>
      <c r="E431" s="65">
        <v>1960</v>
      </c>
      <c r="F431" s="60">
        <v>1</v>
      </c>
      <c r="G431" s="33">
        <v>26.2</v>
      </c>
      <c r="H431" s="63">
        <v>100</v>
      </c>
      <c r="O431" s="65">
        <v>1960</v>
      </c>
    </row>
    <row r="432" spans="1:15" ht="15.75" x14ac:dyDescent="0.25">
      <c r="A432" s="106" t="s">
        <v>115</v>
      </c>
      <c r="B432" s="39" t="s">
        <v>183</v>
      </c>
      <c r="C432" s="31" t="s">
        <v>26</v>
      </c>
      <c r="D432" s="31" t="s">
        <v>72</v>
      </c>
      <c r="E432" s="40">
        <v>2001</v>
      </c>
      <c r="F432" s="26">
        <v>1</v>
      </c>
      <c r="G432" s="41">
        <v>2.64</v>
      </c>
      <c r="H432" s="142">
        <v>11</v>
      </c>
      <c r="O432" s="204">
        <v>2001</v>
      </c>
    </row>
    <row r="433" spans="1:15" ht="15.75" x14ac:dyDescent="0.25">
      <c r="A433" s="106" t="s">
        <v>115</v>
      </c>
      <c r="B433" s="39" t="s">
        <v>184</v>
      </c>
      <c r="C433" s="31" t="s">
        <v>26</v>
      </c>
      <c r="D433" s="31" t="s">
        <v>72</v>
      </c>
      <c r="E433" s="40">
        <v>2001</v>
      </c>
      <c r="F433" s="26">
        <v>1</v>
      </c>
      <c r="G433" s="41">
        <v>8.94</v>
      </c>
      <c r="H433" s="142">
        <v>32</v>
      </c>
      <c r="O433" s="204">
        <v>2001</v>
      </c>
    </row>
    <row r="434" spans="1:15" ht="15.75" x14ac:dyDescent="0.25">
      <c r="A434" s="106" t="s">
        <v>115</v>
      </c>
      <c r="B434" s="44" t="s">
        <v>491</v>
      </c>
      <c r="C434" s="31" t="s">
        <v>26</v>
      </c>
      <c r="D434" s="58" t="s">
        <v>69</v>
      </c>
      <c r="E434" s="85">
        <v>41266</v>
      </c>
      <c r="F434" s="26">
        <v>1</v>
      </c>
      <c r="G434" s="64">
        <v>48.6</v>
      </c>
      <c r="H434" s="46">
        <v>181.25</v>
      </c>
      <c r="O434" s="65">
        <v>2012</v>
      </c>
    </row>
    <row r="435" spans="1:15" ht="15.75" x14ac:dyDescent="0.25">
      <c r="A435" s="106" t="s">
        <v>115</v>
      </c>
      <c r="B435" s="29" t="s">
        <v>407</v>
      </c>
      <c r="C435" s="31" t="s">
        <v>26</v>
      </c>
      <c r="D435" s="31" t="s">
        <v>72</v>
      </c>
      <c r="E435" s="43">
        <v>40593</v>
      </c>
      <c r="F435" s="26">
        <v>1</v>
      </c>
      <c r="G435" s="37">
        <v>6.98</v>
      </c>
      <c r="H435" s="61">
        <v>24.51</v>
      </c>
      <c r="O435" s="201">
        <v>2011</v>
      </c>
    </row>
    <row r="436" spans="1:15" ht="15.75" x14ac:dyDescent="0.25">
      <c r="A436" s="106" t="s">
        <v>115</v>
      </c>
      <c r="B436" s="29" t="s">
        <v>408</v>
      </c>
      <c r="C436" s="31" t="s">
        <v>26</v>
      </c>
      <c r="D436" s="31" t="s">
        <v>72</v>
      </c>
      <c r="E436" s="32">
        <v>2008</v>
      </c>
      <c r="F436" s="26">
        <v>1</v>
      </c>
      <c r="G436" s="37">
        <v>12.63</v>
      </c>
      <c r="H436" s="63">
        <v>37.26</v>
      </c>
      <c r="O436" s="201">
        <v>2008</v>
      </c>
    </row>
    <row r="437" spans="1:15" ht="15.75" x14ac:dyDescent="0.25">
      <c r="A437" s="106" t="s">
        <v>115</v>
      </c>
      <c r="B437" s="44" t="s">
        <v>297</v>
      </c>
      <c r="C437" s="31" t="s">
        <v>26</v>
      </c>
      <c r="D437" s="31" t="s">
        <v>72</v>
      </c>
      <c r="E437" s="85">
        <v>40697</v>
      </c>
      <c r="F437" s="26">
        <v>1</v>
      </c>
      <c r="G437" s="64">
        <v>4.0999999999999996</v>
      </c>
      <c r="H437" s="46">
        <v>24.27</v>
      </c>
      <c r="O437" s="65">
        <v>2011</v>
      </c>
    </row>
    <row r="438" spans="1:15" ht="15.75" x14ac:dyDescent="0.25">
      <c r="A438" s="106" t="s">
        <v>115</v>
      </c>
      <c r="B438" s="29" t="s">
        <v>428</v>
      </c>
      <c r="C438" s="31" t="s">
        <v>26</v>
      </c>
      <c r="D438" s="31" t="s">
        <v>72</v>
      </c>
      <c r="E438" s="32">
        <v>2009</v>
      </c>
      <c r="F438" s="26">
        <v>1</v>
      </c>
      <c r="G438" s="37">
        <v>5.76</v>
      </c>
      <c r="H438" s="63">
        <v>41.96</v>
      </c>
      <c r="O438" s="201">
        <v>2009</v>
      </c>
    </row>
    <row r="439" spans="1:15" ht="15.75" x14ac:dyDescent="0.25">
      <c r="A439" s="106" t="s">
        <v>115</v>
      </c>
      <c r="B439" s="29" t="s">
        <v>369</v>
      </c>
      <c r="C439" s="31" t="s">
        <v>26</v>
      </c>
      <c r="D439" s="31" t="s">
        <v>72</v>
      </c>
      <c r="E439" s="85">
        <v>40717</v>
      </c>
      <c r="F439" s="26">
        <v>1</v>
      </c>
      <c r="G439" s="64">
        <v>12.416</v>
      </c>
      <c r="H439" s="69">
        <v>44.52</v>
      </c>
      <c r="O439" s="65">
        <v>2011</v>
      </c>
    </row>
    <row r="440" spans="1:15" ht="15.75" x14ac:dyDescent="0.25">
      <c r="A440" s="106" t="s">
        <v>115</v>
      </c>
      <c r="B440" s="29" t="s">
        <v>384</v>
      </c>
      <c r="C440" s="31" t="s">
        <v>26</v>
      </c>
      <c r="D440" s="31" t="s">
        <v>72</v>
      </c>
      <c r="E440" s="32">
        <v>2005</v>
      </c>
      <c r="F440" s="26">
        <v>1</v>
      </c>
      <c r="G440" s="33">
        <v>14.02</v>
      </c>
      <c r="H440" s="34">
        <v>44.18</v>
      </c>
      <c r="O440" s="201">
        <v>2005</v>
      </c>
    </row>
    <row r="441" spans="1:15" ht="15.75" x14ac:dyDescent="0.25">
      <c r="A441" s="110" t="s">
        <v>115</v>
      </c>
      <c r="B441" s="29" t="s">
        <v>564</v>
      </c>
      <c r="C441" s="111" t="s">
        <v>26</v>
      </c>
      <c r="D441" s="31" t="s">
        <v>576</v>
      </c>
      <c r="E441" s="43">
        <v>41754</v>
      </c>
      <c r="F441" s="26">
        <v>1</v>
      </c>
      <c r="G441" s="37">
        <v>9.7620000000000005</v>
      </c>
      <c r="H441" s="34">
        <v>23.28</v>
      </c>
      <c r="O441" s="201">
        <v>2014</v>
      </c>
    </row>
    <row r="442" spans="1:15" ht="15.75" x14ac:dyDescent="0.25">
      <c r="A442" s="113" t="s">
        <v>115</v>
      </c>
      <c r="B442" s="56" t="s">
        <v>724</v>
      </c>
      <c r="C442" s="114" t="s">
        <v>26</v>
      </c>
      <c r="D442" s="58" t="s">
        <v>69</v>
      </c>
      <c r="E442" s="85">
        <v>41266</v>
      </c>
      <c r="F442" s="60">
        <v>1</v>
      </c>
      <c r="G442" s="33">
        <v>140.62</v>
      </c>
      <c r="H442" s="63">
        <v>502.72</v>
      </c>
      <c r="O442" s="65">
        <v>2012</v>
      </c>
    </row>
    <row r="443" spans="1:15" ht="15.75" x14ac:dyDescent="0.25">
      <c r="A443" s="106" t="s">
        <v>116</v>
      </c>
      <c r="B443" s="39" t="s">
        <v>174</v>
      </c>
      <c r="C443" s="31" t="s">
        <v>14</v>
      </c>
      <c r="D443" s="31" t="s">
        <v>72</v>
      </c>
      <c r="E443" s="72">
        <v>1950</v>
      </c>
      <c r="F443" s="26">
        <v>1</v>
      </c>
      <c r="G443" s="50">
        <v>0.39600000000000002</v>
      </c>
      <c r="H443" s="51">
        <v>1.25</v>
      </c>
      <c r="O443" s="207">
        <v>1950</v>
      </c>
    </row>
    <row r="444" spans="1:15" ht="15.75" x14ac:dyDescent="0.25">
      <c r="A444" s="106" t="s">
        <v>116</v>
      </c>
      <c r="B444" s="29" t="s">
        <v>216</v>
      </c>
      <c r="C444" s="31" t="s">
        <v>14</v>
      </c>
      <c r="D444" s="31" t="s">
        <v>72</v>
      </c>
      <c r="E444" s="32">
        <v>2010</v>
      </c>
      <c r="F444" s="26">
        <v>1</v>
      </c>
      <c r="G444" s="37">
        <v>14.63</v>
      </c>
      <c r="H444" s="34">
        <v>60</v>
      </c>
      <c r="O444" s="201">
        <v>2010</v>
      </c>
    </row>
    <row r="445" spans="1:15" ht="15.75" x14ac:dyDescent="0.25">
      <c r="A445" s="106" t="s">
        <v>116</v>
      </c>
      <c r="B445" s="29" t="s">
        <v>459</v>
      </c>
      <c r="C445" s="31" t="s">
        <v>14</v>
      </c>
      <c r="D445" s="31" t="s">
        <v>72</v>
      </c>
      <c r="E445" s="129">
        <v>41180</v>
      </c>
      <c r="F445" s="26">
        <v>1</v>
      </c>
      <c r="G445" s="95">
        <v>10.677</v>
      </c>
      <c r="H445" s="47">
        <v>33.299999999999997</v>
      </c>
      <c r="O445" s="210">
        <v>2012</v>
      </c>
    </row>
    <row r="446" spans="1:15" ht="15.75" x14ac:dyDescent="0.25">
      <c r="A446" s="106" t="s">
        <v>117</v>
      </c>
      <c r="B446" s="39" t="s">
        <v>152</v>
      </c>
      <c r="C446" s="31" t="s">
        <v>39</v>
      </c>
      <c r="D446" s="31" t="s">
        <v>72</v>
      </c>
      <c r="E446" s="72">
        <v>1966</v>
      </c>
      <c r="F446" s="26">
        <v>1</v>
      </c>
      <c r="G446" s="50">
        <v>6.2399999999999997E-2</v>
      </c>
      <c r="H446" s="51">
        <v>0.3</v>
      </c>
      <c r="O446" s="207">
        <v>1966</v>
      </c>
    </row>
    <row r="447" spans="1:15" ht="15.75" x14ac:dyDescent="0.25">
      <c r="A447" s="106" t="s">
        <v>117</v>
      </c>
      <c r="B447" s="44" t="s">
        <v>225</v>
      </c>
      <c r="C447" s="31" t="s">
        <v>39</v>
      </c>
      <c r="D447" s="31" t="s">
        <v>72</v>
      </c>
      <c r="E447" s="43">
        <v>41110</v>
      </c>
      <c r="F447" s="26">
        <v>1</v>
      </c>
      <c r="G447" s="143">
        <v>1.843</v>
      </c>
      <c r="H447" s="143">
        <v>11.25</v>
      </c>
      <c r="O447" s="201">
        <v>2012</v>
      </c>
    </row>
    <row r="448" spans="1:15" ht="15.75" x14ac:dyDescent="0.25">
      <c r="A448" s="106" t="s">
        <v>117</v>
      </c>
      <c r="B448" s="29" t="s">
        <v>325</v>
      </c>
      <c r="C448" s="31" t="s">
        <v>39</v>
      </c>
      <c r="D448" s="31" t="s">
        <v>72</v>
      </c>
      <c r="E448" s="85">
        <f>E447</f>
        <v>41110</v>
      </c>
      <c r="F448" s="26">
        <v>1</v>
      </c>
      <c r="G448" s="37">
        <v>30.6</v>
      </c>
      <c r="H448" s="143">
        <v>107.8</v>
      </c>
      <c r="O448" s="65">
        <v>2012</v>
      </c>
    </row>
    <row r="449" spans="1:15" ht="15.75" x14ac:dyDescent="0.25">
      <c r="A449" s="106" t="s">
        <v>117</v>
      </c>
      <c r="B449" s="29" t="s">
        <v>443</v>
      </c>
      <c r="C449" s="31" t="s">
        <v>39</v>
      </c>
      <c r="D449" s="31" t="s">
        <v>69</v>
      </c>
      <c r="E449" s="85">
        <v>40828</v>
      </c>
      <c r="F449" s="26">
        <v>1</v>
      </c>
      <c r="G449" s="37">
        <v>33.11</v>
      </c>
      <c r="H449" s="143">
        <v>141.35</v>
      </c>
      <c r="O449" s="65">
        <v>2011</v>
      </c>
    </row>
    <row r="450" spans="1:15" ht="15.75" x14ac:dyDescent="0.25">
      <c r="A450" s="106" t="s">
        <v>117</v>
      </c>
      <c r="B450" s="29" t="s">
        <v>349</v>
      </c>
      <c r="C450" s="31" t="s">
        <v>39</v>
      </c>
      <c r="D450" s="31" t="s">
        <v>72</v>
      </c>
      <c r="E450" s="43">
        <v>41481</v>
      </c>
      <c r="F450" s="26">
        <v>1</v>
      </c>
      <c r="G450" s="37">
        <v>21.436</v>
      </c>
      <c r="H450" s="143">
        <v>79.760000000000005</v>
      </c>
      <c r="O450" s="201">
        <v>2013</v>
      </c>
    </row>
    <row r="451" spans="1:15" ht="15.75" x14ac:dyDescent="0.25">
      <c r="A451" s="110" t="s">
        <v>117</v>
      </c>
      <c r="B451" s="29" t="s">
        <v>288</v>
      </c>
      <c r="C451" s="111" t="s">
        <v>39</v>
      </c>
      <c r="D451" s="31" t="s">
        <v>576</v>
      </c>
      <c r="E451" s="43">
        <v>41726</v>
      </c>
      <c r="F451" s="26">
        <v>1</v>
      </c>
      <c r="G451" s="37">
        <v>17.100000000000001</v>
      </c>
      <c r="H451" s="34">
        <v>50.78</v>
      </c>
      <c r="O451" s="201">
        <v>2014</v>
      </c>
    </row>
    <row r="452" spans="1:15" ht="15.75" x14ac:dyDescent="0.25">
      <c r="A452" s="110" t="s">
        <v>117</v>
      </c>
      <c r="B452" s="29" t="s">
        <v>563</v>
      </c>
      <c r="C452" s="111" t="s">
        <v>39</v>
      </c>
      <c r="D452" s="31" t="s">
        <v>576</v>
      </c>
      <c r="E452" s="43">
        <v>41901</v>
      </c>
      <c r="F452" s="26">
        <v>1</v>
      </c>
      <c r="G452" s="37">
        <v>28.96</v>
      </c>
      <c r="H452" s="34">
        <v>82.180999999999997</v>
      </c>
      <c r="O452" s="201">
        <v>2014</v>
      </c>
    </row>
    <row r="453" spans="1:15" ht="15.75" x14ac:dyDescent="0.25">
      <c r="A453" s="113" t="s">
        <v>117</v>
      </c>
      <c r="B453" s="56" t="s">
        <v>733</v>
      </c>
      <c r="C453" s="114" t="s">
        <v>39</v>
      </c>
      <c r="D453" s="58" t="s">
        <v>72</v>
      </c>
      <c r="E453" s="65">
        <v>1948</v>
      </c>
      <c r="F453" s="60">
        <v>1</v>
      </c>
      <c r="G453" s="33">
        <v>0.4</v>
      </c>
      <c r="H453" s="63">
        <v>0.8</v>
      </c>
      <c r="O453" s="65">
        <v>1948</v>
      </c>
    </row>
    <row r="454" spans="1:15" ht="15.75" x14ac:dyDescent="0.25">
      <c r="A454" s="144" t="s">
        <v>136</v>
      </c>
      <c r="B454" s="39" t="s">
        <v>196</v>
      </c>
      <c r="C454" s="58" t="s">
        <v>34</v>
      </c>
      <c r="D454" s="58" t="s">
        <v>75</v>
      </c>
      <c r="E454" s="40">
        <v>2002</v>
      </c>
      <c r="F454" s="26">
        <v>1</v>
      </c>
      <c r="G454" s="145">
        <v>11.1</v>
      </c>
      <c r="H454" s="146">
        <v>50</v>
      </c>
      <c r="O454" s="204">
        <v>2002</v>
      </c>
    </row>
    <row r="455" spans="1:15" ht="15.75" x14ac:dyDescent="0.25">
      <c r="A455" s="103" t="s">
        <v>137</v>
      </c>
      <c r="B455" s="29" t="s">
        <v>436</v>
      </c>
      <c r="C455" s="29" t="s">
        <v>8</v>
      </c>
      <c r="D455" s="31" t="s">
        <v>72</v>
      </c>
      <c r="E455" s="85">
        <v>41473</v>
      </c>
      <c r="F455" s="26">
        <v>1</v>
      </c>
      <c r="G455" s="37">
        <v>11.157</v>
      </c>
      <c r="H455" s="34">
        <v>40</v>
      </c>
      <c r="O455" s="65">
        <v>2013</v>
      </c>
    </row>
    <row r="456" spans="1:15" ht="15.75" x14ac:dyDescent="0.25">
      <c r="A456" s="103" t="s">
        <v>137</v>
      </c>
      <c r="B456" s="29" t="s">
        <v>526</v>
      </c>
      <c r="C456" s="29" t="s">
        <v>8</v>
      </c>
      <c r="D456" s="31" t="s">
        <v>72</v>
      </c>
      <c r="E456" s="85">
        <v>40563</v>
      </c>
      <c r="F456" s="26">
        <v>1</v>
      </c>
      <c r="G456" s="37">
        <v>6.13</v>
      </c>
      <c r="H456" s="47">
        <v>22.32</v>
      </c>
      <c r="O456" s="65">
        <v>2011</v>
      </c>
    </row>
    <row r="457" spans="1:15" ht="15.75" x14ac:dyDescent="0.25">
      <c r="A457" s="105" t="s">
        <v>137</v>
      </c>
      <c r="B457" s="56" t="s">
        <v>725</v>
      </c>
      <c r="C457" s="56" t="s">
        <v>8</v>
      </c>
      <c r="D457" s="58" t="s">
        <v>72</v>
      </c>
      <c r="E457" s="85">
        <v>42264</v>
      </c>
      <c r="F457" s="60">
        <v>1</v>
      </c>
      <c r="G457" s="33">
        <v>8.7799999999999994</v>
      </c>
      <c r="H457" s="61">
        <v>21.26</v>
      </c>
      <c r="O457" s="65">
        <v>2015</v>
      </c>
    </row>
    <row r="458" spans="1:15" ht="15.75" x14ac:dyDescent="0.25">
      <c r="A458" s="105" t="s">
        <v>137</v>
      </c>
      <c r="B458" s="56" t="s">
        <v>726</v>
      </c>
      <c r="C458" s="56" t="s">
        <v>8</v>
      </c>
      <c r="D458" s="58" t="s">
        <v>69</v>
      </c>
      <c r="E458" s="85">
        <v>42127</v>
      </c>
      <c r="F458" s="60">
        <v>1</v>
      </c>
      <c r="G458" s="33">
        <v>84.680999999999997</v>
      </c>
      <c r="H458" s="61">
        <v>304.48</v>
      </c>
      <c r="O458" s="65">
        <v>2015</v>
      </c>
    </row>
    <row r="459" spans="1:15" ht="15.75" x14ac:dyDescent="0.25">
      <c r="A459" s="106" t="s">
        <v>118</v>
      </c>
      <c r="B459" s="39" t="s">
        <v>160</v>
      </c>
      <c r="C459" s="31" t="s">
        <v>46</v>
      </c>
      <c r="D459" s="31" t="s">
        <v>72</v>
      </c>
      <c r="E459" s="72">
        <v>1972</v>
      </c>
      <c r="F459" s="26">
        <v>1</v>
      </c>
      <c r="G459" s="50">
        <v>0.32</v>
      </c>
      <c r="H459" s="51">
        <v>1.6</v>
      </c>
      <c r="O459" s="207">
        <v>1972</v>
      </c>
    </row>
    <row r="460" spans="1:15" ht="15.75" x14ac:dyDescent="0.25">
      <c r="A460" s="106" t="s">
        <v>118</v>
      </c>
      <c r="B460" s="39" t="s">
        <v>161</v>
      </c>
      <c r="C460" s="31" t="s">
        <v>46</v>
      </c>
      <c r="D460" s="31" t="s">
        <v>72</v>
      </c>
      <c r="E460" s="72">
        <v>1961</v>
      </c>
      <c r="F460" s="26">
        <v>1</v>
      </c>
      <c r="G460" s="147">
        <v>4.5</v>
      </c>
      <c r="H460" s="148">
        <v>2</v>
      </c>
      <c r="O460" s="207">
        <v>1961</v>
      </c>
    </row>
    <row r="461" spans="1:15" ht="15.75" x14ac:dyDescent="0.25">
      <c r="A461" s="106" t="s">
        <v>118</v>
      </c>
      <c r="B461" s="39" t="s">
        <v>185</v>
      </c>
      <c r="C461" s="31" t="s">
        <v>46</v>
      </c>
      <c r="D461" s="31" t="s">
        <v>72</v>
      </c>
      <c r="E461" s="40">
        <v>1998</v>
      </c>
      <c r="F461" s="26">
        <v>1</v>
      </c>
      <c r="G461" s="41">
        <v>12.5</v>
      </c>
      <c r="H461" s="42">
        <v>59</v>
      </c>
      <c r="O461" s="204">
        <v>1998</v>
      </c>
    </row>
    <row r="462" spans="1:15" ht="15.75" x14ac:dyDescent="0.25">
      <c r="A462" s="106" t="s">
        <v>118</v>
      </c>
      <c r="B462" s="29" t="s">
        <v>506</v>
      </c>
      <c r="C462" s="31" t="s">
        <v>46</v>
      </c>
      <c r="D462" s="31" t="s">
        <v>72</v>
      </c>
      <c r="E462" s="59">
        <f>E460</f>
        <v>1961</v>
      </c>
      <c r="F462" s="26">
        <v>1</v>
      </c>
      <c r="G462" s="37">
        <v>7.24</v>
      </c>
      <c r="H462" s="47">
        <v>44</v>
      </c>
      <c r="O462" s="65">
        <f>O460</f>
        <v>1961</v>
      </c>
    </row>
    <row r="463" spans="1:15" ht="15.75" x14ac:dyDescent="0.25">
      <c r="A463" s="106" t="s">
        <v>118</v>
      </c>
      <c r="B463" s="29" t="s">
        <v>489</v>
      </c>
      <c r="C463" s="31" t="s">
        <v>46</v>
      </c>
      <c r="D463" s="31" t="s">
        <v>72</v>
      </c>
      <c r="E463" s="32">
        <v>2004</v>
      </c>
      <c r="F463" s="26">
        <v>1</v>
      </c>
      <c r="G463" s="33">
        <v>13.34</v>
      </c>
      <c r="H463" s="34">
        <v>88</v>
      </c>
      <c r="O463" s="201">
        <v>2004</v>
      </c>
    </row>
    <row r="464" spans="1:15" ht="15.75" x14ac:dyDescent="0.25">
      <c r="A464" s="106" t="s">
        <v>118</v>
      </c>
      <c r="B464" s="29" t="s">
        <v>305</v>
      </c>
      <c r="C464" s="31" t="s">
        <v>46</v>
      </c>
      <c r="D464" s="31" t="s">
        <v>72</v>
      </c>
      <c r="E464" s="32">
        <v>2008</v>
      </c>
      <c r="F464" s="26">
        <v>1</v>
      </c>
      <c r="G464" s="37">
        <v>8.6739999999999995</v>
      </c>
      <c r="H464" s="47">
        <v>25.015000000000001</v>
      </c>
      <c r="O464" s="201">
        <v>2008</v>
      </c>
    </row>
    <row r="465" spans="1:15" ht="15.75" x14ac:dyDescent="0.25">
      <c r="A465" s="106" t="s">
        <v>118</v>
      </c>
      <c r="B465" s="29" t="s">
        <v>341</v>
      </c>
      <c r="C465" s="31" t="s">
        <v>46</v>
      </c>
      <c r="D465" s="31" t="s">
        <v>72</v>
      </c>
      <c r="E465" s="43">
        <v>40963</v>
      </c>
      <c r="F465" s="26">
        <v>1</v>
      </c>
      <c r="G465" s="64">
        <v>0.74</v>
      </c>
      <c r="H465" s="46">
        <v>4</v>
      </c>
      <c r="O465" s="201">
        <v>2012</v>
      </c>
    </row>
    <row r="466" spans="1:15" ht="15.75" x14ac:dyDescent="0.25">
      <c r="A466" s="110" t="s">
        <v>118</v>
      </c>
      <c r="B466" s="29" t="s">
        <v>541</v>
      </c>
      <c r="C466" s="111" t="s">
        <v>46</v>
      </c>
      <c r="D466" s="31" t="s">
        <v>576</v>
      </c>
      <c r="E466" s="43">
        <v>41719</v>
      </c>
      <c r="F466" s="26">
        <v>1</v>
      </c>
      <c r="G466" s="33">
        <v>3.5</v>
      </c>
      <c r="H466" s="63">
        <v>12.92</v>
      </c>
      <c r="O466" s="201">
        <v>2014</v>
      </c>
    </row>
    <row r="467" spans="1:15" ht="15.75" x14ac:dyDescent="0.25">
      <c r="A467" s="144" t="s">
        <v>118</v>
      </c>
      <c r="B467" s="29" t="s">
        <v>419</v>
      </c>
      <c r="C467" s="58" t="s">
        <v>46</v>
      </c>
      <c r="D467" s="31" t="s">
        <v>72</v>
      </c>
      <c r="E467" s="32">
        <v>2009</v>
      </c>
      <c r="F467" s="26">
        <v>1</v>
      </c>
      <c r="G467" s="37">
        <v>13.03</v>
      </c>
      <c r="H467" s="34">
        <v>52</v>
      </c>
      <c r="O467" s="201">
        <v>2009</v>
      </c>
    </row>
    <row r="468" spans="1:15" ht="15.75" x14ac:dyDescent="0.25">
      <c r="A468" s="150" t="s">
        <v>119</v>
      </c>
      <c r="B468" s="151" t="s">
        <v>467</v>
      </c>
      <c r="C468" s="48" t="s">
        <v>25</v>
      </c>
      <c r="D468" s="31" t="s">
        <v>72</v>
      </c>
      <c r="E468" s="40">
        <v>1957</v>
      </c>
      <c r="F468" s="26">
        <v>1</v>
      </c>
      <c r="G468" s="50">
        <v>20.12</v>
      </c>
      <c r="H468" s="149">
        <v>40</v>
      </c>
      <c r="O468" s="204">
        <v>1957</v>
      </c>
    </row>
    <row r="469" spans="1:15" ht="15.75" x14ac:dyDescent="0.25">
      <c r="A469" s="150" t="s">
        <v>119</v>
      </c>
      <c r="B469" s="151" t="s">
        <v>472</v>
      </c>
      <c r="C469" s="48" t="s">
        <v>25</v>
      </c>
      <c r="D469" s="31" t="s">
        <v>72</v>
      </c>
      <c r="E469" s="40">
        <v>1967</v>
      </c>
      <c r="F469" s="26">
        <v>1</v>
      </c>
      <c r="G469" s="50">
        <v>10</v>
      </c>
      <c r="H469" s="149">
        <v>20</v>
      </c>
      <c r="O469" s="204">
        <v>1967</v>
      </c>
    </row>
    <row r="470" spans="1:15" ht="15.75" x14ac:dyDescent="0.25">
      <c r="A470" s="150" t="s">
        <v>119</v>
      </c>
      <c r="B470" s="29" t="s">
        <v>304</v>
      </c>
      <c r="C470" s="48" t="s">
        <v>25</v>
      </c>
      <c r="D470" s="31" t="s">
        <v>72</v>
      </c>
      <c r="E470" s="32">
        <v>2007</v>
      </c>
      <c r="F470" s="26">
        <v>1</v>
      </c>
      <c r="G470" s="37">
        <v>5.375</v>
      </c>
      <c r="H470" s="47">
        <v>31.68</v>
      </c>
      <c r="O470" s="201">
        <v>2007</v>
      </c>
    </row>
    <row r="471" spans="1:15" ht="15.75" x14ac:dyDescent="0.25">
      <c r="A471" s="150" t="s">
        <v>119</v>
      </c>
      <c r="B471" s="29" t="s">
        <v>525</v>
      </c>
      <c r="C471" s="48" t="s">
        <v>25</v>
      </c>
      <c r="D471" s="31" t="s">
        <v>69</v>
      </c>
      <c r="E471" s="32">
        <v>2008</v>
      </c>
      <c r="F471" s="26">
        <v>1</v>
      </c>
      <c r="G471" s="37">
        <v>56.84</v>
      </c>
      <c r="H471" s="34">
        <v>161</v>
      </c>
      <c r="O471" s="201">
        <v>2008</v>
      </c>
    </row>
    <row r="472" spans="1:15" ht="15.75" x14ac:dyDescent="0.25">
      <c r="A472" s="152" t="s">
        <v>119</v>
      </c>
      <c r="B472" s="56" t="s">
        <v>727</v>
      </c>
      <c r="C472" s="153" t="s">
        <v>25</v>
      </c>
      <c r="D472" s="58" t="s">
        <v>69</v>
      </c>
      <c r="E472" s="85">
        <v>42111</v>
      </c>
      <c r="F472" s="60">
        <v>1</v>
      </c>
      <c r="G472" s="33">
        <v>582.1</v>
      </c>
      <c r="H472" s="63">
        <v>1294.3499999999999</v>
      </c>
      <c r="O472" s="65">
        <v>2015</v>
      </c>
    </row>
    <row r="473" spans="1:15" ht="15.75" x14ac:dyDescent="0.25">
      <c r="A473" s="152" t="s">
        <v>119</v>
      </c>
      <c r="B473" s="56" t="s">
        <v>728</v>
      </c>
      <c r="C473" s="153" t="s">
        <v>25</v>
      </c>
      <c r="D473" s="58" t="s">
        <v>69</v>
      </c>
      <c r="E473" s="59">
        <v>2008</v>
      </c>
      <c r="F473" s="60">
        <v>1</v>
      </c>
      <c r="G473" s="33">
        <v>127.34</v>
      </c>
      <c r="H473" s="63">
        <v>404.99</v>
      </c>
      <c r="O473" s="65">
        <v>2008</v>
      </c>
    </row>
    <row r="474" spans="1:15" ht="15.75" x14ac:dyDescent="0.25">
      <c r="A474" s="144" t="s">
        <v>119</v>
      </c>
      <c r="B474" s="48" t="s">
        <v>448</v>
      </c>
      <c r="C474" s="58" t="s">
        <v>25</v>
      </c>
      <c r="D474" s="31" t="s">
        <v>69</v>
      </c>
      <c r="E474" s="181">
        <v>41621</v>
      </c>
      <c r="F474" s="26">
        <v>1</v>
      </c>
      <c r="G474" s="50">
        <v>128.22</v>
      </c>
      <c r="H474" s="51">
        <v>364.25200000000001</v>
      </c>
      <c r="O474" s="214">
        <v>2013</v>
      </c>
    </row>
    <row r="475" spans="1:15" ht="15.75" x14ac:dyDescent="0.25">
      <c r="A475" s="103" t="s">
        <v>120</v>
      </c>
      <c r="B475" s="29" t="s">
        <v>340</v>
      </c>
      <c r="C475" s="29" t="s">
        <v>16</v>
      </c>
      <c r="D475" s="31" t="s">
        <v>72</v>
      </c>
      <c r="E475" s="43">
        <v>41472</v>
      </c>
      <c r="F475" s="26">
        <v>1</v>
      </c>
      <c r="G475" s="37">
        <v>18.725000000000001</v>
      </c>
      <c r="H475" s="47">
        <v>55</v>
      </c>
      <c r="O475" s="201">
        <v>2013</v>
      </c>
    </row>
    <row r="476" spans="1:15" ht="15.75" x14ac:dyDescent="0.25">
      <c r="A476" s="103" t="s">
        <v>120</v>
      </c>
      <c r="B476" s="29" t="s">
        <v>457</v>
      </c>
      <c r="C476" s="29" t="s">
        <v>16</v>
      </c>
      <c r="D476" s="31" t="s">
        <v>69</v>
      </c>
      <c r="E476" s="43">
        <v>41061</v>
      </c>
      <c r="F476" s="26">
        <v>1</v>
      </c>
      <c r="G476" s="64">
        <v>22.71</v>
      </c>
      <c r="H476" s="46">
        <v>72</v>
      </c>
      <c r="O476" s="201">
        <v>2012</v>
      </c>
    </row>
    <row r="477" spans="1:15" ht="15.75" x14ac:dyDescent="0.25">
      <c r="A477" s="105" t="s">
        <v>120</v>
      </c>
      <c r="B477" s="56" t="s">
        <v>729</v>
      </c>
      <c r="C477" s="56" t="s">
        <v>16</v>
      </c>
      <c r="D477" s="58" t="s">
        <v>72</v>
      </c>
      <c r="E477" s="85">
        <v>42193</v>
      </c>
      <c r="F477" s="60">
        <v>1</v>
      </c>
      <c r="G477" s="45">
        <v>10.000999999999999</v>
      </c>
      <c r="H477" s="69">
        <v>23.98</v>
      </c>
      <c r="O477" s="65">
        <v>2015</v>
      </c>
    </row>
    <row r="478" spans="1:15" ht="15.75" x14ac:dyDescent="0.25">
      <c r="A478" s="106" t="s">
        <v>121</v>
      </c>
      <c r="B478" s="39" t="s">
        <v>162</v>
      </c>
      <c r="C478" s="31" t="s">
        <v>62</v>
      </c>
      <c r="D478" s="31" t="s">
        <v>72</v>
      </c>
      <c r="E478" s="72">
        <v>1961</v>
      </c>
      <c r="F478" s="26">
        <v>1</v>
      </c>
      <c r="G478" s="50">
        <v>0.12</v>
      </c>
      <c r="H478" s="51">
        <v>0.75</v>
      </c>
      <c r="O478" s="207">
        <v>1961</v>
      </c>
    </row>
    <row r="479" spans="1:15" ht="15.75" x14ac:dyDescent="0.25">
      <c r="A479" s="106" t="s">
        <v>121</v>
      </c>
      <c r="B479" s="29" t="s">
        <v>497</v>
      </c>
      <c r="C479" s="31" t="s">
        <v>62</v>
      </c>
      <c r="D479" s="31" t="s">
        <v>72</v>
      </c>
      <c r="E479" s="59">
        <v>2003</v>
      </c>
      <c r="F479" s="26">
        <v>1</v>
      </c>
      <c r="G479" s="37">
        <v>4.4400000000000004</v>
      </c>
      <c r="H479" s="47">
        <v>16</v>
      </c>
      <c r="O479" s="65">
        <v>2003</v>
      </c>
    </row>
    <row r="480" spans="1:15" ht="15.75" x14ac:dyDescent="0.25">
      <c r="A480" s="106" t="s">
        <v>121</v>
      </c>
      <c r="B480" s="29" t="s">
        <v>453</v>
      </c>
      <c r="C480" s="31" t="s">
        <v>62</v>
      </c>
      <c r="D480" s="31" t="s">
        <v>69</v>
      </c>
      <c r="E480" s="32">
        <v>2009</v>
      </c>
      <c r="F480" s="26">
        <v>1</v>
      </c>
      <c r="G480" s="37">
        <v>82</v>
      </c>
      <c r="H480" s="34">
        <v>322</v>
      </c>
      <c r="O480" s="201">
        <v>2009</v>
      </c>
    </row>
    <row r="481" spans="1:15" ht="31.5" x14ac:dyDescent="0.25">
      <c r="A481" s="106" t="s">
        <v>122</v>
      </c>
      <c r="B481" s="44" t="s">
        <v>519</v>
      </c>
      <c r="C481" s="31" t="s">
        <v>63</v>
      </c>
      <c r="D481" s="31" t="s">
        <v>72</v>
      </c>
      <c r="E481" s="185">
        <v>40780</v>
      </c>
      <c r="F481" s="26">
        <v>1</v>
      </c>
      <c r="G481" s="64">
        <v>41.454000000000001</v>
      </c>
      <c r="H481" s="46">
        <v>170</v>
      </c>
      <c r="O481" s="211">
        <v>2011</v>
      </c>
    </row>
    <row r="482" spans="1:15" ht="15.75" x14ac:dyDescent="0.25">
      <c r="A482" s="106" t="s">
        <v>122</v>
      </c>
      <c r="B482" s="29" t="s">
        <v>345</v>
      </c>
      <c r="C482" s="31" t="s">
        <v>63</v>
      </c>
      <c r="D482" s="31" t="s">
        <v>72</v>
      </c>
      <c r="E482" s="59">
        <v>2010</v>
      </c>
      <c r="F482" s="26">
        <v>1</v>
      </c>
      <c r="G482" s="37">
        <v>3.31</v>
      </c>
      <c r="H482" s="47">
        <v>10.199999999999999</v>
      </c>
      <c r="O482" s="65">
        <v>2010</v>
      </c>
    </row>
    <row r="483" spans="1:15" ht="15.75" x14ac:dyDescent="0.25">
      <c r="A483" s="106" t="s">
        <v>123</v>
      </c>
      <c r="B483" s="39" t="s">
        <v>169</v>
      </c>
      <c r="C483" s="31" t="s">
        <v>49</v>
      </c>
      <c r="D483" s="31" t="s">
        <v>72</v>
      </c>
      <c r="E483" s="72">
        <v>1966</v>
      </c>
      <c r="F483" s="26">
        <v>1</v>
      </c>
      <c r="G483" s="50">
        <v>1.216</v>
      </c>
      <c r="H483" s="51">
        <v>2.5</v>
      </c>
      <c r="O483" s="207">
        <v>1966</v>
      </c>
    </row>
    <row r="484" spans="1:15" ht="15.75" x14ac:dyDescent="0.25">
      <c r="A484" s="106" t="s">
        <v>123</v>
      </c>
      <c r="B484" s="39" t="s">
        <v>170</v>
      </c>
      <c r="C484" s="31" t="s">
        <v>49</v>
      </c>
      <c r="D484" s="31" t="s">
        <v>72</v>
      </c>
      <c r="E484" s="72">
        <v>1968</v>
      </c>
      <c r="F484" s="26">
        <v>1</v>
      </c>
      <c r="G484" s="50">
        <v>0.29199999999999998</v>
      </c>
      <c r="H484" s="51">
        <v>1</v>
      </c>
      <c r="O484" s="207">
        <v>1968</v>
      </c>
    </row>
    <row r="485" spans="1:15" ht="15.75" x14ac:dyDescent="0.25">
      <c r="A485" s="110" t="s">
        <v>123</v>
      </c>
      <c r="B485" s="29" t="s">
        <v>557</v>
      </c>
      <c r="C485" s="111" t="s">
        <v>49</v>
      </c>
      <c r="D485" s="31" t="s">
        <v>576</v>
      </c>
      <c r="E485" s="43">
        <v>41740</v>
      </c>
      <c r="F485" s="26">
        <v>1</v>
      </c>
      <c r="G485" s="37">
        <v>3.75</v>
      </c>
      <c r="H485" s="34">
        <v>11.43</v>
      </c>
      <c r="O485" s="201">
        <v>2014</v>
      </c>
    </row>
    <row r="486" spans="1:15" ht="15.75" x14ac:dyDescent="0.25">
      <c r="A486" s="106" t="s">
        <v>138</v>
      </c>
      <c r="B486" s="39" t="s">
        <v>167</v>
      </c>
      <c r="C486" s="31" t="s">
        <v>17</v>
      </c>
      <c r="D486" s="31" t="s">
        <v>72</v>
      </c>
      <c r="E486" s="72">
        <v>1950</v>
      </c>
      <c r="F486" s="26">
        <v>1</v>
      </c>
      <c r="G486" s="50">
        <v>1.07</v>
      </c>
      <c r="H486" s="51">
        <v>1.0649999999999999</v>
      </c>
      <c r="O486" s="207">
        <v>1950</v>
      </c>
    </row>
    <row r="487" spans="1:15" ht="15.75" x14ac:dyDescent="0.25">
      <c r="A487" s="106" t="s">
        <v>138</v>
      </c>
      <c r="B487" s="39" t="s">
        <v>168</v>
      </c>
      <c r="C487" s="31" t="s">
        <v>17</v>
      </c>
      <c r="D487" s="31" t="s">
        <v>72</v>
      </c>
      <c r="E487" s="72">
        <v>1967</v>
      </c>
      <c r="F487" s="26">
        <v>1</v>
      </c>
      <c r="G487" s="50">
        <v>0.39400000000000002</v>
      </c>
      <c r="H487" s="51">
        <v>1</v>
      </c>
      <c r="O487" s="207">
        <v>1967</v>
      </c>
    </row>
    <row r="488" spans="1:15" ht="15.75" x14ac:dyDescent="0.25">
      <c r="A488" s="106" t="s">
        <v>124</v>
      </c>
      <c r="B488" s="39" t="s">
        <v>171</v>
      </c>
      <c r="C488" s="31" t="s">
        <v>32</v>
      </c>
      <c r="D488" s="31" t="s">
        <v>72</v>
      </c>
      <c r="E488" s="72">
        <v>1970</v>
      </c>
      <c r="F488" s="26">
        <v>1</v>
      </c>
      <c r="G488" s="50">
        <v>1.28</v>
      </c>
      <c r="H488" s="51">
        <v>3.5</v>
      </c>
      <c r="O488" s="207">
        <v>1970</v>
      </c>
    </row>
    <row r="489" spans="1:15" ht="15.75" x14ac:dyDescent="0.25">
      <c r="A489" s="106" t="s">
        <v>124</v>
      </c>
      <c r="B489" s="29" t="s">
        <v>394</v>
      </c>
      <c r="C489" s="31" t="s">
        <v>32</v>
      </c>
      <c r="D489" s="31" t="s">
        <v>72</v>
      </c>
      <c r="E489" s="32">
        <v>2009</v>
      </c>
      <c r="F489" s="26">
        <v>1</v>
      </c>
      <c r="G489" s="37">
        <v>29.571999999999999</v>
      </c>
      <c r="H489" s="34">
        <v>95</v>
      </c>
      <c r="O489" s="201">
        <v>2009</v>
      </c>
    </row>
    <row r="490" spans="1:15" ht="15.75" x14ac:dyDescent="0.25">
      <c r="A490" s="106" t="s">
        <v>124</v>
      </c>
      <c r="B490" s="29" t="s">
        <v>309</v>
      </c>
      <c r="C490" s="31" t="s">
        <v>32</v>
      </c>
      <c r="D490" s="31" t="s">
        <v>72</v>
      </c>
      <c r="E490" s="43">
        <v>41136</v>
      </c>
      <c r="F490" s="26">
        <v>1</v>
      </c>
      <c r="G490" s="64">
        <v>16.86</v>
      </c>
      <c r="H490" s="46">
        <v>61.917999999999999</v>
      </c>
      <c r="O490" s="201">
        <v>2012</v>
      </c>
    </row>
    <row r="491" spans="1:15" ht="15.75" x14ac:dyDescent="0.25">
      <c r="A491" s="103" t="s">
        <v>125</v>
      </c>
      <c r="B491" s="29" t="s">
        <v>217</v>
      </c>
      <c r="C491" s="29" t="s">
        <v>29</v>
      </c>
      <c r="D491" s="31" t="s">
        <v>72</v>
      </c>
      <c r="E491" s="43">
        <v>41088</v>
      </c>
      <c r="F491" s="26">
        <v>1</v>
      </c>
      <c r="G491" s="37">
        <v>0.66</v>
      </c>
      <c r="H491" s="34">
        <v>3.2</v>
      </c>
      <c r="O491" s="201">
        <v>2012</v>
      </c>
    </row>
    <row r="492" spans="1:15" ht="15.75" x14ac:dyDescent="0.25">
      <c r="A492" s="103" t="s">
        <v>125</v>
      </c>
      <c r="B492" s="29" t="s">
        <v>299</v>
      </c>
      <c r="C492" s="29" t="s">
        <v>29</v>
      </c>
      <c r="D492" s="31" t="s">
        <v>72</v>
      </c>
      <c r="E492" s="85">
        <f>E490</f>
        <v>41136</v>
      </c>
      <c r="F492" s="26">
        <v>1</v>
      </c>
      <c r="G492" s="37">
        <v>1.59</v>
      </c>
      <c r="H492" s="47">
        <v>8.32</v>
      </c>
      <c r="O492" s="65">
        <v>2012</v>
      </c>
    </row>
    <row r="493" spans="1:15" ht="15.75" x14ac:dyDescent="0.25">
      <c r="A493" s="106" t="s">
        <v>126</v>
      </c>
      <c r="B493" s="39" t="s">
        <v>173</v>
      </c>
      <c r="C493" s="31" t="s">
        <v>4</v>
      </c>
      <c r="D493" s="31" t="s">
        <v>72</v>
      </c>
      <c r="E493" s="72">
        <v>1956</v>
      </c>
      <c r="F493" s="26">
        <v>1</v>
      </c>
      <c r="G493" s="50">
        <v>0.27200000000000002</v>
      </c>
      <c r="H493" s="51">
        <v>0.6</v>
      </c>
      <c r="O493" s="207">
        <v>1956</v>
      </c>
    </row>
    <row r="494" spans="1:15" ht="15.75" x14ac:dyDescent="0.25">
      <c r="A494" s="106" t="s">
        <v>126</v>
      </c>
      <c r="B494" s="29" t="s">
        <v>400</v>
      </c>
      <c r="C494" s="31" t="s">
        <v>4</v>
      </c>
      <c r="D494" s="31" t="s">
        <v>72</v>
      </c>
      <c r="E494" s="32">
        <v>2010</v>
      </c>
      <c r="F494" s="26">
        <v>1</v>
      </c>
      <c r="G494" s="33">
        <v>7.03</v>
      </c>
      <c r="H494" s="47">
        <v>33</v>
      </c>
      <c r="O494" s="201">
        <v>2010</v>
      </c>
    </row>
    <row r="495" spans="1:15" ht="15.75" x14ac:dyDescent="0.25">
      <c r="A495" s="106" t="s">
        <v>126</v>
      </c>
      <c r="B495" s="29" t="s">
        <v>401</v>
      </c>
      <c r="C495" s="31" t="s">
        <v>4</v>
      </c>
      <c r="D495" s="31" t="s">
        <v>72</v>
      </c>
      <c r="E495" s="32">
        <v>2004</v>
      </c>
      <c r="F495" s="26">
        <v>1</v>
      </c>
      <c r="G495" s="33">
        <v>27.33</v>
      </c>
      <c r="H495" s="47">
        <v>112</v>
      </c>
      <c r="O495" s="201">
        <v>2004</v>
      </c>
    </row>
    <row r="496" spans="1:15" ht="15.75" x14ac:dyDescent="0.25">
      <c r="A496" s="106" t="s">
        <v>126</v>
      </c>
      <c r="B496" s="44" t="s">
        <v>251</v>
      </c>
      <c r="C496" s="31" t="s">
        <v>4</v>
      </c>
      <c r="D496" s="31" t="s">
        <v>72</v>
      </c>
      <c r="E496" s="52">
        <v>41019</v>
      </c>
      <c r="F496" s="26">
        <v>1</v>
      </c>
      <c r="G496" s="37">
        <v>20.55</v>
      </c>
      <c r="H496" s="34">
        <v>97.96</v>
      </c>
      <c r="O496" s="212">
        <v>2012</v>
      </c>
    </row>
    <row r="497" spans="1:15" ht="15.75" x14ac:dyDescent="0.25">
      <c r="A497" s="106" t="s">
        <v>126</v>
      </c>
      <c r="B497" s="29" t="s">
        <v>421</v>
      </c>
      <c r="C497" s="31" t="s">
        <v>4</v>
      </c>
      <c r="D497" s="31" t="s">
        <v>72</v>
      </c>
      <c r="E497" s="85">
        <v>41261</v>
      </c>
      <c r="F497" s="26">
        <v>1</v>
      </c>
      <c r="G497" s="37">
        <v>7.98</v>
      </c>
      <c r="H497" s="34">
        <v>40.26</v>
      </c>
      <c r="O497" s="65">
        <v>2012</v>
      </c>
    </row>
    <row r="498" spans="1:15" ht="15.75" x14ac:dyDescent="0.25">
      <c r="A498" s="106" t="s">
        <v>126</v>
      </c>
      <c r="B498" s="29" t="s">
        <v>286</v>
      </c>
      <c r="C498" s="31" t="s">
        <v>4</v>
      </c>
      <c r="D498" s="31" t="s">
        <v>72</v>
      </c>
      <c r="E498" s="85">
        <f>E497</f>
        <v>41261</v>
      </c>
      <c r="F498" s="26">
        <v>1</v>
      </c>
      <c r="G498" s="37">
        <v>7.12</v>
      </c>
      <c r="H498" s="47">
        <v>40.159999999999997</v>
      </c>
      <c r="O498" s="65">
        <v>2012</v>
      </c>
    </row>
    <row r="499" spans="1:15" ht="31.5" x14ac:dyDescent="0.25">
      <c r="A499" s="106" t="s">
        <v>126</v>
      </c>
      <c r="B499" s="29" t="s">
        <v>313</v>
      </c>
      <c r="C499" s="31" t="s">
        <v>4</v>
      </c>
      <c r="D499" s="44" t="s">
        <v>71</v>
      </c>
      <c r="E499" s="185">
        <v>40760</v>
      </c>
      <c r="F499" s="26">
        <v>1</v>
      </c>
      <c r="G499" s="64">
        <v>3.03</v>
      </c>
      <c r="H499" s="46">
        <v>22</v>
      </c>
      <c r="O499" s="211">
        <v>2011</v>
      </c>
    </row>
    <row r="500" spans="1:15" ht="15.75" x14ac:dyDescent="0.25">
      <c r="A500" s="106" t="s">
        <v>126</v>
      </c>
      <c r="B500" s="44" t="s">
        <v>520</v>
      </c>
      <c r="C500" s="31" t="s">
        <v>4</v>
      </c>
      <c r="D500" s="31" t="s">
        <v>72</v>
      </c>
      <c r="E500" s="185">
        <v>41187</v>
      </c>
      <c r="F500" s="26">
        <v>1</v>
      </c>
      <c r="G500" s="95">
        <v>35.630000000000003</v>
      </c>
      <c r="H500" s="46">
        <v>151</v>
      </c>
      <c r="O500" s="211">
        <v>2012</v>
      </c>
    </row>
    <row r="501" spans="1:15" ht="15.75" x14ac:dyDescent="0.25">
      <c r="A501" s="106" t="s">
        <v>126</v>
      </c>
      <c r="B501" s="29" t="s">
        <v>441</v>
      </c>
      <c r="C501" s="31" t="s">
        <v>4</v>
      </c>
      <c r="D501" s="31" t="s">
        <v>72</v>
      </c>
      <c r="E501" s="32">
        <v>2009</v>
      </c>
      <c r="F501" s="26">
        <v>1</v>
      </c>
      <c r="G501" s="37">
        <v>30.1</v>
      </c>
      <c r="H501" s="34">
        <v>137</v>
      </c>
      <c r="O501" s="201">
        <v>2009</v>
      </c>
    </row>
    <row r="502" spans="1:15" ht="15.75" x14ac:dyDescent="0.25">
      <c r="A502" s="106" t="s">
        <v>126</v>
      </c>
      <c r="B502" s="44" t="s">
        <v>445</v>
      </c>
      <c r="C502" s="31" t="s">
        <v>4</v>
      </c>
      <c r="D502" s="31" t="s">
        <v>69</v>
      </c>
      <c r="E502" s="85">
        <v>41615</v>
      </c>
      <c r="F502" s="26">
        <v>1</v>
      </c>
      <c r="G502" s="95">
        <v>27.234000000000002</v>
      </c>
      <c r="H502" s="47">
        <v>80</v>
      </c>
      <c r="O502" s="65">
        <v>2013</v>
      </c>
    </row>
    <row r="503" spans="1:15" ht="15.75" x14ac:dyDescent="0.25">
      <c r="A503" s="106" t="s">
        <v>126</v>
      </c>
      <c r="B503" s="29" t="s">
        <v>356</v>
      </c>
      <c r="C503" s="31" t="s">
        <v>4</v>
      </c>
      <c r="D503" s="31" t="s">
        <v>72</v>
      </c>
      <c r="E503" s="43">
        <v>41201</v>
      </c>
      <c r="F503" s="26">
        <v>1</v>
      </c>
      <c r="G503" s="37">
        <v>6.7439999999999998</v>
      </c>
      <c r="H503" s="47">
        <v>18</v>
      </c>
      <c r="O503" s="201">
        <v>2012</v>
      </c>
    </row>
    <row r="504" spans="1:15" ht="15.75" x14ac:dyDescent="0.25">
      <c r="A504" s="144" t="s">
        <v>126</v>
      </c>
      <c r="B504" s="56" t="s">
        <v>730</v>
      </c>
      <c r="C504" s="58" t="s">
        <v>4</v>
      </c>
      <c r="D504" s="58" t="s">
        <v>72</v>
      </c>
      <c r="E504" s="85">
        <v>42363</v>
      </c>
      <c r="F504" s="60">
        <v>1</v>
      </c>
      <c r="G504" s="33">
        <v>2.74</v>
      </c>
      <c r="H504" s="61">
        <v>5.74</v>
      </c>
      <c r="O504" s="65">
        <v>2015</v>
      </c>
    </row>
    <row r="505" spans="1:15" ht="15.75" x14ac:dyDescent="0.25">
      <c r="A505" s="144" t="s">
        <v>126</v>
      </c>
      <c r="B505" s="56" t="s">
        <v>731</v>
      </c>
      <c r="C505" s="58" t="s">
        <v>4</v>
      </c>
      <c r="D505" s="58" t="s">
        <v>72</v>
      </c>
      <c r="E505" s="85">
        <v>42324</v>
      </c>
      <c r="F505" s="60">
        <v>1</v>
      </c>
      <c r="G505" s="33">
        <v>15</v>
      </c>
      <c r="H505" s="61">
        <v>25</v>
      </c>
      <c r="O505" s="65">
        <v>2015</v>
      </c>
    </row>
    <row r="506" spans="1:15" ht="15.75" x14ac:dyDescent="0.25">
      <c r="A506" s="110" t="s">
        <v>141</v>
      </c>
      <c r="B506" s="39" t="s">
        <v>187</v>
      </c>
      <c r="C506" s="111" t="s">
        <v>140</v>
      </c>
      <c r="D506" s="31" t="s">
        <v>69</v>
      </c>
      <c r="E506" s="40">
        <v>2000</v>
      </c>
      <c r="F506" s="26">
        <v>1</v>
      </c>
      <c r="G506" s="41">
        <v>672</v>
      </c>
      <c r="H506" s="42">
        <v>2516</v>
      </c>
      <c r="O506" s="204">
        <v>2000</v>
      </c>
    </row>
    <row r="507" spans="1:15" ht="15.75" x14ac:dyDescent="0.25">
      <c r="A507" s="103" t="s">
        <v>127</v>
      </c>
      <c r="B507" s="29" t="s">
        <v>319</v>
      </c>
      <c r="C507" s="29" t="s">
        <v>23</v>
      </c>
      <c r="D507" s="31" t="s">
        <v>72</v>
      </c>
      <c r="E507" s="85">
        <v>40606</v>
      </c>
      <c r="F507" s="26">
        <v>1</v>
      </c>
      <c r="G507" s="37">
        <v>22.92</v>
      </c>
      <c r="H507" s="47">
        <v>78</v>
      </c>
      <c r="O507" s="65">
        <v>2011</v>
      </c>
    </row>
    <row r="508" spans="1:15" ht="15.75" x14ac:dyDescent="0.25">
      <c r="A508" s="103" t="s">
        <v>127</v>
      </c>
      <c r="B508" s="29" t="s">
        <v>516</v>
      </c>
      <c r="C508" s="29" t="s">
        <v>23</v>
      </c>
      <c r="D508" s="31" t="s">
        <v>72</v>
      </c>
      <c r="E508" s="32">
        <v>2010</v>
      </c>
      <c r="F508" s="26">
        <v>1</v>
      </c>
      <c r="G508" s="37">
        <v>12.298999999999999</v>
      </c>
      <c r="H508" s="34">
        <v>36</v>
      </c>
      <c r="O508" s="201">
        <v>2010</v>
      </c>
    </row>
    <row r="509" spans="1:15" ht="15.75" x14ac:dyDescent="0.25">
      <c r="A509" s="110" t="s">
        <v>127</v>
      </c>
      <c r="B509" s="29" t="s">
        <v>546</v>
      </c>
      <c r="C509" s="111" t="s">
        <v>23</v>
      </c>
      <c r="D509" s="31" t="s">
        <v>576</v>
      </c>
      <c r="E509" s="43">
        <v>41977</v>
      </c>
      <c r="F509" s="26">
        <v>1</v>
      </c>
      <c r="G509" s="37">
        <v>11.933999999999999</v>
      </c>
      <c r="H509" s="34">
        <v>36.094999999999999</v>
      </c>
      <c r="O509" s="201">
        <v>2014</v>
      </c>
    </row>
    <row r="510" spans="1:15" ht="15.75" x14ac:dyDescent="0.25">
      <c r="A510" s="126" t="s">
        <v>128</v>
      </c>
      <c r="B510" s="29" t="s">
        <v>420</v>
      </c>
      <c r="C510" s="44" t="s">
        <v>13</v>
      </c>
      <c r="D510" s="31" t="s">
        <v>69</v>
      </c>
      <c r="E510" s="85">
        <v>41278</v>
      </c>
      <c r="F510" s="26">
        <v>1</v>
      </c>
      <c r="G510" s="33">
        <v>52</v>
      </c>
      <c r="H510" s="63">
        <v>225.34</v>
      </c>
      <c r="O510" s="65">
        <v>2013</v>
      </c>
    </row>
    <row r="511" spans="1:15" ht="15.75" x14ac:dyDescent="0.25">
      <c r="A511" s="103" t="s">
        <v>139</v>
      </c>
      <c r="B511" s="29" t="s">
        <v>388</v>
      </c>
      <c r="C511" s="29" t="s">
        <v>57</v>
      </c>
      <c r="D511" s="31" t="s">
        <v>69</v>
      </c>
      <c r="E511" s="43">
        <v>40645</v>
      </c>
      <c r="F511" s="26">
        <v>1</v>
      </c>
      <c r="G511" s="64">
        <v>275.52</v>
      </c>
      <c r="H511" s="61">
        <v>881.21</v>
      </c>
      <c r="O511" s="201">
        <v>2011</v>
      </c>
    </row>
    <row r="512" spans="1:15" ht="15.75" x14ac:dyDescent="0.25">
      <c r="A512" s="103" t="s">
        <v>139</v>
      </c>
      <c r="B512" s="29" t="s">
        <v>311</v>
      </c>
      <c r="C512" s="29" t="s">
        <v>57</v>
      </c>
      <c r="D512" s="31" t="s">
        <v>72</v>
      </c>
      <c r="E512" s="43">
        <v>41596</v>
      </c>
      <c r="F512" s="26">
        <v>1</v>
      </c>
      <c r="G512" s="37">
        <v>46.11</v>
      </c>
      <c r="H512" s="47">
        <v>150.61000000000001</v>
      </c>
      <c r="O512" s="201">
        <v>2013</v>
      </c>
    </row>
    <row r="513" spans="1:15" ht="15.75" x14ac:dyDescent="0.25">
      <c r="A513" s="154" t="s">
        <v>139</v>
      </c>
      <c r="B513" s="155" t="s">
        <v>544</v>
      </c>
      <c r="C513" s="155" t="s">
        <v>57</v>
      </c>
      <c r="D513" s="156" t="s">
        <v>576</v>
      </c>
      <c r="E513" s="85">
        <v>42111</v>
      </c>
      <c r="F513" s="26">
        <v>1</v>
      </c>
      <c r="G513" s="157">
        <v>21.27</v>
      </c>
      <c r="H513" s="158">
        <v>58.48</v>
      </c>
      <c r="O513" s="65">
        <v>2015</v>
      </c>
    </row>
    <row r="514" spans="1:15" ht="16.5" thickBot="1" x14ac:dyDescent="0.3">
      <c r="A514" s="159" t="s">
        <v>139</v>
      </c>
      <c r="B514" s="160" t="s">
        <v>732</v>
      </c>
      <c r="C514" s="161" t="s">
        <v>57</v>
      </c>
      <c r="D514" s="162" t="s">
        <v>576</v>
      </c>
      <c r="E514" s="163">
        <v>1957</v>
      </c>
      <c r="F514" s="164">
        <v>1</v>
      </c>
      <c r="G514" s="165">
        <v>1.5840000000000001</v>
      </c>
      <c r="H514" s="166">
        <v>7</v>
      </c>
      <c r="O514" s="215">
        <v>1957</v>
      </c>
    </row>
    <row r="515" spans="1:15" x14ac:dyDescent="0.25">
      <c r="F515">
        <f>SUM(F2:F514)</f>
        <v>513</v>
      </c>
    </row>
    <row r="516" spans="1:15" x14ac:dyDescent="0.25">
      <c r="F516" s="177" t="s">
        <v>735</v>
      </c>
      <c r="G516" s="175">
        <v>13791.869800000006</v>
      </c>
      <c r="H516" s="175">
        <v>47501.304000000033</v>
      </c>
    </row>
    <row r="517" spans="1:15" x14ac:dyDescent="0.25">
      <c r="F517" s="177" t="s">
        <v>736</v>
      </c>
      <c r="G517" s="176">
        <f>SUM(G2:G514)</f>
        <v>13791.869800000008</v>
      </c>
      <c r="H517" s="176">
        <f>SUM(H2:H514)</f>
        <v>47501.304000000026</v>
      </c>
    </row>
  </sheetData>
  <autoFilter ref="A1:G455"/>
  <mergeCells count="6">
    <mergeCell ref="G11:G12"/>
    <mergeCell ref="H11:H12"/>
    <mergeCell ref="G285:G286"/>
    <mergeCell ref="H285:H286"/>
    <mergeCell ref="G345:G346"/>
    <mergeCell ref="H345:H346"/>
  </mergeCells>
  <conditionalFormatting sqref="G475:H475">
    <cfRule type="cellIs" dxfId="8100" priority="1" stopIfTrue="1" operator="equal">
      <formula>0</formula>
    </cfRule>
    <cfRule type="cellIs" dxfId="8099" priority="2" stopIfTrue="1" operator="equal">
      <formula>""</formula>
    </cfRule>
  </conditionalFormatting>
  <conditionalFormatting sqref="G467:H467 G471:H474 G476:H513">
    <cfRule type="cellIs" dxfId="8098" priority="5" stopIfTrue="1" operator="equal">
      <formula>0</formula>
    </cfRule>
    <cfRule type="cellIs" dxfId="8097" priority="6" stopIfTrue="1" operator="equal">
      <formula>""</formula>
    </cfRule>
  </conditionalFormatting>
  <conditionalFormatting sqref="G514:H514">
    <cfRule type="cellIs" dxfId="8096" priority="3" stopIfTrue="1" operator="equal">
      <formula>0</formula>
    </cfRule>
    <cfRule type="cellIs" dxfId="8095" priority="4" stopIfTrue="1" operator="equal">
      <formula>""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4</vt:i4>
      </vt:variant>
    </vt:vector>
  </HeadingPairs>
  <TitlesOfParts>
    <vt:vector size="7" baseType="lpstr">
      <vt:lpstr>2.4.2.Tablo</vt:lpstr>
      <vt:lpstr>Veri</vt:lpstr>
      <vt:lpstr>Sayfa1</vt:lpstr>
      <vt:lpstr>'2.4.2.Tablo'!Yazdırma_Alanı</vt:lpstr>
      <vt:lpstr>Veri!Yazdırma_Alanı</vt:lpstr>
      <vt:lpstr>'2.4.2.Tablo'!Yazdırma_Başlıkları</vt:lpstr>
      <vt:lpstr>Veri!Yazdırma_Başlıkları</vt:lpstr>
    </vt:vector>
  </TitlesOfParts>
  <Company>DSI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Gündüz</dc:creator>
  <cp:lastModifiedBy>Taylan Sarıaltın</cp:lastModifiedBy>
  <cp:lastPrinted>2016-11-09T11:46:55Z</cp:lastPrinted>
  <dcterms:created xsi:type="dcterms:W3CDTF">2014-12-26T10:52:05Z</dcterms:created>
  <dcterms:modified xsi:type="dcterms:W3CDTF">2016-12-19T13:05:58Z</dcterms:modified>
</cp:coreProperties>
</file>