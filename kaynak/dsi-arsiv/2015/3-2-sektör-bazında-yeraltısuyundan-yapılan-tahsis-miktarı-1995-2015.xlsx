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5600" windowHeight="11760"/>
  </bookViews>
  <sheets>
    <sheet name="3.2.Tablo" sheetId="4" r:id="rId1"/>
  </sheets>
  <definedNames>
    <definedName name="_xlnm.Print_Area" localSheetId="0">'3.2.Tablo'!$A$1:$H$91</definedName>
  </definedNames>
  <calcPr calcId="152511"/>
</workbook>
</file>

<file path=xl/calcChain.xml><?xml version="1.0" encoding="utf-8"?>
<calcChain xmlns="http://schemas.openxmlformats.org/spreadsheetml/2006/main">
  <c r="G6" i="4" l="1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5" i="4"/>
  <c r="G23" i="4"/>
  <c r="E20" i="4" l="1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</calcChain>
</file>

<file path=xl/sharedStrings.xml><?xml version="1.0" encoding="utf-8"?>
<sst xmlns="http://schemas.openxmlformats.org/spreadsheetml/2006/main" count="8" uniqueCount="8">
  <si>
    <t>Yıl</t>
  </si>
  <si>
    <t xml:space="preserve">Yeraltısuyu Sulama Kooperatifleri ve Kamu Kuruluşlarına Ait  Yeraltısuyu Tahsisi         </t>
  </si>
  <si>
    <t>Belgeli Şahıs Sulamalarına Ait Yeraltısuyu Tahsisi</t>
  </si>
  <si>
    <t>Sulamalara Ait Toplam Yeraltısuyu Tahsisi</t>
  </si>
  <si>
    <t xml:space="preserve">İçme, Kullanma ve Sanayi Suyuna ait Yeraltısuyu Tahsisi </t>
  </si>
  <si>
    <t>Toplam Yeraltısuyu Tahsisi</t>
  </si>
  <si>
    <t>3.2.Sektör Bazında Yeraltısuyundan Yapılan Tahsis Miktarları, 1995-2015</t>
  </si>
  <si>
    <t>(km³/yıl)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</si>
</sst>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162"/>
    </font>
    <font>
      <b/>
      <sz val="12"/>
      <name val="Times New Roman"/>
      <family val="1"/>
      <charset val="162"/>
    </font>
    <font>
      <sz val="12"/>
      <name val="Times New Roman"/>
      <family val="1"/>
      <charset val="162"/>
    </font>
    <font>
      <b/>
      <sz val="12"/>
      <color theme="1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right" vertical="center"/>
    </xf>
    <xf numFmtId="4" fontId="3" fillId="2" borderId="9" xfId="0" applyNumberFormat="1" applyFont="1" applyFill="1" applyBorder="1" applyAlignment="1">
      <alignment horizontal="center"/>
    </xf>
    <xf numFmtId="4" fontId="3" fillId="2" borderId="10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4" fontId="3" fillId="2" borderId="12" xfId="0" applyNumberFormat="1" applyFont="1" applyFill="1" applyBorder="1" applyAlignment="1">
      <alignment horizontal="center"/>
    </xf>
    <xf numFmtId="4" fontId="3" fillId="2" borderId="17" xfId="0" applyNumberFormat="1" applyFont="1" applyFill="1" applyBorder="1" applyAlignment="1">
      <alignment horizontal="center"/>
    </xf>
    <xf numFmtId="4" fontId="3" fillId="2" borderId="18" xfId="0" applyNumberFormat="1" applyFont="1" applyFill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4" fontId="3" fillId="2" borderId="14" xfId="0" applyNumberFormat="1" applyFont="1" applyFill="1" applyBorder="1" applyAlignment="1">
      <alignment horizontal="center"/>
    </xf>
    <xf numFmtId="4" fontId="3" fillId="2" borderId="15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sz="1700"/>
            </a:pPr>
            <a:r>
              <a:rPr lang="tr-TR" sz="1700"/>
              <a:t>3.2.</a:t>
            </a:r>
            <a:r>
              <a:rPr lang="en-US" sz="1700"/>
              <a:t>Sulamaya Tahsis </a:t>
            </a:r>
            <a:r>
              <a:rPr lang="tr-TR" sz="1700"/>
              <a:t>E</a:t>
            </a:r>
            <a:r>
              <a:rPr lang="en-US" sz="1700"/>
              <a:t>dilen Toplam Yeraltısuyu Miktarı</a:t>
            </a:r>
            <a:r>
              <a:rPr lang="tr-TR" sz="1700"/>
              <a:t> (</a:t>
            </a:r>
            <a:r>
              <a:rPr lang="tr-TR" sz="1700" b="1" i="0" u="none" strike="noStrike" baseline="0">
                <a:effectLst/>
              </a:rPr>
              <a:t>km³</a:t>
            </a:r>
            <a:r>
              <a:rPr lang="tr-TR" sz="1700"/>
              <a:t>/yıl), 1995-2015                   </a:t>
            </a:r>
            <a:endParaRPr lang="en-US" sz="1700"/>
          </a:p>
        </c:rich>
      </c:tx>
      <c:layout>
        <c:manualLayout>
          <c:xMode val="edge"/>
          <c:yMode val="edge"/>
          <c:x val="0.10734309080422835"/>
          <c:y val="2.374208646033859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2527969321456668E-2"/>
          <c:y val="0.15678486883977985"/>
          <c:w val="0.90513350282932425"/>
          <c:h val="0.71109001051271936"/>
        </c:manualLayout>
      </c:layout>
      <c:lineChart>
        <c:grouping val="standard"/>
        <c:varyColors val="0"/>
        <c:ser>
          <c:idx val="0"/>
          <c:order val="0"/>
          <c:tx>
            <c:strRef>
              <c:f>'3.2.Tablo'!$E$4</c:f>
              <c:strCache>
                <c:ptCount val="1"/>
                <c:pt idx="0">
                  <c:v>Sulamalara Ait Toplam Yeraltısuyu Tahsisi</c:v>
                </c:pt>
              </c:strCache>
            </c:strRef>
          </c:tx>
          <c:marker>
            <c:symbol val="diamond"/>
            <c:size val="9"/>
          </c:marker>
          <c:dLbls>
            <c:dLbl>
              <c:idx val="17"/>
              <c:layout>
                <c:manualLayout>
                  <c:x val="-3.7955269370832607E-2"/>
                  <c:y val="-6.07124219197885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/>
              <a:lstStyle/>
              <a:p>
                <a:pPr>
                  <a:defRPr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'3.2.Tablo'!$B$5:$B$25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cat>
          <c:val>
            <c:numRef>
              <c:f>'3.2.Tablo'!$E$5:$E$25</c:f>
              <c:numCache>
                <c:formatCode>#,##0.00</c:formatCode>
                <c:ptCount val="21"/>
                <c:pt idx="0">
                  <c:v>4.63</c:v>
                </c:pt>
                <c:pt idx="1">
                  <c:v>4.82</c:v>
                </c:pt>
                <c:pt idx="2">
                  <c:v>5.0600000000000005</c:v>
                </c:pt>
                <c:pt idx="3">
                  <c:v>5.2299999999999995</c:v>
                </c:pt>
                <c:pt idx="4">
                  <c:v>5.49</c:v>
                </c:pt>
                <c:pt idx="5">
                  <c:v>5.67</c:v>
                </c:pt>
                <c:pt idx="6">
                  <c:v>5.84</c:v>
                </c:pt>
                <c:pt idx="7">
                  <c:v>5.99</c:v>
                </c:pt>
                <c:pt idx="8">
                  <c:v>6.0730000000000004</c:v>
                </c:pt>
                <c:pt idx="9">
                  <c:v>6.2430000000000003</c:v>
                </c:pt>
                <c:pt idx="10">
                  <c:v>6.327</c:v>
                </c:pt>
                <c:pt idx="11">
                  <c:v>6.5110000000000001</c:v>
                </c:pt>
                <c:pt idx="12">
                  <c:v>6.6330000000000009</c:v>
                </c:pt>
                <c:pt idx="13">
                  <c:v>6.7720000000000002</c:v>
                </c:pt>
                <c:pt idx="14">
                  <c:v>7.0350000000000001</c:v>
                </c:pt>
                <c:pt idx="15">
                  <c:v>7.1970000000000001</c:v>
                </c:pt>
                <c:pt idx="16">
                  <c:v>7.54</c:v>
                </c:pt>
                <c:pt idx="17">
                  <c:v>7.5439999999999996</c:v>
                </c:pt>
                <c:pt idx="18">
                  <c:v>8.7899999999999991</c:v>
                </c:pt>
                <c:pt idx="19">
                  <c:v>9.18</c:v>
                </c:pt>
                <c:pt idx="20">
                  <c:v>9.18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1901056"/>
        <c:axId val="231901616"/>
      </c:lineChart>
      <c:catAx>
        <c:axId val="231901056"/>
        <c:scaling>
          <c:orientation val="minMax"/>
        </c:scaling>
        <c:delete val="0"/>
        <c:axPos val="b"/>
        <c:min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in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100"/>
            </a:pPr>
            <a:endParaRPr lang="tr-TR"/>
          </a:p>
        </c:txPr>
        <c:crossAx val="231901616"/>
        <c:crosses val="autoZero"/>
        <c:auto val="1"/>
        <c:lblAlgn val="ctr"/>
        <c:lblOffset val="100"/>
        <c:noMultiLvlLbl val="0"/>
      </c:catAx>
      <c:valAx>
        <c:axId val="231901616"/>
        <c:scaling>
          <c:orientation val="minMax"/>
          <c:min val="4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tr-TR"/>
          </a:p>
        </c:txPr>
        <c:crossAx val="231901056"/>
        <c:crosses val="autoZero"/>
        <c:crossBetween val="between"/>
      </c:valAx>
    </c:plotArea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3.2.Sulama suyu ile İçme, Kullanma ve Sanayi Suyuna Tahsis  Edilen Yeraltısuyu Miktarlarının Karşılaştırılması (km³/yıl), 1995-2015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1473002960722616E-2"/>
          <c:y val="0.2514541450940157"/>
          <c:w val="0.93039829125842688"/>
          <c:h val="0.61956914680247055"/>
        </c:manualLayout>
      </c:layout>
      <c:lineChart>
        <c:grouping val="standard"/>
        <c:varyColors val="0"/>
        <c:ser>
          <c:idx val="0"/>
          <c:order val="0"/>
          <c:tx>
            <c:strRef>
              <c:f>'3.2.Tablo'!$B$4</c:f>
              <c:strCache>
                <c:ptCount val="1"/>
                <c:pt idx="0">
                  <c:v>Yıl</c:v>
                </c:pt>
              </c:strCache>
            </c:strRef>
          </c:tx>
          <c:cat>
            <c:numRef>
              <c:f>'3.2.Tablo'!$B$5:$B$25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cat>
          <c:val>
            <c:numRef>
              <c:f>'3.2.Tablo'!$B$5:$B$23</c:f>
              <c:numCache>
                <c:formatCode>General</c:formatCode>
                <c:ptCount val="1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'3.2.Tablo'!$E$4</c:f>
              <c:strCache>
                <c:ptCount val="1"/>
                <c:pt idx="0">
                  <c:v>Sulamalara Ait Toplam Yeraltısuyu Tahsisi</c:v>
                </c:pt>
              </c:strCache>
            </c:strRef>
          </c:tx>
          <c:marker>
            <c:symbol val="square"/>
            <c:size val="8"/>
          </c:marker>
          <c:dLbls>
            <c:spPr>
              <a:noFill/>
              <a:ln>
                <a:noFill/>
              </a:ln>
              <a:effectLst/>
            </c:spPr>
            <c:txPr>
              <a:bodyPr rot="-2700000"/>
              <a:lstStyle/>
              <a:p>
                <a:pPr>
                  <a:defRPr b="1">
                    <a:solidFill>
                      <a:srgbClr val="C00000"/>
                    </a:solidFill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'3.2.Tablo'!$B$5:$B$25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cat>
          <c:val>
            <c:numRef>
              <c:f>'3.2.Tablo'!$E$5:$E$25</c:f>
              <c:numCache>
                <c:formatCode>#,##0.00</c:formatCode>
                <c:ptCount val="21"/>
                <c:pt idx="0">
                  <c:v>4.63</c:v>
                </c:pt>
                <c:pt idx="1">
                  <c:v>4.82</c:v>
                </c:pt>
                <c:pt idx="2">
                  <c:v>5.0600000000000005</c:v>
                </c:pt>
                <c:pt idx="3">
                  <c:v>5.2299999999999995</c:v>
                </c:pt>
                <c:pt idx="4">
                  <c:v>5.49</c:v>
                </c:pt>
                <c:pt idx="5">
                  <c:v>5.67</c:v>
                </c:pt>
                <c:pt idx="6">
                  <c:v>5.84</c:v>
                </c:pt>
                <c:pt idx="7">
                  <c:v>5.99</c:v>
                </c:pt>
                <c:pt idx="8">
                  <c:v>6.0730000000000004</c:v>
                </c:pt>
                <c:pt idx="9">
                  <c:v>6.2430000000000003</c:v>
                </c:pt>
                <c:pt idx="10">
                  <c:v>6.327</c:v>
                </c:pt>
                <c:pt idx="11">
                  <c:v>6.5110000000000001</c:v>
                </c:pt>
                <c:pt idx="12">
                  <c:v>6.6330000000000009</c:v>
                </c:pt>
                <c:pt idx="13">
                  <c:v>6.7720000000000002</c:v>
                </c:pt>
                <c:pt idx="14">
                  <c:v>7.0350000000000001</c:v>
                </c:pt>
                <c:pt idx="15">
                  <c:v>7.1970000000000001</c:v>
                </c:pt>
                <c:pt idx="16">
                  <c:v>7.54</c:v>
                </c:pt>
                <c:pt idx="17">
                  <c:v>7.5439999999999996</c:v>
                </c:pt>
                <c:pt idx="18">
                  <c:v>8.7899999999999991</c:v>
                </c:pt>
                <c:pt idx="19">
                  <c:v>9.18</c:v>
                </c:pt>
                <c:pt idx="20">
                  <c:v>9.18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'3.2.Tablo'!$F$4</c:f>
              <c:strCache>
                <c:ptCount val="1"/>
                <c:pt idx="0">
                  <c:v>İçme, Kullanma ve Sanayi Suyuna ait Yeraltısuyu Tahsisi </c:v>
                </c:pt>
              </c:strCache>
            </c:strRef>
          </c:tx>
          <c:spPr>
            <a:ln>
              <a:solidFill>
                <a:schemeClr val="accent1">
                  <a:lumMod val="75000"/>
                </a:schemeClr>
              </a:solidFill>
            </a:ln>
          </c:spPr>
          <c:marker>
            <c:symbol val="triangle"/>
            <c:size val="7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accent1">
                    <a:lumMod val="75000"/>
                  </a:scheme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1200000"/>
              <a:lstStyle/>
              <a:p>
                <a:pPr>
                  <a:defRPr b="1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'3.2.Tablo'!$B$5:$B$25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cat>
          <c:val>
            <c:numRef>
              <c:f>'3.2.Tablo'!$F$5:$F$25</c:f>
              <c:numCache>
                <c:formatCode>#,##0.00</c:formatCode>
                <c:ptCount val="21"/>
                <c:pt idx="0">
                  <c:v>3.82</c:v>
                </c:pt>
                <c:pt idx="1">
                  <c:v>4</c:v>
                </c:pt>
                <c:pt idx="2">
                  <c:v>4.2699999999999996</c:v>
                </c:pt>
                <c:pt idx="3">
                  <c:v>4.42</c:v>
                </c:pt>
                <c:pt idx="4">
                  <c:v>4.5599999999999996</c:v>
                </c:pt>
                <c:pt idx="5">
                  <c:v>4.68</c:v>
                </c:pt>
                <c:pt idx="6">
                  <c:v>4.83</c:v>
                </c:pt>
                <c:pt idx="7">
                  <c:v>5</c:v>
                </c:pt>
                <c:pt idx="8">
                  <c:v>5.1029999999999998</c:v>
                </c:pt>
                <c:pt idx="9">
                  <c:v>5.2</c:v>
                </c:pt>
                <c:pt idx="10">
                  <c:v>5.2949999999999999</c:v>
                </c:pt>
                <c:pt idx="11">
                  <c:v>5.3710000000000004</c:v>
                </c:pt>
                <c:pt idx="12">
                  <c:v>5.4630000000000001</c:v>
                </c:pt>
                <c:pt idx="13">
                  <c:v>5.6470000000000002</c:v>
                </c:pt>
                <c:pt idx="14">
                  <c:v>5.7759999999999998</c:v>
                </c:pt>
                <c:pt idx="15">
                  <c:v>5.9409999999999998</c:v>
                </c:pt>
                <c:pt idx="16">
                  <c:v>6.016</c:v>
                </c:pt>
                <c:pt idx="17">
                  <c:v>6.016</c:v>
                </c:pt>
                <c:pt idx="18">
                  <c:v>4.7720000000000002</c:v>
                </c:pt>
                <c:pt idx="19">
                  <c:v>5.42</c:v>
                </c:pt>
                <c:pt idx="20">
                  <c:v>5.42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'3.2.Tablo'!$B$4</c:f>
              <c:strCache>
                <c:ptCount val="1"/>
                <c:pt idx="0">
                  <c:v>Yıl</c:v>
                </c:pt>
              </c:strCache>
            </c:strRef>
          </c:tx>
          <c:cat>
            <c:numRef>
              <c:f>'3.2.Tablo'!$B$5:$B$25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cat>
          <c:val>
            <c:numRef>
              <c:f>'3.2.Tablo'!$B$5:$B$23</c:f>
              <c:numCache>
                <c:formatCode>General</c:formatCode>
                <c:ptCount val="1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7123120"/>
        <c:axId val="347123680"/>
      </c:lineChart>
      <c:catAx>
        <c:axId val="347123120"/>
        <c:scaling>
          <c:orientation val="minMax"/>
        </c:scaling>
        <c:delete val="0"/>
        <c:axPos val="b"/>
        <c:min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in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100"/>
            </a:pPr>
            <a:endParaRPr lang="tr-TR"/>
          </a:p>
        </c:txPr>
        <c:crossAx val="347123680"/>
        <c:crosses val="autoZero"/>
        <c:auto val="1"/>
        <c:lblAlgn val="ctr"/>
        <c:lblOffset val="100"/>
        <c:noMultiLvlLbl val="0"/>
      </c:catAx>
      <c:valAx>
        <c:axId val="347123680"/>
        <c:scaling>
          <c:orientation val="minMax"/>
          <c:max val="10"/>
          <c:min val="2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tr-TR"/>
          </a:p>
        </c:txPr>
        <c:crossAx val="347123120"/>
        <c:crosses val="autoZero"/>
        <c:crossBetween val="between"/>
        <c:minorUnit val="1"/>
      </c:valAx>
    </c:plotArea>
    <c:legend>
      <c:legendPos val="t"/>
      <c:legendEntry>
        <c:idx val="0"/>
        <c:delete val="1"/>
      </c:legendEntry>
      <c:legendEntry>
        <c:idx val="1"/>
        <c:txPr>
          <a:bodyPr/>
          <a:lstStyle/>
          <a:p>
            <a:pPr>
              <a:defRPr sz="1000" b="1">
                <a:solidFill>
                  <a:srgbClr val="C00000"/>
                </a:solidFill>
              </a:defRPr>
            </a:pPr>
            <a:endParaRPr lang="tr-TR"/>
          </a:p>
        </c:txPr>
      </c:legendEntry>
      <c:legendEntry>
        <c:idx val="2"/>
        <c:txPr>
          <a:bodyPr/>
          <a:lstStyle/>
          <a:p>
            <a:pPr>
              <a:defRPr sz="1000" b="1">
                <a:solidFill>
                  <a:schemeClr val="accent1">
                    <a:lumMod val="75000"/>
                  </a:schemeClr>
                </a:solidFill>
              </a:defRPr>
            </a:pPr>
            <a:endParaRPr lang="tr-TR"/>
          </a:p>
        </c:txPr>
      </c:legendEntry>
      <c:legendEntry>
        <c:idx val="3"/>
        <c:delete val="1"/>
      </c:legendEntry>
      <c:layout>
        <c:manualLayout>
          <c:xMode val="edge"/>
          <c:yMode val="edge"/>
          <c:x val="8.6363178112669692E-2"/>
          <c:y val="0.15786560876867059"/>
          <c:w val="0.85082025342858625"/>
          <c:h val="8.8269631275576424E-2"/>
        </c:manualLayout>
      </c:layout>
      <c:overlay val="0"/>
      <c:txPr>
        <a:bodyPr/>
        <a:lstStyle/>
        <a:p>
          <a:pPr>
            <a:defRPr sz="1000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 rot="0"/>
          <a:lstStyle/>
          <a:p>
            <a:pPr>
              <a:defRPr/>
            </a:pPr>
            <a:r>
              <a:rPr lang="tr-TR"/>
              <a:t>3.2.Toplam Tahsis Edilen Yeraltısuyu Miktarı (</a:t>
            </a:r>
            <a:r>
              <a:rPr lang="tr-TR" sz="1800" b="1" i="0" u="none" strike="noStrike" baseline="0">
                <a:effectLst/>
              </a:rPr>
              <a:t>km³</a:t>
            </a:r>
            <a:r>
              <a:rPr lang="tr-TR"/>
              <a:t>/yıl), 1995-2015</a:t>
            </a:r>
          </a:p>
        </c:rich>
      </c:tx>
      <c:layout>
        <c:manualLayout>
          <c:xMode val="edge"/>
          <c:yMode val="edge"/>
          <c:x val="0.15879526148739379"/>
          <c:y val="6.571779639808143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5385954728773786E-2"/>
          <c:y val="0.18409399057906417"/>
          <c:w val="0.93565652011622202"/>
          <c:h val="0.70471943977193241"/>
        </c:manualLayout>
      </c:layout>
      <c:lineChart>
        <c:grouping val="standard"/>
        <c:varyColors val="0"/>
        <c:ser>
          <c:idx val="1"/>
          <c:order val="0"/>
          <c:tx>
            <c:strRef>
              <c:f>'3.2.Tablo'!$G$4</c:f>
              <c:strCache>
                <c:ptCount val="1"/>
                <c:pt idx="0">
                  <c:v>Toplam Yeraltısuyu Tahsisi</c:v>
                </c:pt>
              </c:strCache>
            </c:strRef>
          </c:tx>
          <c:marker>
            <c:symbol val="square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 rot="0"/>
              <a:lstStyle/>
              <a:p>
                <a:pPr>
                  <a:defRPr b="1">
                    <a:solidFill>
                      <a:srgbClr val="C00000"/>
                    </a:solidFill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'3.2.Tablo'!$B$5:$B$25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cat>
          <c:val>
            <c:numRef>
              <c:f>'3.2.Tablo'!$G$5:$G$25</c:f>
              <c:numCache>
                <c:formatCode>#,##0.00</c:formatCode>
                <c:ptCount val="21"/>
                <c:pt idx="0">
                  <c:v>8.4499999999999993</c:v>
                </c:pt>
                <c:pt idx="1">
                  <c:v>8.82</c:v>
                </c:pt>
                <c:pt idx="2">
                  <c:v>9.33</c:v>
                </c:pt>
                <c:pt idx="3">
                  <c:v>9.6499999999999986</c:v>
                </c:pt>
                <c:pt idx="4">
                  <c:v>10.050000000000001</c:v>
                </c:pt>
                <c:pt idx="5">
                  <c:v>10.35</c:v>
                </c:pt>
                <c:pt idx="6">
                  <c:v>10.67</c:v>
                </c:pt>
                <c:pt idx="7">
                  <c:v>10.99</c:v>
                </c:pt>
                <c:pt idx="8">
                  <c:v>11.176</c:v>
                </c:pt>
                <c:pt idx="9">
                  <c:v>11.443000000000001</c:v>
                </c:pt>
                <c:pt idx="10">
                  <c:v>11.622</c:v>
                </c:pt>
                <c:pt idx="11">
                  <c:v>11.882000000000001</c:v>
                </c:pt>
                <c:pt idx="12">
                  <c:v>12.096</c:v>
                </c:pt>
                <c:pt idx="13">
                  <c:v>12.419</c:v>
                </c:pt>
                <c:pt idx="14">
                  <c:v>12.811</c:v>
                </c:pt>
                <c:pt idx="15">
                  <c:v>13.138</c:v>
                </c:pt>
                <c:pt idx="16">
                  <c:v>13.56</c:v>
                </c:pt>
                <c:pt idx="17">
                  <c:v>13.56</c:v>
                </c:pt>
                <c:pt idx="18">
                  <c:v>13.561</c:v>
                </c:pt>
                <c:pt idx="19">
                  <c:v>14.6</c:v>
                </c:pt>
                <c:pt idx="20">
                  <c:v>14.6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6824992"/>
        <c:axId val="346825552"/>
      </c:lineChart>
      <c:catAx>
        <c:axId val="346824992"/>
        <c:scaling>
          <c:orientation val="minMax"/>
        </c:scaling>
        <c:delete val="0"/>
        <c:axPos val="b"/>
        <c:min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in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100"/>
            </a:pPr>
            <a:endParaRPr lang="tr-TR"/>
          </a:p>
        </c:txPr>
        <c:crossAx val="346825552"/>
        <c:crosses val="autoZero"/>
        <c:auto val="1"/>
        <c:lblAlgn val="ctr"/>
        <c:lblOffset val="100"/>
        <c:noMultiLvlLbl val="0"/>
      </c:catAx>
      <c:valAx>
        <c:axId val="346825552"/>
        <c:scaling>
          <c:orientation val="minMax"/>
          <c:max val="16"/>
          <c:min val="8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tr-TR"/>
          </a:p>
        </c:txPr>
        <c:crossAx val="346824992"/>
        <c:crosses val="autoZero"/>
        <c:crossBetween val="between"/>
        <c:majorUnit val="1"/>
      </c:valAx>
    </c:plotArea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1</xdr:row>
      <xdr:rowOff>57150</xdr:rowOff>
    </xdr:from>
    <xdr:to>
      <xdr:col>6</xdr:col>
      <xdr:colOff>895350</xdr:colOff>
      <xdr:row>1</xdr:row>
      <xdr:rowOff>342900</xdr:rowOff>
    </xdr:to>
    <xdr:pic>
      <xdr:nvPicPr>
        <xdr:cNvPr id="6" name="Resi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1975" y="57150"/>
          <a:ext cx="3810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439133</xdr:colOff>
      <xdr:row>47</xdr:row>
      <xdr:rowOff>147450</xdr:rowOff>
    </xdr:from>
    <xdr:to>
      <xdr:col>7</xdr:col>
      <xdr:colOff>552450</xdr:colOff>
      <xdr:row>65</xdr:row>
      <xdr:rowOff>124571</xdr:rowOff>
    </xdr:to>
    <xdr:graphicFrame macro="">
      <xdr:nvGraphicFramePr>
        <xdr:cNvPr id="8" name="Grafik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67</xdr:row>
      <xdr:rowOff>191339</xdr:rowOff>
    </xdr:from>
    <xdr:to>
      <xdr:col>7</xdr:col>
      <xdr:colOff>523875</xdr:colOff>
      <xdr:row>89</xdr:row>
      <xdr:rowOff>130968</xdr:rowOff>
    </xdr:to>
    <xdr:graphicFrame macro="">
      <xdr:nvGraphicFramePr>
        <xdr:cNvPr id="10" name="Grafik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19236</xdr:colOff>
      <xdr:row>26</xdr:row>
      <xdr:rowOff>0</xdr:rowOff>
    </xdr:from>
    <xdr:to>
      <xdr:col>7</xdr:col>
      <xdr:colOff>523875</xdr:colOff>
      <xdr:row>46</xdr:row>
      <xdr:rowOff>168088</xdr:rowOff>
    </xdr:to>
    <xdr:graphicFrame macro="">
      <xdr:nvGraphicFramePr>
        <xdr:cNvPr id="11" name="Grafik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0.00728</cdr:x>
      <cdr:y>0.01403</cdr:y>
    </cdr:from>
    <cdr:to>
      <cdr:x>0.06187</cdr:x>
      <cdr:y>0.09304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0.00726</cdr:x>
      <cdr:y>0.01319</cdr:y>
    </cdr:from>
    <cdr:to>
      <cdr:x>0.06174</cdr:x>
      <cdr:y>0.08745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0.00728</cdr:x>
      <cdr:y>0.01205</cdr:y>
    </cdr:from>
    <cdr:to>
      <cdr:x>0.06189</cdr:x>
      <cdr:y>0.07989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5"/>
  <sheetViews>
    <sheetView showGridLines="0" tabSelected="1" zoomScale="80" zoomScaleNormal="80" zoomScaleSheetLayoutView="100" workbookViewId="0">
      <selection activeCell="O6" sqref="O6"/>
    </sheetView>
  </sheetViews>
  <sheetFormatPr defaultRowHeight="15.75" x14ac:dyDescent="0.25"/>
  <cols>
    <col min="1" max="1" width="6.85546875" customWidth="1"/>
    <col min="2" max="2" width="9.140625" style="1"/>
    <col min="3" max="3" width="28.42578125" style="1" customWidth="1"/>
    <col min="4" max="4" width="24.28515625" style="1" customWidth="1"/>
    <col min="5" max="5" width="19.7109375" style="1" customWidth="1"/>
    <col min="6" max="6" width="24.28515625" style="1" customWidth="1"/>
    <col min="7" max="7" width="15.7109375" style="2" customWidth="1"/>
    <col min="9" max="9" width="21.42578125" customWidth="1"/>
  </cols>
  <sheetData>
    <row r="1" spans="2:7" ht="16.5" thickBot="1" x14ac:dyDescent="0.3"/>
    <row r="2" spans="2:7" ht="30.75" customHeight="1" thickBot="1" x14ac:dyDescent="0.3">
      <c r="B2" s="21" t="s">
        <v>6</v>
      </c>
      <c r="C2" s="22"/>
      <c r="D2" s="22"/>
      <c r="E2" s="22"/>
      <c r="F2" s="22"/>
      <c r="G2" s="23"/>
    </row>
    <row r="3" spans="2:7" ht="21" customHeight="1" thickBot="1" x14ac:dyDescent="0.3">
      <c r="B3" s="17"/>
      <c r="C3" s="18"/>
      <c r="D3" s="18"/>
      <c r="E3" s="18"/>
      <c r="F3" s="18"/>
      <c r="G3" s="9" t="s">
        <v>7</v>
      </c>
    </row>
    <row r="4" spans="2:7" ht="63.75" thickBot="1" x14ac:dyDescent="0.3">
      <c r="B4" s="3" t="s">
        <v>0</v>
      </c>
      <c r="C4" s="4" t="s">
        <v>1</v>
      </c>
      <c r="D4" s="4" t="s">
        <v>2</v>
      </c>
      <c r="E4" s="4" t="s">
        <v>3</v>
      </c>
      <c r="F4" s="4" t="s">
        <v>4</v>
      </c>
      <c r="G4" s="5" t="s">
        <v>5</v>
      </c>
    </row>
    <row r="5" spans="2:7" x14ac:dyDescent="0.25">
      <c r="B5" s="6">
        <v>1995</v>
      </c>
      <c r="C5" s="10">
        <v>3.27</v>
      </c>
      <c r="D5" s="10">
        <v>1.36</v>
      </c>
      <c r="E5" s="10">
        <f t="shared" ref="E5:E20" si="0">C5+D5</f>
        <v>4.63</v>
      </c>
      <c r="F5" s="10">
        <v>3.82</v>
      </c>
      <c r="G5" s="11">
        <f>(C5+D5+F5)</f>
        <v>8.4499999999999993</v>
      </c>
    </row>
    <row r="6" spans="2:7" x14ac:dyDescent="0.25">
      <c r="B6" s="7">
        <v>1996</v>
      </c>
      <c r="C6" s="12">
        <v>3.35</v>
      </c>
      <c r="D6" s="12">
        <v>1.47</v>
      </c>
      <c r="E6" s="12">
        <f t="shared" si="0"/>
        <v>4.82</v>
      </c>
      <c r="F6" s="12">
        <v>4</v>
      </c>
      <c r="G6" s="13">
        <f t="shared" ref="G6:G22" si="1">(C6+D6+F6)</f>
        <v>8.82</v>
      </c>
    </row>
    <row r="7" spans="2:7" x14ac:dyDescent="0.25">
      <c r="B7" s="7">
        <v>1997</v>
      </c>
      <c r="C7" s="12">
        <v>3.46</v>
      </c>
      <c r="D7" s="12">
        <v>1.6</v>
      </c>
      <c r="E7" s="12">
        <f t="shared" si="0"/>
        <v>5.0600000000000005</v>
      </c>
      <c r="F7" s="12">
        <v>4.2699999999999996</v>
      </c>
      <c r="G7" s="13">
        <f t="shared" si="1"/>
        <v>9.33</v>
      </c>
    </row>
    <row r="8" spans="2:7" x14ac:dyDescent="0.25">
      <c r="B8" s="7">
        <v>1998</v>
      </c>
      <c r="C8" s="12">
        <v>3.51</v>
      </c>
      <c r="D8" s="12">
        <v>1.72</v>
      </c>
      <c r="E8" s="12">
        <f t="shared" si="0"/>
        <v>5.2299999999999995</v>
      </c>
      <c r="F8" s="12">
        <v>4.42</v>
      </c>
      <c r="G8" s="13">
        <f t="shared" si="1"/>
        <v>9.6499999999999986</v>
      </c>
    </row>
    <row r="9" spans="2:7" x14ac:dyDescent="0.25">
      <c r="B9" s="7">
        <v>1999</v>
      </c>
      <c r="C9" s="12">
        <v>3.58</v>
      </c>
      <c r="D9" s="12">
        <v>1.91</v>
      </c>
      <c r="E9" s="12">
        <f t="shared" si="0"/>
        <v>5.49</v>
      </c>
      <c r="F9" s="12">
        <v>4.5599999999999996</v>
      </c>
      <c r="G9" s="13">
        <f t="shared" si="1"/>
        <v>10.050000000000001</v>
      </c>
    </row>
    <row r="10" spans="2:7" x14ac:dyDescent="0.25">
      <c r="B10" s="7">
        <v>2000</v>
      </c>
      <c r="C10" s="12">
        <v>3.64</v>
      </c>
      <c r="D10" s="12">
        <v>2.0299999999999998</v>
      </c>
      <c r="E10" s="12">
        <f t="shared" si="0"/>
        <v>5.67</v>
      </c>
      <c r="F10" s="12">
        <v>4.68</v>
      </c>
      <c r="G10" s="13">
        <f t="shared" si="1"/>
        <v>10.35</v>
      </c>
    </row>
    <row r="11" spans="2:7" x14ac:dyDescent="0.25">
      <c r="B11" s="7">
        <v>2001</v>
      </c>
      <c r="C11" s="12">
        <v>3.75</v>
      </c>
      <c r="D11" s="12">
        <v>2.09</v>
      </c>
      <c r="E11" s="12">
        <f t="shared" si="0"/>
        <v>5.84</v>
      </c>
      <c r="F11" s="12">
        <v>4.83</v>
      </c>
      <c r="G11" s="13">
        <f t="shared" si="1"/>
        <v>10.67</v>
      </c>
    </row>
    <row r="12" spans="2:7" x14ac:dyDescent="0.25">
      <c r="B12" s="7">
        <v>2002</v>
      </c>
      <c r="C12" s="12">
        <v>3.83</v>
      </c>
      <c r="D12" s="12">
        <v>2.16</v>
      </c>
      <c r="E12" s="12">
        <f t="shared" si="0"/>
        <v>5.99</v>
      </c>
      <c r="F12" s="12">
        <v>5</v>
      </c>
      <c r="G12" s="13">
        <f t="shared" si="1"/>
        <v>10.99</v>
      </c>
    </row>
    <row r="13" spans="2:7" x14ac:dyDescent="0.25">
      <c r="B13" s="7">
        <v>2003</v>
      </c>
      <c r="C13" s="12">
        <v>3.8450000000000002</v>
      </c>
      <c r="D13" s="12">
        <v>2.2280000000000002</v>
      </c>
      <c r="E13" s="12">
        <f t="shared" si="0"/>
        <v>6.0730000000000004</v>
      </c>
      <c r="F13" s="12">
        <v>5.1029999999999998</v>
      </c>
      <c r="G13" s="13">
        <f t="shared" si="1"/>
        <v>11.176</v>
      </c>
    </row>
    <row r="14" spans="2:7" x14ac:dyDescent="0.25">
      <c r="B14" s="7">
        <v>2004</v>
      </c>
      <c r="C14" s="12">
        <v>3.9049999999999998</v>
      </c>
      <c r="D14" s="12">
        <v>2.3380000000000001</v>
      </c>
      <c r="E14" s="12">
        <f t="shared" si="0"/>
        <v>6.2430000000000003</v>
      </c>
      <c r="F14" s="12">
        <v>5.2</v>
      </c>
      <c r="G14" s="13">
        <f t="shared" si="1"/>
        <v>11.443000000000001</v>
      </c>
    </row>
    <row r="15" spans="2:7" x14ac:dyDescent="0.25">
      <c r="B15" s="7">
        <v>2005</v>
      </c>
      <c r="C15" s="12">
        <v>3.9209999999999998</v>
      </c>
      <c r="D15" s="12">
        <v>2.4060000000000001</v>
      </c>
      <c r="E15" s="12">
        <f t="shared" si="0"/>
        <v>6.327</v>
      </c>
      <c r="F15" s="12">
        <v>5.2949999999999999</v>
      </c>
      <c r="G15" s="13">
        <f t="shared" si="1"/>
        <v>11.622</v>
      </c>
    </row>
    <row r="16" spans="2:7" x14ac:dyDescent="0.25">
      <c r="B16" s="7">
        <v>2006</v>
      </c>
      <c r="C16" s="12">
        <v>3.9780000000000002</v>
      </c>
      <c r="D16" s="12">
        <v>2.5329999999999999</v>
      </c>
      <c r="E16" s="12">
        <f t="shared" si="0"/>
        <v>6.5110000000000001</v>
      </c>
      <c r="F16" s="12">
        <v>5.3710000000000004</v>
      </c>
      <c r="G16" s="13">
        <f t="shared" si="1"/>
        <v>11.882000000000001</v>
      </c>
    </row>
    <row r="17" spans="2:7" x14ac:dyDescent="0.25">
      <c r="B17" s="7">
        <v>2007</v>
      </c>
      <c r="C17" s="12">
        <v>4.0140000000000002</v>
      </c>
      <c r="D17" s="12">
        <v>2.6190000000000002</v>
      </c>
      <c r="E17" s="12">
        <f t="shared" si="0"/>
        <v>6.6330000000000009</v>
      </c>
      <c r="F17" s="12">
        <v>5.4630000000000001</v>
      </c>
      <c r="G17" s="13">
        <f t="shared" si="1"/>
        <v>12.096</v>
      </c>
    </row>
    <row r="18" spans="2:7" x14ac:dyDescent="0.25">
      <c r="B18" s="7">
        <v>2008</v>
      </c>
      <c r="C18" s="12">
        <v>4.0350000000000001</v>
      </c>
      <c r="D18" s="12">
        <v>2.7370000000000001</v>
      </c>
      <c r="E18" s="12">
        <f t="shared" si="0"/>
        <v>6.7720000000000002</v>
      </c>
      <c r="F18" s="12">
        <v>5.6470000000000002</v>
      </c>
      <c r="G18" s="13">
        <f t="shared" si="1"/>
        <v>12.419</v>
      </c>
    </row>
    <row r="19" spans="2:7" x14ac:dyDescent="0.25">
      <c r="B19" s="7">
        <v>2009</v>
      </c>
      <c r="C19" s="12">
        <v>4.0640000000000001</v>
      </c>
      <c r="D19" s="12">
        <v>2.9710000000000001</v>
      </c>
      <c r="E19" s="12">
        <f t="shared" si="0"/>
        <v>7.0350000000000001</v>
      </c>
      <c r="F19" s="12">
        <v>5.7759999999999998</v>
      </c>
      <c r="G19" s="13">
        <f t="shared" si="1"/>
        <v>12.811</v>
      </c>
    </row>
    <row r="20" spans="2:7" x14ac:dyDescent="0.25">
      <c r="B20" s="7">
        <v>2010</v>
      </c>
      <c r="C20" s="12">
        <v>4.0910000000000002</v>
      </c>
      <c r="D20" s="12">
        <v>3.1059999999999999</v>
      </c>
      <c r="E20" s="12">
        <f t="shared" si="0"/>
        <v>7.1970000000000001</v>
      </c>
      <c r="F20" s="12">
        <v>5.9409999999999998</v>
      </c>
      <c r="G20" s="13">
        <f t="shared" si="1"/>
        <v>13.138</v>
      </c>
    </row>
    <row r="21" spans="2:7" x14ac:dyDescent="0.25">
      <c r="B21" s="7">
        <v>2011</v>
      </c>
      <c r="C21" s="12">
        <v>4.1139999999999999</v>
      </c>
      <c r="D21" s="12">
        <v>3.43</v>
      </c>
      <c r="E21" s="12">
        <v>7.54</v>
      </c>
      <c r="F21" s="12">
        <v>6.016</v>
      </c>
      <c r="G21" s="13">
        <f t="shared" si="1"/>
        <v>13.56</v>
      </c>
    </row>
    <row r="22" spans="2:7" x14ac:dyDescent="0.25">
      <c r="B22" s="7">
        <v>2012</v>
      </c>
      <c r="C22" s="12">
        <v>4.1139999999999999</v>
      </c>
      <c r="D22" s="12">
        <v>3.43</v>
      </c>
      <c r="E22" s="12">
        <v>7.5439999999999996</v>
      </c>
      <c r="F22" s="12">
        <v>6.016</v>
      </c>
      <c r="G22" s="13">
        <f t="shared" si="1"/>
        <v>13.56</v>
      </c>
    </row>
    <row r="23" spans="2:7" x14ac:dyDescent="0.25">
      <c r="B23" s="8">
        <v>2013</v>
      </c>
      <c r="C23" s="14">
        <v>3.8210000000000002</v>
      </c>
      <c r="D23" s="14">
        <v>4.968</v>
      </c>
      <c r="E23" s="14">
        <v>8.7899999999999991</v>
      </c>
      <c r="F23" s="14">
        <v>4.7720000000000002</v>
      </c>
      <c r="G23" s="15">
        <f>SUM(C23+D23+F23)</f>
        <v>13.561</v>
      </c>
    </row>
    <row r="24" spans="2:7" x14ac:dyDescent="0.25">
      <c r="B24" s="8">
        <v>2014</v>
      </c>
      <c r="C24" s="14">
        <v>3.78</v>
      </c>
      <c r="D24" s="14">
        <v>5.4</v>
      </c>
      <c r="E24" s="14">
        <v>9.18</v>
      </c>
      <c r="F24" s="14">
        <v>5.42</v>
      </c>
      <c r="G24" s="15">
        <v>14.6</v>
      </c>
    </row>
    <row r="25" spans="2:7" ht="16.5" thickBot="1" x14ac:dyDescent="0.3">
      <c r="B25" s="16">
        <v>2015</v>
      </c>
      <c r="C25" s="19">
        <v>3.78</v>
      </c>
      <c r="D25" s="19">
        <v>5.4</v>
      </c>
      <c r="E25" s="19">
        <v>9.18</v>
      </c>
      <c r="F25" s="19">
        <v>5.42</v>
      </c>
      <c r="G25" s="20">
        <v>14.6</v>
      </c>
    </row>
  </sheetData>
  <mergeCells count="1">
    <mergeCell ref="B2:G2"/>
  </mergeCells>
  <pageMargins left="0.70866141732283472" right="0.70866141732283472" top="0.74803149606299213" bottom="0.74803149606299213" header="0.31496062992125984" footer="0.31496062992125984"/>
  <pageSetup paperSize="9" scale="63" fitToHeight="0" orientation="portrait" r:id="rId1"/>
  <rowBreaks count="1" manualBreakCount="1">
    <brk id="66" max="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3.2.Tablo</vt:lpstr>
      <vt:lpstr>'3.2.Tablo'!Yazdırma_Alanı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2016-11-29T07:26:28Z</dcterms:modified>
</cp:coreProperties>
</file>