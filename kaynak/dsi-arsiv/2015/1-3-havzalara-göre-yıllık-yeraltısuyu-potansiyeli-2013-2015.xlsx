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12495" tabRatio="793"/>
  </bookViews>
  <sheets>
    <sheet name="1.3.Tablo" sheetId="1" r:id="rId1"/>
  </sheets>
  <definedNames>
    <definedName name="_xlnm.Print_Area" localSheetId="0">'1.3.Tablo'!$A$1:$J$55</definedName>
  </definedNames>
  <calcPr calcId="152511"/>
</workbook>
</file>

<file path=xl/calcChain.xml><?xml version="1.0" encoding="utf-8"?>
<calcChain xmlns="http://schemas.openxmlformats.org/spreadsheetml/2006/main">
  <c r="E30" i="1" l="1"/>
  <c r="D30" i="1"/>
</calcChain>
</file>

<file path=xl/sharedStrings.xml><?xml version="1.0" encoding="utf-8"?>
<sst xmlns="http://schemas.openxmlformats.org/spreadsheetml/2006/main" count="36" uniqueCount="36">
  <si>
    <t>Havza Adı</t>
  </si>
  <si>
    <t>Havza No</t>
  </si>
  <si>
    <t>Toplam</t>
  </si>
  <si>
    <t xml:space="preserve">Marmara </t>
  </si>
  <si>
    <t xml:space="preserve">Susurluk </t>
  </si>
  <si>
    <t xml:space="preserve">Kuzey Ege </t>
  </si>
  <si>
    <t xml:space="preserve">Gediz </t>
  </si>
  <si>
    <t xml:space="preserve">Küçük Menderes </t>
  </si>
  <si>
    <t xml:space="preserve">Büyük Menderes </t>
  </si>
  <si>
    <t xml:space="preserve">Batı Akdeniz </t>
  </si>
  <si>
    <t xml:space="preserve">Antalya </t>
  </si>
  <si>
    <t xml:space="preserve">Burdur Göller </t>
  </si>
  <si>
    <t xml:space="preserve">Akarçay </t>
  </si>
  <si>
    <t xml:space="preserve">Sakarya </t>
  </si>
  <si>
    <t xml:space="preserve">Batı Karadeniz </t>
  </si>
  <si>
    <t xml:space="preserve">Yeşilırmak </t>
  </si>
  <si>
    <t xml:space="preserve">Kızılırmak </t>
  </si>
  <si>
    <t xml:space="preserve">Konya Kapalı </t>
  </si>
  <si>
    <t xml:space="preserve">Doğu Akdeniz </t>
  </si>
  <si>
    <t xml:space="preserve">Seyhan </t>
  </si>
  <si>
    <t xml:space="preserve">Asi </t>
  </si>
  <si>
    <t xml:space="preserve">Ceyhan </t>
  </si>
  <si>
    <t xml:space="preserve">Doğu Karadeniz </t>
  </si>
  <si>
    <t xml:space="preserve">Çoruh </t>
  </si>
  <si>
    <t xml:space="preserve">Aras </t>
  </si>
  <si>
    <t xml:space="preserve">Van Gölü </t>
  </si>
  <si>
    <t xml:space="preserve">Fırat - Dicle </t>
  </si>
  <si>
    <r>
      <t>(hm</t>
    </r>
    <r>
      <rPr>
        <b/>
        <sz val="12"/>
        <rFont val="Arial Tur"/>
        <charset val="162"/>
      </rPr>
      <t>³</t>
    </r>
    <r>
      <rPr>
        <b/>
        <sz val="12"/>
        <rFont val="Times New Roman"/>
        <family val="1"/>
        <charset val="162"/>
      </rPr>
      <t>/yıl)</t>
    </r>
  </si>
  <si>
    <t>Yeraltısuyu İşletme Rezervi (2014)</t>
  </si>
  <si>
    <t>Yeraltısuyu Beslenimi (2014)</t>
  </si>
  <si>
    <t>Meriç - Ergene</t>
  </si>
  <si>
    <t>Yeraltısuyu Beslenimi (2015)</t>
  </si>
  <si>
    <t>Yeraltısuyu İşletme Rezervi (2015)</t>
  </si>
  <si>
    <t>1.3.Havzalara Göre Yıllık Yeraltısuyu Potansiyeli, 2013-2015</t>
  </si>
  <si>
    <t>Yeraltısuyu Beslenimi (2013)</t>
  </si>
  <si>
    <t>Yeraltısuyu İşletme Rezervi (2013)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</si>
</sst>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Times New Roman"/>
      <family val="1"/>
      <charset val="162"/>
    </font>
    <font>
      <sz val="12"/>
      <color theme="1"/>
      <name val="Times New Roman"/>
      <family val="1"/>
      <charset val="162"/>
    </font>
    <font>
      <sz val="12"/>
      <name val="Times New Roman"/>
      <family val="1"/>
      <charset val="162"/>
    </font>
    <font>
      <b/>
      <sz val="12"/>
      <name val="Times New Roman"/>
      <family val="1"/>
      <charset val="162"/>
    </font>
    <font>
      <b/>
      <sz val="12"/>
      <name val="Arial Tur"/>
      <charset val="162"/>
    </font>
    <font>
      <sz val="11"/>
      <name val="Times New Roman"/>
      <family val="1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5" fillId="2" borderId="4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3" fillId="0" borderId="0" xfId="0" applyFont="1" applyBorder="1"/>
    <xf numFmtId="0" fontId="7" fillId="2" borderId="0" xfId="0" applyFont="1" applyFill="1" applyBorder="1" applyAlignment="1">
      <alignment horizontal="left"/>
    </xf>
    <xf numFmtId="0" fontId="5" fillId="2" borderId="10" xfId="0" applyFont="1" applyFill="1" applyBorder="1" applyAlignment="1">
      <alignment horizontal="center" vertical="center" wrapText="1"/>
    </xf>
    <xf numFmtId="164" fontId="3" fillId="0" borderId="11" xfId="0" applyNumberFormat="1" applyFont="1" applyBorder="1"/>
    <xf numFmtId="164" fontId="3" fillId="0" borderId="16" xfId="0" applyNumberFormat="1" applyFont="1" applyBorder="1" applyAlignment="1">
      <alignment horizontal="right" vertical="center"/>
    </xf>
    <xf numFmtId="164" fontId="3" fillId="0" borderId="17" xfId="0" applyNumberFormat="1" applyFont="1" applyBorder="1"/>
    <xf numFmtId="164" fontId="3" fillId="0" borderId="18" xfId="0" applyNumberFormat="1" applyFont="1" applyBorder="1" applyAlignment="1">
      <alignment horizontal="right" vertical="center"/>
    </xf>
    <xf numFmtId="164" fontId="3" fillId="0" borderId="19" xfId="0" applyNumberFormat="1" applyFont="1" applyBorder="1" applyAlignment="1">
      <alignment horizontal="right" vertical="center"/>
    </xf>
    <xf numFmtId="164" fontId="3" fillId="0" borderId="7" xfId="0" applyNumberFormat="1" applyFont="1" applyBorder="1" applyAlignment="1">
      <alignment horizontal="right" vertical="center"/>
    </xf>
    <xf numFmtId="164" fontId="4" fillId="2" borderId="20" xfId="0" applyNumberFormat="1" applyFont="1" applyFill="1" applyBorder="1" applyAlignment="1">
      <alignment horizontal="right"/>
    </xf>
    <xf numFmtId="164" fontId="4" fillId="2" borderId="21" xfId="0" applyNumberFormat="1" applyFont="1" applyFill="1" applyBorder="1" applyAlignment="1">
      <alignment horizontal="right"/>
    </xf>
    <xf numFmtId="164" fontId="4" fillId="2" borderId="22" xfId="0" applyNumberFormat="1" applyFont="1" applyFill="1" applyBorder="1" applyAlignment="1">
      <alignment horizontal="right"/>
    </xf>
    <xf numFmtId="0" fontId="3" fillId="3" borderId="23" xfId="0" applyFont="1" applyFill="1" applyBorder="1" applyAlignment="1">
      <alignment vertical="center"/>
    </xf>
    <xf numFmtId="0" fontId="3" fillId="3" borderId="8" xfId="0" applyFont="1" applyFill="1" applyBorder="1" applyAlignment="1">
      <alignment vertical="center"/>
    </xf>
    <xf numFmtId="0" fontId="4" fillId="2" borderId="8" xfId="0" applyFont="1" applyFill="1" applyBorder="1"/>
    <xf numFmtId="0" fontId="5" fillId="2" borderId="1" xfId="0" applyFont="1" applyFill="1" applyBorder="1" applyAlignment="1">
      <alignment horizontal="right"/>
    </xf>
    <xf numFmtId="0" fontId="5" fillId="2" borderId="13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right" vertical="center"/>
    </xf>
    <xf numFmtId="0" fontId="5" fillId="2" borderId="3" xfId="0" applyFont="1" applyFill="1" applyBorder="1" applyAlignment="1">
      <alignment horizontal="right" vertical="center"/>
    </xf>
    <xf numFmtId="164" fontId="4" fillId="2" borderId="24" xfId="0" applyNumberFormat="1" applyFont="1" applyFill="1" applyBorder="1" applyAlignment="1">
      <alignment horizontal="right"/>
    </xf>
    <xf numFmtId="164" fontId="4" fillId="2" borderId="16" xfId="0" applyNumberFormat="1" applyFont="1" applyFill="1" applyBorder="1" applyAlignment="1">
      <alignment horizontal="right"/>
    </xf>
    <xf numFmtId="164" fontId="4" fillId="2" borderId="25" xfId="0" applyNumberFormat="1" applyFont="1" applyFill="1" applyBorder="1" applyAlignment="1">
      <alignment horizontal="right"/>
    </xf>
    <xf numFmtId="164" fontId="4" fillId="2" borderId="18" xfId="0" applyNumberFormat="1" applyFont="1" applyFill="1" applyBorder="1" applyAlignment="1">
      <alignment horizontal="right"/>
    </xf>
    <xf numFmtId="0" fontId="3" fillId="3" borderId="9" xfId="0" applyFont="1" applyFill="1" applyBorder="1" applyAlignment="1">
      <alignment vertical="center"/>
    </xf>
    <xf numFmtId="164" fontId="4" fillId="2" borderId="27" xfId="0" applyNumberFormat="1" applyFont="1" applyFill="1" applyBorder="1" applyAlignment="1">
      <alignment horizontal="right"/>
    </xf>
    <xf numFmtId="164" fontId="3" fillId="0" borderId="26" xfId="0" applyNumberFormat="1" applyFont="1" applyBorder="1"/>
    <xf numFmtId="164" fontId="3" fillId="0" borderId="25" xfId="0" applyNumberFormat="1" applyFont="1" applyBorder="1" applyAlignment="1">
      <alignment horizontal="right" vertical="center"/>
    </xf>
    <xf numFmtId="164" fontId="3" fillId="0" borderId="28" xfId="0" applyNumberFormat="1" applyFont="1" applyBorder="1" applyAlignment="1">
      <alignment horizontal="right" vertical="center"/>
    </xf>
    <xf numFmtId="164" fontId="5" fillId="2" borderId="29" xfId="0" applyNumberFormat="1" applyFont="1" applyFill="1" applyBorder="1" applyAlignment="1">
      <alignment horizontal="right"/>
    </xf>
    <xf numFmtId="0" fontId="5" fillId="2" borderId="3" xfId="0" applyFont="1" applyFill="1" applyBorder="1" applyAlignment="1">
      <alignment horizontal="right"/>
    </xf>
    <xf numFmtId="0" fontId="5" fillId="2" borderId="15" xfId="0" quotePrefix="1" applyNumberFormat="1" applyFont="1" applyFill="1" applyBorder="1" applyAlignment="1">
      <alignment horizontal="center"/>
    </xf>
    <xf numFmtId="0" fontId="5" fillId="2" borderId="8" xfId="0" quotePrefix="1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1.3.Havzalara Göre Yıllık Yeraltısuyu Potansiyeli(hm</a:t>
            </a:r>
            <a:r>
              <a:rPr lang="tr-TR" baseline="30000"/>
              <a:t>3</a:t>
            </a:r>
            <a:r>
              <a:rPr lang="tr-TR"/>
              <a:t>/yıl), 2014-2015</a:t>
            </a:r>
            <a:endParaRPr lang="en-US"/>
          </a:p>
        </c:rich>
      </c:tx>
      <c:layout>
        <c:manualLayout>
          <c:xMode val="edge"/>
          <c:yMode val="edge"/>
          <c:x val="0.23079947189517616"/>
          <c:y val="0"/>
        </c:manualLayout>
      </c:layout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9527559055118116E-2"/>
          <c:y val="0.11188950391102102"/>
          <c:w val="0.8985945922666686"/>
          <c:h val="0.65699799901249967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'1.3.Tablo'!$G$4</c:f>
              <c:strCache>
                <c:ptCount val="1"/>
                <c:pt idx="0">
                  <c:v>Yeraltısuyu İşletme Rezervi (2014)</c:v>
                </c:pt>
              </c:strCache>
            </c:strRef>
          </c:tx>
          <c:invertIfNegative val="0"/>
          <c:dLbls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'1.3.Tablo'!$C$5:$C$29</c:f>
              <c:strCache>
                <c:ptCount val="25"/>
                <c:pt idx="0">
                  <c:v>Meriç - Ergene</c:v>
                </c:pt>
                <c:pt idx="1">
                  <c:v>Marmara </c:v>
                </c:pt>
                <c:pt idx="2">
                  <c:v>Susurluk </c:v>
                </c:pt>
                <c:pt idx="3">
                  <c:v>Kuzey Ege </c:v>
                </c:pt>
                <c:pt idx="4">
                  <c:v>Gediz </c:v>
                </c:pt>
                <c:pt idx="5">
                  <c:v>Küçük Menderes </c:v>
                </c:pt>
                <c:pt idx="6">
                  <c:v>Büyük Menderes </c:v>
                </c:pt>
                <c:pt idx="7">
                  <c:v>Batı Akdeniz </c:v>
                </c:pt>
                <c:pt idx="8">
                  <c:v>Antalya </c:v>
                </c:pt>
                <c:pt idx="9">
                  <c:v>Burdur Göller </c:v>
                </c:pt>
                <c:pt idx="10">
                  <c:v>Akarçay </c:v>
                </c:pt>
                <c:pt idx="11">
                  <c:v>Sakarya </c:v>
                </c:pt>
                <c:pt idx="12">
                  <c:v>Batı Karadeniz </c:v>
                </c:pt>
                <c:pt idx="13">
                  <c:v>Yeşilırmak </c:v>
                </c:pt>
                <c:pt idx="14">
                  <c:v>Kızılırmak </c:v>
                </c:pt>
                <c:pt idx="15">
                  <c:v>Konya Kapalı </c:v>
                </c:pt>
                <c:pt idx="16">
                  <c:v>Doğu Akdeniz </c:v>
                </c:pt>
                <c:pt idx="17">
                  <c:v>Seyhan </c:v>
                </c:pt>
                <c:pt idx="18">
                  <c:v>Asi </c:v>
                </c:pt>
                <c:pt idx="19">
                  <c:v>Ceyhan </c:v>
                </c:pt>
                <c:pt idx="20">
                  <c:v>Fırat - Dicle </c:v>
                </c:pt>
                <c:pt idx="21">
                  <c:v>Doğu Karadeniz </c:v>
                </c:pt>
                <c:pt idx="22">
                  <c:v>Çoruh </c:v>
                </c:pt>
                <c:pt idx="23">
                  <c:v>Aras </c:v>
                </c:pt>
                <c:pt idx="24">
                  <c:v>Van Gölü </c:v>
                </c:pt>
              </c:strCache>
            </c:strRef>
          </c:cat>
          <c:val>
            <c:numRef>
              <c:f>'1.3.Tablo'!$G$5:$G$29</c:f>
              <c:numCache>
                <c:formatCode>0.0</c:formatCode>
                <c:ptCount val="25"/>
                <c:pt idx="0">
                  <c:v>498.2</c:v>
                </c:pt>
                <c:pt idx="1">
                  <c:v>210.65600000000001</c:v>
                </c:pt>
                <c:pt idx="2">
                  <c:v>585.90899999999999</c:v>
                </c:pt>
                <c:pt idx="3">
                  <c:v>212.93999999999997</c:v>
                </c:pt>
                <c:pt idx="4">
                  <c:v>248</c:v>
                </c:pt>
                <c:pt idx="5">
                  <c:v>179.2</c:v>
                </c:pt>
                <c:pt idx="6">
                  <c:v>761.50000000000011</c:v>
                </c:pt>
                <c:pt idx="7">
                  <c:v>316.67</c:v>
                </c:pt>
                <c:pt idx="8">
                  <c:v>526.29999999999995</c:v>
                </c:pt>
                <c:pt idx="9">
                  <c:v>89.5</c:v>
                </c:pt>
                <c:pt idx="10">
                  <c:v>345.4</c:v>
                </c:pt>
                <c:pt idx="11">
                  <c:v>1545.1699999999998</c:v>
                </c:pt>
                <c:pt idx="12">
                  <c:v>438.47</c:v>
                </c:pt>
                <c:pt idx="13">
                  <c:v>872.81000000000006</c:v>
                </c:pt>
                <c:pt idx="14">
                  <c:v>1762.8900000000003</c:v>
                </c:pt>
                <c:pt idx="15">
                  <c:v>2418.54</c:v>
                </c:pt>
                <c:pt idx="16">
                  <c:v>70.5</c:v>
                </c:pt>
                <c:pt idx="17">
                  <c:v>749.89</c:v>
                </c:pt>
                <c:pt idx="18">
                  <c:v>289.5</c:v>
                </c:pt>
                <c:pt idx="19">
                  <c:v>533.45000000000005</c:v>
                </c:pt>
                <c:pt idx="20">
                  <c:v>3571.1710000000003</c:v>
                </c:pt>
                <c:pt idx="21">
                  <c:v>490.88</c:v>
                </c:pt>
                <c:pt idx="22">
                  <c:v>20</c:v>
                </c:pt>
                <c:pt idx="23">
                  <c:v>312.09999999999997</c:v>
                </c:pt>
                <c:pt idx="24">
                  <c:v>148.23699999999999</c:v>
                </c:pt>
              </c:numCache>
            </c:numRef>
          </c:val>
        </c:ser>
        <c:ser>
          <c:idx val="1"/>
          <c:order val="1"/>
          <c:tx>
            <c:strRef>
              <c:f>'1.3.Tablo'!$I$4</c:f>
              <c:strCache>
                <c:ptCount val="1"/>
                <c:pt idx="0">
                  <c:v>Yeraltısuyu İşletme Rezervi (2015)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>
                  <a:defRPr>
                    <a:solidFill>
                      <a:srgbClr val="C0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'1.3.Tablo'!$I$5:$I$29</c:f>
              <c:numCache>
                <c:formatCode>0.0</c:formatCode>
                <c:ptCount val="25"/>
                <c:pt idx="0">
                  <c:v>498.2</c:v>
                </c:pt>
                <c:pt idx="1">
                  <c:v>210.7</c:v>
                </c:pt>
                <c:pt idx="2">
                  <c:v>585.9</c:v>
                </c:pt>
                <c:pt idx="3">
                  <c:v>212.9</c:v>
                </c:pt>
                <c:pt idx="4">
                  <c:v>866.9</c:v>
                </c:pt>
                <c:pt idx="5">
                  <c:v>179.2</c:v>
                </c:pt>
                <c:pt idx="6">
                  <c:v>761.5</c:v>
                </c:pt>
                <c:pt idx="7">
                  <c:v>316.7</c:v>
                </c:pt>
                <c:pt idx="8">
                  <c:v>576.29999999999995</c:v>
                </c:pt>
                <c:pt idx="9">
                  <c:v>89.5</c:v>
                </c:pt>
                <c:pt idx="10">
                  <c:v>345.4</c:v>
                </c:pt>
                <c:pt idx="11">
                  <c:v>1545.2</c:v>
                </c:pt>
                <c:pt idx="12">
                  <c:v>607.6</c:v>
                </c:pt>
                <c:pt idx="13">
                  <c:v>872.8</c:v>
                </c:pt>
                <c:pt idx="14">
                  <c:v>1762.9</c:v>
                </c:pt>
                <c:pt idx="15">
                  <c:v>2023</c:v>
                </c:pt>
                <c:pt idx="16">
                  <c:v>70.5</c:v>
                </c:pt>
                <c:pt idx="17">
                  <c:v>749.9</c:v>
                </c:pt>
                <c:pt idx="18">
                  <c:v>289.5</c:v>
                </c:pt>
                <c:pt idx="19">
                  <c:v>533.5</c:v>
                </c:pt>
                <c:pt idx="20">
                  <c:v>3763.7</c:v>
                </c:pt>
                <c:pt idx="21">
                  <c:v>490.9</c:v>
                </c:pt>
                <c:pt idx="22">
                  <c:v>20</c:v>
                </c:pt>
                <c:pt idx="23">
                  <c:v>294.39999999999998</c:v>
                </c:pt>
                <c:pt idx="24">
                  <c:v>148.19999999999999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11784432"/>
        <c:axId val="311785552"/>
        <c:axId val="0"/>
      </c:bar3DChart>
      <c:catAx>
        <c:axId val="311784432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20000"/>
                  <a:lumOff val="80000"/>
                </a:schemeClr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tr-TR"/>
          </a:p>
        </c:txPr>
        <c:crossAx val="311785552"/>
        <c:crosses val="autoZero"/>
        <c:auto val="1"/>
        <c:lblAlgn val="ctr"/>
        <c:lblOffset val="100"/>
        <c:noMultiLvlLbl val="0"/>
      </c:catAx>
      <c:valAx>
        <c:axId val="311785552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tr-TR"/>
          </a:p>
        </c:txPr>
        <c:crossAx val="311784432"/>
        <c:crosses val="autoZero"/>
        <c:crossBetween val="between"/>
        <c:minorUnit val="10"/>
      </c:valAx>
    </c:plotArea>
    <c:legend>
      <c:legendPos val="t"/>
      <c:legendEntry>
        <c:idx val="0"/>
        <c:txPr>
          <a:bodyPr/>
          <a:lstStyle/>
          <a:p>
            <a:pPr>
              <a:defRPr b="1">
                <a:solidFill>
                  <a:schemeClr val="tx2">
                    <a:lumMod val="60000"/>
                    <a:lumOff val="40000"/>
                  </a:schemeClr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b="1">
                <a:solidFill>
                  <a:srgbClr val="C00000"/>
                </a:solidFill>
              </a:defRPr>
            </a:pPr>
            <a:endParaRPr lang="tr-TR"/>
          </a:p>
        </c:txPr>
      </c:legendEntry>
      <c:layout>
        <c:manualLayout>
          <c:xMode val="edge"/>
          <c:yMode val="edge"/>
          <c:x val="0.2877409478258704"/>
          <c:y val="6.8659902048326435E-2"/>
          <c:w val="0.41071300945017764"/>
          <c:h val="4.9712476662066726E-2"/>
        </c:manualLayout>
      </c:layout>
      <c:overlay val="0"/>
      <c:txPr>
        <a:bodyPr/>
        <a:lstStyle/>
        <a:p>
          <a:pPr>
            <a:defRPr b="1"/>
          </a:pPr>
          <a:endParaRPr lang="tr-TR"/>
        </a:p>
      </c:txPr>
    </c:legend>
    <c:plotVisOnly val="1"/>
    <c:dispBlanksAs val="gap"/>
    <c:showDLblsOverMax val="0"/>
  </c:chart>
  <c:spPr>
    <a:ln>
      <a:solidFill>
        <a:srgbClr val="00B050"/>
      </a:solidFill>
    </a:ln>
  </c:sp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1533525</xdr:colOff>
      <xdr:row>1</xdr:row>
      <xdr:rowOff>22225</xdr:rowOff>
    </xdr:from>
    <xdr:to>
      <xdr:col>9</xdr:col>
      <xdr:colOff>381000</xdr:colOff>
      <xdr:row>1</xdr:row>
      <xdr:rowOff>307975</xdr:rowOff>
    </xdr:to>
    <xdr:pic>
      <xdr:nvPicPr>
        <xdr:cNvPr id="3" name="Resim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91600" y="231775"/>
          <a:ext cx="38100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30</xdr:row>
      <xdr:rowOff>200024</xdr:rowOff>
    </xdr:from>
    <xdr:to>
      <xdr:col>9</xdr:col>
      <xdr:colOff>1828800</xdr:colOff>
      <xdr:row>54</xdr:row>
      <xdr:rowOff>19049</xdr:rowOff>
    </xdr:to>
    <xdr:graphicFrame macro="">
      <xdr:nvGraphicFramePr>
        <xdr:cNvPr id="5" name="Grafik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0.01063</cdr:x>
      <cdr:y>0.01473</cdr:y>
    </cdr:from>
    <cdr:to>
      <cdr:x>0.06614</cdr:x>
      <cdr:y>0.08872</cdr:y>
    </cdr:to>
    <cdr:pic>
      <cdr:nvPicPr>
        <cdr:cNvPr id="2" name="Resim 1"/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 xmlns:a="http://schemas.openxmlformats.org/drawingml/2006/main">
          <a:fillRect/>
        </a:stretch>
      </cdr:blipFill>
      <cdr:spPr>
        <a:xfrm xmlns:a="http://schemas.openxmlformats.org/drawingml/2006/main">
          <a:off x="90352" y="68047"/>
          <a:ext cx="471624" cy="341824"/>
        </a:xfrm>
        <a:prstGeom xmlns:a="http://schemas.openxmlformats.org/drawingml/2006/main" prst="rect">
          <a:avLst/>
        </a:prstGeom>
      </cdr:spPr>
    </cdr:pic>
  </cdr:relSizeAnchor>
</c:userShape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30"/>
  <sheetViews>
    <sheetView showGridLines="0" tabSelected="1" zoomScale="60" zoomScaleNormal="60" zoomScaleSheetLayoutView="100" workbookViewId="0">
      <selection activeCell="U45" sqref="U45"/>
    </sheetView>
  </sheetViews>
  <sheetFormatPr defaultRowHeight="15.75" x14ac:dyDescent="0.25"/>
  <cols>
    <col min="1" max="1" width="3.28515625" customWidth="1"/>
    <col min="2" max="2" width="12.28515625" style="3" customWidth="1"/>
    <col min="3" max="5" width="23.140625" style="3" customWidth="1"/>
    <col min="6" max="6" width="23.85546875" style="3" customWidth="1"/>
    <col min="7" max="7" width="27.5703125" style="3" customWidth="1"/>
    <col min="8" max="8" width="21.7109375" customWidth="1"/>
    <col min="9" max="9" width="22.85546875" style="1" customWidth="1"/>
    <col min="10" max="10" width="29.28515625" style="1" customWidth="1"/>
  </cols>
  <sheetData>
    <row r="1" spans="2:11" ht="16.5" thickBot="1" x14ac:dyDescent="0.3"/>
    <row r="2" spans="2:11" ht="32.25" customHeight="1" thickBot="1" x14ac:dyDescent="0.3">
      <c r="B2" s="28" t="s">
        <v>33</v>
      </c>
      <c r="C2" s="29"/>
      <c r="D2" s="29"/>
      <c r="E2" s="29"/>
      <c r="F2" s="29"/>
      <c r="G2" s="29"/>
      <c r="H2" s="29"/>
      <c r="I2" s="30"/>
      <c r="K2" s="2"/>
    </row>
    <row r="3" spans="2:11" ht="21" customHeight="1" thickBot="1" x14ac:dyDescent="0.3">
      <c r="B3" s="10"/>
      <c r="C3" s="11"/>
      <c r="D3" s="11"/>
      <c r="E3" s="11"/>
      <c r="F3" s="31" t="s">
        <v>27</v>
      </c>
      <c r="G3" s="31"/>
      <c r="H3" s="31"/>
      <c r="I3" s="32"/>
      <c r="K3" s="2"/>
    </row>
    <row r="4" spans="2:11" ht="48" customHeight="1" thickBot="1" x14ac:dyDescent="0.3">
      <c r="B4" s="4" t="s">
        <v>1</v>
      </c>
      <c r="C4" s="5" t="s">
        <v>0</v>
      </c>
      <c r="D4" s="6" t="s">
        <v>34</v>
      </c>
      <c r="E4" s="14" t="s">
        <v>35</v>
      </c>
      <c r="F4" s="6" t="s">
        <v>29</v>
      </c>
      <c r="G4" s="14" t="s">
        <v>28</v>
      </c>
      <c r="H4" s="6" t="s">
        <v>31</v>
      </c>
      <c r="I4" s="7" t="s">
        <v>32</v>
      </c>
      <c r="J4" s="12"/>
    </row>
    <row r="5" spans="2:11" x14ac:dyDescent="0.25">
      <c r="B5" s="44">
        <v>1</v>
      </c>
      <c r="C5" s="24" t="s">
        <v>30</v>
      </c>
      <c r="D5" s="33">
        <v>507.7</v>
      </c>
      <c r="E5" s="36">
        <v>498.2</v>
      </c>
      <c r="F5" s="21">
        <v>507.7</v>
      </c>
      <c r="G5" s="17">
        <v>498.2</v>
      </c>
      <c r="H5" s="18">
        <v>507.7</v>
      </c>
      <c r="I5" s="19">
        <v>498.2</v>
      </c>
      <c r="J5" s="13"/>
    </row>
    <row r="6" spans="2:11" x14ac:dyDescent="0.25">
      <c r="B6" s="45">
        <v>2</v>
      </c>
      <c r="C6" s="25" t="s">
        <v>3</v>
      </c>
      <c r="D6" s="34">
        <v>241.7</v>
      </c>
      <c r="E6" s="34">
        <v>210.65600000000001</v>
      </c>
      <c r="F6" s="22">
        <v>241.7</v>
      </c>
      <c r="G6" s="15">
        <v>210.65600000000001</v>
      </c>
      <c r="H6" s="16">
        <v>241.7</v>
      </c>
      <c r="I6" s="20">
        <v>210.7</v>
      </c>
      <c r="J6" s="13"/>
    </row>
    <row r="7" spans="2:11" x14ac:dyDescent="0.25">
      <c r="B7" s="45">
        <v>3</v>
      </c>
      <c r="C7" s="25" t="s">
        <v>4</v>
      </c>
      <c r="D7" s="34">
        <v>740.2</v>
      </c>
      <c r="E7" s="34">
        <v>585.10900000000004</v>
      </c>
      <c r="F7" s="22">
        <v>780.4</v>
      </c>
      <c r="G7" s="15">
        <v>585.90899999999999</v>
      </c>
      <c r="H7" s="16">
        <v>780.4</v>
      </c>
      <c r="I7" s="20">
        <v>585.9</v>
      </c>
      <c r="J7" s="13"/>
    </row>
    <row r="8" spans="2:11" x14ac:dyDescent="0.25">
      <c r="B8" s="45">
        <v>4</v>
      </c>
      <c r="C8" s="25" t="s">
        <v>5</v>
      </c>
      <c r="D8" s="34">
        <v>289.39999999999998</v>
      </c>
      <c r="E8" s="34">
        <v>212.93999999999997</v>
      </c>
      <c r="F8" s="22">
        <v>289.39999999999998</v>
      </c>
      <c r="G8" s="15">
        <v>212.93999999999997</v>
      </c>
      <c r="H8" s="16">
        <v>289.39999999999998</v>
      </c>
      <c r="I8" s="20">
        <v>212.9</v>
      </c>
      <c r="J8" s="13"/>
    </row>
    <row r="9" spans="2:11" x14ac:dyDescent="0.25">
      <c r="B9" s="45">
        <v>5</v>
      </c>
      <c r="C9" s="25" t="s">
        <v>6</v>
      </c>
      <c r="D9" s="34">
        <v>555</v>
      </c>
      <c r="E9" s="34">
        <v>248</v>
      </c>
      <c r="F9" s="22">
        <v>555</v>
      </c>
      <c r="G9" s="15">
        <v>248</v>
      </c>
      <c r="H9" s="16">
        <v>1155.9000000000001</v>
      </c>
      <c r="I9" s="20">
        <v>866.9</v>
      </c>
      <c r="J9" s="13"/>
    </row>
    <row r="10" spans="2:11" x14ac:dyDescent="0.25">
      <c r="B10" s="45">
        <v>6</v>
      </c>
      <c r="C10" s="25" t="s">
        <v>7</v>
      </c>
      <c r="D10" s="34">
        <v>179.2</v>
      </c>
      <c r="E10" s="34">
        <v>179.2</v>
      </c>
      <c r="F10" s="23">
        <v>179.2</v>
      </c>
      <c r="G10" s="15">
        <v>179.2</v>
      </c>
      <c r="H10" s="16">
        <v>179.2</v>
      </c>
      <c r="I10" s="20">
        <v>179.2</v>
      </c>
      <c r="J10" s="13"/>
    </row>
    <row r="11" spans="2:11" x14ac:dyDescent="0.25">
      <c r="B11" s="45">
        <v>7</v>
      </c>
      <c r="C11" s="25" t="s">
        <v>8</v>
      </c>
      <c r="D11" s="34">
        <v>1045.4000000000001</v>
      </c>
      <c r="E11" s="34">
        <v>761.50000000000011</v>
      </c>
      <c r="F11" s="22">
        <v>1045.4000000000001</v>
      </c>
      <c r="G11" s="15">
        <v>761.50000000000011</v>
      </c>
      <c r="H11" s="16">
        <v>1045.4000000000001</v>
      </c>
      <c r="I11" s="20">
        <v>761.5</v>
      </c>
      <c r="J11" s="13"/>
    </row>
    <row r="12" spans="2:11" x14ac:dyDescent="0.25">
      <c r="B12" s="45">
        <v>8</v>
      </c>
      <c r="C12" s="25" t="s">
        <v>9</v>
      </c>
      <c r="D12" s="34">
        <v>473.2</v>
      </c>
      <c r="E12" s="34">
        <v>316.67</v>
      </c>
      <c r="F12" s="22">
        <v>473.2</v>
      </c>
      <c r="G12" s="15">
        <v>316.67</v>
      </c>
      <c r="H12" s="16">
        <v>473.2</v>
      </c>
      <c r="I12" s="20">
        <v>316.7</v>
      </c>
      <c r="J12" s="13"/>
    </row>
    <row r="13" spans="2:11" x14ac:dyDescent="0.25">
      <c r="B13" s="45">
        <v>9</v>
      </c>
      <c r="C13" s="25" t="s">
        <v>10</v>
      </c>
      <c r="D13" s="34">
        <v>1093.3</v>
      </c>
      <c r="E13" s="34">
        <v>526.29999999999995</v>
      </c>
      <c r="F13" s="22">
        <v>1093.3</v>
      </c>
      <c r="G13" s="15">
        <v>526.29999999999995</v>
      </c>
      <c r="H13" s="16">
        <v>1164.68</v>
      </c>
      <c r="I13" s="20">
        <v>576.29999999999995</v>
      </c>
      <c r="J13" s="13"/>
    </row>
    <row r="14" spans="2:11" x14ac:dyDescent="0.25">
      <c r="B14" s="8">
        <v>10</v>
      </c>
      <c r="C14" s="25" t="s">
        <v>11</v>
      </c>
      <c r="D14" s="34">
        <v>106.4</v>
      </c>
      <c r="E14" s="34">
        <v>89.5</v>
      </c>
      <c r="F14" s="22">
        <v>106.4</v>
      </c>
      <c r="G14" s="15">
        <v>89.5</v>
      </c>
      <c r="H14" s="16">
        <v>106.4</v>
      </c>
      <c r="I14" s="20">
        <v>89.5</v>
      </c>
      <c r="J14" s="13"/>
    </row>
    <row r="15" spans="2:11" x14ac:dyDescent="0.25">
      <c r="B15" s="8">
        <v>11</v>
      </c>
      <c r="C15" s="25" t="s">
        <v>12</v>
      </c>
      <c r="D15" s="34">
        <v>187.6</v>
      </c>
      <c r="E15" s="34">
        <v>182.1</v>
      </c>
      <c r="F15" s="23">
        <v>345.4</v>
      </c>
      <c r="G15" s="15">
        <v>345.4</v>
      </c>
      <c r="H15" s="16">
        <v>345.4</v>
      </c>
      <c r="I15" s="20">
        <v>345.4</v>
      </c>
      <c r="J15" s="13"/>
    </row>
    <row r="16" spans="2:11" x14ac:dyDescent="0.25">
      <c r="B16" s="8">
        <v>12</v>
      </c>
      <c r="C16" s="25" t="s">
        <v>13</v>
      </c>
      <c r="D16" s="34">
        <v>2197.1</v>
      </c>
      <c r="E16" s="34">
        <v>1545.1699999999998</v>
      </c>
      <c r="F16" s="22">
        <v>2197.1</v>
      </c>
      <c r="G16" s="15">
        <v>1545.1699999999998</v>
      </c>
      <c r="H16" s="16">
        <v>2197.1</v>
      </c>
      <c r="I16" s="20">
        <v>1545.2</v>
      </c>
      <c r="J16" s="13"/>
    </row>
    <row r="17" spans="2:10" x14ac:dyDescent="0.25">
      <c r="B17" s="8">
        <v>13</v>
      </c>
      <c r="C17" s="25" t="s">
        <v>14</v>
      </c>
      <c r="D17" s="34">
        <v>442</v>
      </c>
      <c r="E17" s="34">
        <v>438.47</v>
      </c>
      <c r="F17" s="22">
        <v>442</v>
      </c>
      <c r="G17" s="15">
        <v>438.47</v>
      </c>
      <c r="H17" s="16">
        <v>641.23</v>
      </c>
      <c r="I17" s="20">
        <v>607.6</v>
      </c>
      <c r="J17" s="13"/>
    </row>
    <row r="18" spans="2:10" x14ac:dyDescent="0.25">
      <c r="B18" s="8">
        <v>14</v>
      </c>
      <c r="C18" s="25" t="s">
        <v>15</v>
      </c>
      <c r="D18" s="34">
        <v>907.2</v>
      </c>
      <c r="E18" s="34">
        <v>872.81000000000006</v>
      </c>
      <c r="F18" s="22">
        <v>907.2</v>
      </c>
      <c r="G18" s="15">
        <v>872.81000000000006</v>
      </c>
      <c r="H18" s="16">
        <v>907.2</v>
      </c>
      <c r="I18" s="20">
        <v>872.8</v>
      </c>
      <c r="J18" s="13"/>
    </row>
    <row r="19" spans="2:10" x14ac:dyDescent="0.25">
      <c r="B19" s="8">
        <v>15</v>
      </c>
      <c r="C19" s="25" t="s">
        <v>16</v>
      </c>
      <c r="D19" s="34">
        <v>2003.1</v>
      </c>
      <c r="E19" s="34">
        <v>1762.8900000000003</v>
      </c>
      <c r="F19" s="22">
        <v>2003.1</v>
      </c>
      <c r="G19" s="15">
        <v>1762.8900000000003</v>
      </c>
      <c r="H19" s="16">
        <v>2003.1</v>
      </c>
      <c r="I19" s="20">
        <v>1762.9</v>
      </c>
      <c r="J19" s="13"/>
    </row>
    <row r="20" spans="2:10" x14ac:dyDescent="0.25">
      <c r="B20" s="8">
        <v>16</v>
      </c>
      <c r="C20" s="25" t="s">
        <v>17</v>
      </c>
      <c r="D20" s="34">
        <v>2524.8000000000002</v>
      </c>
      <c r="E20" s="34">
        <v>2418.54</v>
      </c>
      <c r="F20" s="23">
        <v>2524.8000000000002</v>
      </c>
      <c r="G20" s="15">
        <v>2418.54</v>
      </c>
      <c r="H20" s="16">
        <v>2597</v>
      </c>
      <c r="I20" s="20">
        <v>2023</v>
      </c>
      <c r="J20" s="13"/>
    </row>
    <row r="21" spans="2:10" x14ac:dyDescent="0.25">
      <c r="B21" s="8">
        <v>17</v>
      </c>
      <c r="C21" s="25" t="s">
        <v>18</v>
      </c>
      <c r="D21" s="34">
        <v>96.5</v>
      </c>
      <c r="E21" s="34">
        <v>70.5</v>
      </c>
      <c r="F21" s="22">
        <v>96.5</v>
      </c>
      <c r="G21" s="15">
        <v>70.5</v>
      </c>
      <c r="H21" s="16">
        <v>96.5</v>
      </c>
      <c r="I21" s="20">
        <v>70.5</v>
      </c>
      <c r="J21" s="13"/>
    </row>
    <row r="22" spans="2:10" x14ac:dyDescent="0.25">
      <c r="B22" s="8">
        <v>18</v>
      </c>
      <c r="C22" s="25" t="s">
        <v>19</v>
      </c>
      <c r="D22" s="34">
        <v>838.8</v>
      </c>
      <c r="E22" s="34">
        <v>749.89</v>
      </c>
      <c r="F22" s="22">
        <v>838.8</v>
      </c>
      <c r="G22" s="15">
        <v>749.89</v>
      </c>
      <c r="H22" s="16">
        <v>838.8</v>
      </c>
      <c r="I22" s="20">
        <v>749.9</v>
      </c>
      <c r="J22" s="13"/>
    </row>
    <row r="23" spans="2:10" x14ac:dyDescent="0.25">
      <c r="B23" s="8">
        <v>19</v>
      </c>
      <c r="C23" s="25" t="s">
        <v>20</v>
      </c>
      <c r="D23" s="34">
        <v>393.2</v>
      </c>
      <c r="E23" s="34">
        <v>289.5</v>
      </c>
      <c r="F23" s="22">
        <v>393.2</v>
      </c>
      <c r="G23" s="15">
        <v>289.5</v>
      </c>
      <c r="H23" s="16">
        <v>393.2</v>
      </c>
      <c r="I23" s="20">
        <v>289.5</v>
      </c>
      <c r="J23" s="13"/>
    </row>
    <row r="24" spans="2:10" x14ac:dyDescent="0.25">
      <c r="B24" s="8">
        <v>20</v>
      </c>
      <c r="C24" s="25" t="s">
        <v>21</v>
      </c>
      <c r="D24" s="34">
        <v>985.3</v>
      </c>
      <c r="E24" s="34">
        <v>533.45000000000005</v>
      </c>
      <c r="F24" s="22">
        <v>985.3</v>
      </c>
      <c r="G24" s="15">
        <v>533.45000000000005</v>
      </c>
      <c r="H24" s="16">
        <v>985.3</v>
      </c>
      <c r="I24" s="20">
        <v>533.5</v>
      </c>
      <c r="J24" s="13"/>
    </row>
    <row r="25" spans="2:10" x14ac:dyDescent="0.25">
      <c r="B25" s="8">
        <v>21</v>
      </c>
      <c r="C25" s="26" t="s">
        <v>26</v>
      </c>
      <c r="D25" s="34">
        <v>4737</v>
      </c>
      <c r="E25" s="34">
        <v>3571.1710000000003</v>
      </c>
      <c r="F25" s="23">
        <v>4737</v>
      </c>
      <c r="G25" s="15">
        <v>3571.1710000000003</v>
      </c>
      <c r="H25" s="16">
        <v>4994.8</v>
      </c>
      <c r="I25" s="20">
        <v>3763.7</v>
      </c>
      <c r="J25" s="13"/>
    </row>
    <row r="26" spans="2:10" x14ac:dyDescent="0.25">
      <c r="B26" s="8">
        <v>22</v>
      </c>
      <c r="C26" s="25" t="s">
        <v>22</v>
      </c>
      <c r="D26" s="34">
        <v>490.9</v>
      </c>
      <c r="E26" s="34">
        <v>490.88</v>
      </c>
      <c r="F26" s="22">
        <v>490.9</v>
      </c>
      <c r="G26" s="15">
        <v>490.88</v>
      </c>
      <c r="H26" s="16">
        <v>490.9</v>
      </c>
      <c r="I26" s="20">
        <v>490.9</v>
      </c>
      <c r="J26" s="13"/>
    </row>
    <row r="27" spans="2:10" x14ac:dyDescent="0.25">
      <c r="B27" s="8">
        <v>23</v>
      </c>
      <c r="C27" s="25" t="s">
        <v>23</v>
      </c>
      <c r="D27" s="34">
        <v>30</v>
      </c>
      <c r="E27" s="34">
        <v>20</v>
      </c>
      <c r="F27" s="22">
        <v>30</v>
      </c>
      <c r="G27" s="15">
        <v>20</v>
      </c>
      <c r="H27" s="16">
        <v>30</v>
      </c>
      <c r="I27" s="20">
        <v>20</v>
      </c>
      <c r="J27" s="13"/>
    </row>
    <row r="28" spans="2:10" x14ac:dyDescent="0.25">
      <c r="B28" s="8">
        <v>24</v>
      </c>
      <c r="C28" s="25" t="s">
        <v>24</v>
      </c>
      <c r="D28" s="34">
        <v>304</v>
      </c>
      <c r="E28" s="34">
        <v>230.39999999999998</v>
      </c>
      <c r="F28" s="22">
        <v>406.1</v>
      </c>
      <c r="G28" s="15">
        <v>312.09999999999997</v>
      </c>
      <c r="H28" s="16">
        <v>388.54</v>
      </c>
      <c r="I28" s="20">
        <v>294.39999999999998</v>
      </c>
      <c r="J28" s="13"/>
    </row>
    <row r="29" spans="2:10" ht="16.5" thickBot="1" x14ac:dyDescent="0.3">
      <c r="B29" s="9">
        <v>25</v>
      </c>
      <c r="C29" s="37" t="s">
        <v>25</v>
      </c>
      <c r="D29" s="35">
        <v>179.2</v>
      </c>
      <c r="E29" s="35">
        <v>148.23699999999999</v>
      </c>
      <c r="F29" s="38">
        <v>179.2</v>
      </c>
      <c r="G29" s="39">
        <v>148.23699999999999</v>
      </c>
      <c r="H29" s="40">
        <v>179.2</v>
      </c>
      <c r="I29" s="41">
        <v>148.19999999999999</v>
      </c>
      <c r="J29" s="13"/>
    </row>
    <row r="30" spans="2:10" ht="16.5" thickBot="1" x14ac:dyDescent="0.3">
      <c r="B30" s="27" t="s">
        <v>2</v>
      </c>
      <c r="C30" s="43"/>
      <c r="D30" s="42">
        <f>SUM(D5:D29)</f>
        <v>21548.2</v>
      </c>
      <c r="E30" s="42">
        <f>SUM(E5:E29)</f>
        <v>16952.083000000002</v>
      </c>
      <c r="F30" s="42">
        <v>21848.3</v>
      </c>
      <c r="G30" s="42">
        <v>17197.883000000002</v>
      </c>
      <c r="H30" s="42">
        <v>23032.25</v>
      </c>
      <c r="I30" s="42">
        <v>17815.3</v>
      </c>
    </row>
  </sheetData>
  <mergeCells count="3">
    <mergeCell ref="B30:C30"/>
    <mergeCell ref="B2:I2"/>
    <mergeCell ref="F3:I3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1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1.3.Tablo</vt:lpstr>
      <vt:lpstr>'1.3.Tablo'!Yazdırma_Alanı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2016-12-13T07:50:35Z</dcterms:modified>
</cp:coreProperties>
</file>