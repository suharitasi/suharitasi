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BuÇalışmaKitabı" defaultThemeVersion="124226"/>
  <bookViews>
    <workbookView xWindow="240" yWindow="165" windowWidth="14805" windowHeight="7950"/>
  </bookViews>
  <sheets>
    <sheet name="2.4.3.Tablo" sheetId="3" r:id="rId1"/>
    <sheet name="Sayfa1" sheetId="4" state="hidden" r:id="rId2"/>
  </sheets>
  <definedNames>
    <definedName name="_xlnm._FilterDatabase" localSheetId="0" hidden="1">'2.4.3.Tablo'!$B$5:$L$86</definedName>
    <definedName name="_xlnm.Print_Titles" localSheetId="0">'2.4.3.Tablo'!$2:$4</definedName>
  </definedNames>
  <calcPr calcId="152511"/>
</workbook>
</file>

<file path=xl/calcChain.xml><?xml version="1.0" encoding="utf-8"?>
<calcChain xmlns="http://schemas.openxmlformats.org/spreadsheetml/2006/main">
  <c r="D10" i="3" l="1"/>
  <c r="E10" i="3"/>
  <c r="F10" i="3"/>
  <c r="D13" i="3"/>
  <c r="E13" i="3"/>
  <c r="F13" i="3"/>
  <c r="D14" i="3"/>
  <c r="E14" i="3"/>
  <c r="F14" i="3"/>
  <c r="D15" i="3"/>
  <c r="E15" i="3"/>
  <c r="F15" i="3"/>
  <c r="D16" i="3"/>
  <c r="E16" i="3"/>
  <c r="F16" i="3"/>
  <c r="D17" i="3"/>
  <c r="E17" i="3"/>
  <c r="F17" i="3"/>
  <c r="D18" i="3"/>
  <c r="E18" i="3"/>
  <c r="F18" i="3"/>
  <c r="D20" i="3"/>
  <c r="E20" i="3"/>
  <c r="F20" i="3"/>
  <c r="D21" i="3"/>
  <c r="E21" i="3"/>
  <c r="F21" i="3"/>
  <c r="D22" i="3"/>
  <c r="E22" i="3"/>
  <c r="F22" i="3"/>
  <c r="D23" i="3"/>
  <c r="E23" i="3"/>
  <c r="F23" i="3"/>
  <c r="D24" i="3"/>
  <c r="E24" i="3"/>
  <c r="F24" i="3"/>
  <c r="D25" i="3"/>
  <c r="E25" i="3"/>
  <c r="F25" i="3"/>
  <c r="D26" i="3"/>
  <c r="E26" i="3"/>
  <c r="F26" i="3"/>
  <c r="D28" i="3"/>
  <c r="E28" i="3"/>
  <c r="F28" i="3"/>
  <c r="D29" i="3"/>
  <c r="E29" i="3"/>
  <c r="F29" i="3"/>
  <c r="D30" i="3"/>
  <c r="E30" i="3"/>
  <c r="F30" i="3"/>
  <c r="D31" i="3"/>
  <c r="E31" i="3"/>
  <c r="F31" i="3"/>
  <c r="D32" i="3"/>
  <c r="E32" i="3"/>
  <c r="F32" i="3"/>
  <c r="D34" i="3"/>
  <c r="E34" i="3"/>
  <c r="F34" i="3"/>
  <c r="D35" i="3"/>
  <c r="E35" i="3"/>
  <c r="F35" i="3"/>
  <c r="D36" i="3"/>
  <c r="E36" i="3"/>
  <c r="F36" i="3"/>
  <c r="D37" i="3"/>
  <c r="E37" i="3"/>
  <c r="F37" i="3"/>
  <c r="D38" i="3"/>
  <c r="E38" i="3"/>
  <c r="F38" i="3"/>
  <c r="D39" i="3"/>
  <c r="E39" i="3"/>
  <c r="F39" i="3"/>
  <c r="D41" i="3"/>
  <c r="E41" i="3"/>
  <c r="F41" i="3"/>
  <c r="D42" i="3"/>
  <c r="E42" i="3"/>
  <c r="F42" i="3"/>
  <c r="D43" i="3"/>
  <c r="E43" i="3"/>
  <c r="F43" i="3"/>
  <c r="D44" i="3"/>
  <c r="E44" i="3"/>
  <c r="F44" i="3"/>
  <c r="D45" i="3"/>
  <c r="E45" i="3"/>
  <c r="F45" i="3"/>
  <c r="D46" i="3"/>
  <c r="E46" i="3"/>
  <c r="F46" i="3"/>
  <c r="D47" i="3"/>
  <c r="E47" i="3"/>
  <c r="F47" i="3"/>
  <c r="D48" i="3"/>
  <c r="E48" i="3"/>
  <c r="F48" i="3"/>
  <c r="D49" i="3"/>
  <c r="E49" i="3"/>
  <c r="F49" i="3"/>
  <c r="D50" i="3"/>
  <c r="E50" i="3"/>
  <c r="F50" i="3"/>
  <c r="D51" i="3"/>
  <c r="E51" i="3"/>
  <c r="F51" i="3"/>
  <c r="D52" i="3"/>
  <c r="E52" i="3"/>
  <c r="F52" i="3"/>
  <c r="D53" i="3"/>
  <c r="E53" i="3"/>
  <c r="F53" i="3"/>
  <c r="D54" i="3"/>
  <c r="E54" i="3"/>
  <c r="F54" i="3"/>
  <c r="D55" i="3"/>
  <c r="E55" i="3"/>
  <c r="F55" i="3"/>
  <c r="D56" i="3"/>
  <c r="E56" i="3"/>
  <c r="F56" i="3"/>
  <c r="D57" i="3"/>
  <c r="E57" i="3"/>
  <c r="F57" i="3"/>
  <c r="D58" i="3"/>
  <c r="E58" i="3"/>
  <c r="F58" i="3"/>
  <c r="D59" i="3"/>
  <c r="E59" i="3"/>
  <c r="F59" i="3"/>
  <c r="D60" i="3"/>
  <c r="E60" i="3"/>
  <c r="F60" i="3"/>
  <c r="D61" i="3"/>
  <c r="E61" i="3"/>
  <c r="F61" i="3"/>
  <c r="D62" i="3"/>
  <c r="E62" i="3"/>
  <c r="F62" i="3"/>
  <c r="D63" i="3"/>
  <c r="E63" i="3"/>
  <c r="F63" i="3"/>
  <c r="D64" i="3"/>
  <c r="E64" i="3"/>
  <c r="F64" i="3"/>
  <c r="D65" i="3"/>
  <c r="E65" i="3"/>
  <c r="F65" i="3"/>
  <c r="D67" i="3"/>
  <c r="E67" i="3"/>
  <c r="F67" i="3"/>
  <c r="D68" i="3"/>
  <c r="E68" i="3"/>
  <c r="F68" i="3"/>
  <c r="D69" i="3"/>
  <c r="E69" i="3"/>
  <c r="F69" i="3"/>
  <c r="D70" i="3"/>
  <c r="E70" i="3"/>
  <c r="F70" i="3"/>
  <c r="D71" i="3"/>
  <c r="E71" i="3"/>
  <c r="F71" i="3"/>
  <c r="D72" i="3"/>
  <c r="E72" i="3"/>
  <c r="F72" i="3"/>
  <c r="D73" i="3"/>
  <c r="E73" i="3"/>
  <c r="F73" i="3"/>
  <c r="D74" i="3"/>
  <c r="E74" i="3"/>
  <c r="F74" i="3"/>
  <c r="D75" i="3"/>
  <c r="E75" i="3"/>
  <c r="F75" i="3"/>
  <c r="D76" i="3"/>
  <c r="E76" i="3"/>
  <c r="F76" i="3"/>
  <c r="D77" i="3"/>
  <c r="E77" i="3"/>
  <c r="F77" i="3"/>
  <c r="D78" i="3"/>
  <c r="E78" i="3"/>
  <c r="F78" i="3"/>
  <c r="D79" i="3"/>
  <c r="E79" i="3"/>
  <c r="F79" i="3"/>
  <c r="D81" i="3"/>
  <c r="E81" i="3"/>
  <c r="F81" i="3"/>
  <c r="D82" i="3"/>
  <c r="E82" i="3"/>
  <c r="F82" i="3"/>
  <c r="D83" i="3"/>
  <c r="E83" i="3"/>
  <c r="F83" i="3"/>
  <c r="D84" i="3"/>
  <c r="E84" i="3"/>
  <c r="F84" i="3"/>
  <c r="D85" i="3"/>
  <c r="E85" i="3"/>
  <c r="F85" i="3"/>
  <c r="D86" i="3"/>
  <c r="E86" i="3"/>
  <c r="F86" i="3"/>
  <c r="E5" i="3"/>
  <c r="F5" i="3"/>
  <c r="D5" i="3"/>
  <c r="M42" i="4" l="1"/>
  <c r="K42" i="4"/>
  <c r="J60" i="3" l="1"/>
  <c r="J14" i="3"/>
  <c r="D84" i="4" l="1"/>
  <c r="E84" i="4"/>
  <c r="F84" i="4"/>
  <c r="C84" i="4"/>
  <c r="J5" i="3" l="1"/>
  <c r="G5" i="3"/>
  <c r="L5" i="3" l="1"/>
  <c r="K5" i="3"/>
  <c r="H5" i="3" l="1"/>
  <c r="I5" i="3"/>
</calcChain>
</file>

<file path=xl/sharedStrings.xml><?xml version="1.0" encoding="utf-8"?>
<sst xmlns="http://schemas.openxmlformats.org/spreadsheetml/2006/main" count="555" uniqueCount="179">
  <si>
    <t>IBBS(1) - 3. Düzey</t>
  </si>
  <si>
    <t>İli</t>
  </si>
  <si>
    <t>TR621</t>
  </si>
  <si>
    <t>Adana</t>
  </si>
  <si>
    <t>TR321</t>
  </si>
  <si>
    <t>Aydın</t>
  </si>
  <si>
    <t>TR331</t>
  </si>
  <si>
    <t>Manisa</t>
  </si>
  <si>
    <t>TR715</t>
  </si>
  <si>
    <t>Kırşehir</t>
  </si>
  <si>
    <t>TRA12</t>
  </si>
  <si>
    <t>Erzincan</t>
  </si>
  <si>
    <t>TR832</t>
  </si>
  <si>
    <t>Tokat</t>
  </si>
  <si>
    <t>TRA23</t>
  </si>
  <si>
    <t>Iğdır</t>
  </si>
  <si>
    <t>TR510</t>
  </si>
  <si>
    <t>Ankara</t>
  </si>
  <si>
    <t>TRC31</t>
  </si>
  <si>
    <t>Mardin</t>
  </si>
  <si>
    <t>TRB21</t>
  </si>
  <si>
    <t>Van</t>
  </si>
  <si>
    <t>TR903</t>
  </si>
  <si>
    <t>Giresun</t>
  </si>
  <si>
    <t>TR612</t>
  </si>
  <si>
    <t>Isparta</t>
  </si>
  <si>
    <t>TR412</t>
  </si>
  <si>
    <t>Eskişehir</t>
  </si>
  <si>
    <t>TRB12</t>
  </si>
  <si>
    <t>Elazığ</t>
  </si>
  <si>
    <t>TRA22</t>
  </si>
  <si>
    <t>Kars</t>
  </si>
  <si>
    <t>TR831</t>
  </si>
  <si>
    <t>Samsun</t>
  </si>
  <si>
    <t>TR633</t>
  </si>
  <si>
    <t>Osmaniye</t>
  </si>
  <si>
    <t>TR611</t>
  </si>
  <si>
    <t>Antalya</t>
  </si>
  <si>
    <t>TRC22</t>
  </si>
  <si>
    <t>Diyarbakır</t>
  </si>
  <si>
    <t>TR711</t>
  </si>
  <si>
    <t>Kırıkkale</t>
  </si>
  <si>
    <t>TR613</t>
  </si>
  <si>
    <t>Burdur</t>
  </si>
  <si>
    <t>TR722</t>
  </si>
  <si>
    <t>Sivas</t>
  </si>
  <si>
    <t>TRC21</t>
  </si>
  <si>
    <t>Şanlıurfa</t>
  </si>
  <si>
    <t>TR632</t>
  </si>
  <si>
    <t>Kahramanmaraş</t>
  </si>
  <si>
    <t>TR622</t>
  </si>
  <si>
    <t>Mersin</t>
  </si>
  <si>
    <t>TR322</t>
  </si>
  <si>
    <t>Denizli</t>
  </si>
  <si>
    <t>TRA11</t>
  </si>
  <si>
    <t>Erzurum</t>
  </si>
  <si>
    <t>TRB13</t>
  </si>
  <si>
    <t>Bingöl</t>
  </si>
  <si>
    <t>TRC32</t>
  </si>
  <si>
    <t>Batman</t>
  </si>
  <si>
    <t>TR906</t>
  </si>
  <si>
    <t>Gümüşhane</t>
  </si>
  <si>
    <t>TRB14</t>
  </si>
  <si>
    <t>Tunceli</t>
  </si>
  <si>
    <t>TR905</t>
  </si>
  <si>
    <t>Artvin</t>
  </si>
  <si>
    <t>TR833</t>
  </si>
  <si>
    <t>Çorum</t>
  </si>
  <si>
    <t>TR323</t>
  </si>
  <si>
    <t>Muğla</t>
  </si>
  <si>
    <t>TRB22</t>
  </si>
  <si>
    <t>Muş</t>
  </si>
  <si>
    <t>TR522</t>
  </si>
  <si>
    <t>Karaman</t>
  </si>
  <si>
    <t>TR221</t>
  </si>
  <si>
    <t>Balıkesir</t>
  </si>
  <si>
    <t>TR834</t>
  </si>
  <si>
    <t>Amasya</t>
  </si>
  <si>
    <t>TRB11</t>
  </si>
  <si>
    <t>Malatya</t>
  </si>
  <si>
    <t>TRC33</t>
  </si>
  <si>
    <t>Şırnak</t>
  </si>
  <si>
    <t>(1) İstatistiki Bölge Birimleri Sınıflaması.</t>
  </si>
  <si>
    <t>TR</t>
  </si>
  <si>
    <t>TR422</t>
  </si>
  <si>
    <t>Sakarya</t>
  </si>
  <si>
    <t>TR413</t>
  </si>
  <si>
    <t>Bilecik</t>
  </si>
  <si>
    <t>TR521</t>
  </si>
  <si>
    <t>Konya</t>
  </si>
  <si>
    <t>TR901</t>
  </si>
  <si>
    <t>Trabzon</t>
  </si>
  <si>
    <t>TR411</t>
  </si>
  <si>
    <t>Bursa</t>
  </si>
  <si>
    <t>TR631</t>
  </si>
  <si>
    <t>Hatay</t>
  </si>
  <si>
    <t>TR721</t>
  </si>
  <si>
    <t>Kayseri</t>
  </si>
  <si>
    <t>TRB23</t>
  </si>
  <si>
    <t>Bitlis</t>
  </si>
  <si>
    <t>TRB24</t>
  </si>
  <si>
    <t>Hakkari</t>
  </si>
  <si>
    <t>TRC12</t>
  </si>
  <si>
    <t>Adıyaman</t>
  </si>
  <si>
    <t>TRA13</t>
  </si>
  <si>
    <t>Bayburt</t>
  </si>
  <si>
    <t>TR813</t>
  </si>
  <si>
    <t>Bartın</t>
  </si>
  <si>
    <t>TR423</t>
  </si>
  <si>
    <t>Düzce</t>
  </si>
  <si>
    <t>TR904</t>
  </si>
  <si>
    <t>Rize</t>
  </si>
  <si>
    <t>TR333</t>
  </si>
  <si>
    <t>Kütahya</t>
  </si>
  <si>
    <t>TR713</t>
  </si>
  <si>
    <t>Niğde</t>
  </si>
  <si>
    <t>TR332</t>
  </si>
  <si>
    <t>Afyonkarahisar</t>
  </si>
  <si>
    <t>TR902</t>
  </si>
  <si>
    <t>Ordu</t>
  </si>
  <si>
    <t>TR821</t>
  </si>
  <si>
    <t>Kastamonu</t>
  </si>
  <si>
    <t>TRC34</t>
  </si>
  <si>
    <t>Siirt</t>
  </si>
  <si>
    <t>TR714</t>
  </si>
  <si>
    <t>Nevşehir</t>
  </si>
  <si>
    <t>TR823</t>
  </si>
  <si>
    <t>Sinop</t>
  </si>
  <si>
    <t>TRC11</t>
  </si>
  <si>
    <t>Gaziantep</t>
  </si>
  <si>
    <t>TR424</t>
  </si>
  <si>
    <t>Bolu</t>
  </si>
  <si>
    <t>TR421</t>
  </si>
  <si>
    <t>Kocaeli</t>
  </si>
  <si>
    <t>TRA24</t>
  </si>
  <si>
    <t>Ardahan</t>
  </si>
  <si>
    <t>TR811</t>
  </si>
  <si>
    <t>Zonguldak</t>
  </si>
  <si>
    <t>TR812</t>
  </si>
  <si>
    <t>Karabük</t>
  </si>
  <si>
    <t>TR822</t>
  </si>
  <si>
    <t>Çankırı</t>
  </si>
  <si>
    <t>TR100</t>
  </si>
  <si>
    <t>İstanbul</t>
  </si>
  <si>
    <t>TR211</t>
  </si>
  <si>
    <t>Tekirdağ</t>
  </si>
  <si>
    <t>TR212</t>
  </si>
  <si>
    <t>Edirne</t>
  </si>
  <si>
    <t>TR213</t>
  </si>
  <si>
    <t>Kırklareli</t>
  </si>
  <si>
    <t>TR222</t>
  </si>
  <si>
    <t>Çanakkale</t>
  </si>
  <si>
    <t>TR310</t>
  </si>
  <si>
    <t>İzmir</t>
  </si>
  <si>
    <t>TR334</t>
  </si>
  <si>
    <t>Uşak</t>
  </si>
  <si>
    <t>TR425</t>
  </si>
  <si>
    <t>Yalova</t>
  </si>
  <si>
    <t>TR712</t>
  </si>
  <si>
    <t>Aksaray</t>
  </si>
  <si>
    <t>TR723</t>
  </si>
  <si>
    <t>Yozgat</t>
  </si>
  <si>
    <t>TRA21</t>
  </si>
  <si>
    <t>Ağrı</t>
  </si>
  <si>
    <t>TRC13</t>
  </si>
  <si>
    <t>Kilis</t>
  </si>
  <si>
    <t xml:space="preserve">İBBS(1) - 3. Düzey         </t>
  </si>
  <si>
    <t>Kurulu Gücü (MW)</t>
  </si>
  <si>
    <t>Ortalama Enerji Üretimi (GWh/Yıl)</t>
  </si>
  <si>
    <t>DSİ Tarafından İnşa Edilen Hidroelektrik Santraller, Kurulu Gücü (MW)</t>
  </si>
  <si>
    <t>Özel Sektör Tarafından İnşa Edilen Hidroelektrik Santraller, Ortalama Enerji Üretimi (GWh/Yıl)</t>
  </si>
  <si>
    <t>DSİ Tarafından İnşa Edilen Hidroelektrik Santraller, Ortalama Enerji Üretimi (GWh/Yıl)</t>
  </si>
  <si>
    <t>Özel Sektör Tarafından İnşa Edilen Hidroelektrik Santraller, Kurulu Gücü (MW)</t>
  </si>
  <si>
    <t>Hes Sayısı</t>
  </si>
  <si>
    <t>2.4.3. Türkiye Geneli İl Bazında İnşa Edilen Hidroelektrik Santraller</t>
  </si>
  <si>
    <t>DSİ Tarafından İnşa Edilen Hidroelektrik Santraller, 1956-2016</t>
  </si>
  <si>
    <t>Özel Sektör Tarafından İnşa Edilen Hidroelektrik Santraller, 1924-2016</t>
  </si>
  <si>
    <r>
      <rPr>
        <b/>
        <sz val="12"/>
        <color theme="1"/>
        <rFont val="Times New Roman"/>
        <family val="1"/>
        <charset val="162"/>
      </rPr>
      <t>NOT:</t>
    </r>
    <r>
      <rPr>
        <sz val="12"/>
        <color theme="1"/>
        <rFont val="Times New Roman"/>
        <family val="1"/>
        <charset val="162"/>
      </rPr>
      <t xml:space="preserve"> *1956-2016, 2.4.2.İllere Göre Özel Sektör Tarafından İnşa Edilen Hidroelektrik Santraller, 1924-2016 ve 2.4.3.Türkiye Geneli İnşa Edilen Hidroelektrik Santraller, 1924-2016 tablolarında yer alan İl, İşletmeye Alınma Tarihi, Kurulu Güç ve Ortalama Enerji Üretimi değişkenlerinde oluşan değişimlerin sebebi;  
           • İşletmeye Alınma Tarihi; DSİ kabul tarihleri ile projelerde yer alan Santral Binası kabul tarihleri aynı zamanda olmayıp Enerji Bakanlığı
           tarafından yayınlanan resmi tarihe göre güncellendiği için eski tarihler güncellenmektedir. (DSİ kabulü 2015 ama Enerji Bakanlığı 
           İşletmeye geçiş tarihi 2016 yılında yayınlanması gibi)
           • Kurulu Güç ve  Ortalama Enerji Üretimi değerlerinde ise zamanla yapılan revizelerde güç artımı/azalması ve buna bağlı olarak da enerji 
           üretiminde farklılıklar oluşmaktadır.
           • İllerin değişiminin sebebi ise Akarsu kaynağının bulunduğu mevkii ile Santral Binasının bulunduğu mevkiinin farklı olması dolayısıyla ilgili
           birimlerin eşgüdümü ile bulunduğu il sütunlarında değişiklik olabilmektedir.</t>
    </r>
  </si>
  <si>
    <t>İl Bazında Genel Toplam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</si>
</sst>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
  </numFmts>
  <fonts count="11" x14ac:knownFonts="1">
    <font>
      <sz val="11"/>
      <color theme="1"/>
      <name val="Calibri"/>
      <family val="2"/>
      <scheme val="minor"/>
    </font>
    <font>
      <b/>
      <sz val="11"/>
      <color theme="1"/>
      <name val="Calibri"/>
      <family val="2"/>
      <charset val="162"/>
      <scheme val="minor"/>
    </font>
    <font>
      <sz val="10"/>
      <name val="Arial Tur"/>
      <charset val="162"/>
    </font>
    <font>
      <sz val="12"/>
      <name val="Times New Roman"/>
      <family val="1"/>
      <charset val="162"/>
    </font>
    <font>
      <b/>
      <sz val="12"/>
      <name val="Times New Roman"/>
      <family val="1"/>
      <charset val="162"/>
    </font>
    <font>
      <sz val="10"/>
      <name val="Times New Roman"/>
      <family val="1"/>
      <charset val="162"/>
    </font>
    <font>
      <sz val="11"/>
      <name val="Arial"/>
      <family val="2"/>
      <charset val="162"/>
    </font>
    <font>
      <sz val="10"/>
      <color rgb="FFFF0000"/>
      <name val="Arial Tur"/>
      <charset val="162"/>
    </font>
    <font>
      <sz val="10"/>
      <color rgb="FFFF0000"/>
      <name val="Times New Roman"/>
      <family val="1"/>
      <charset val="162"/>
    </font>
    <font>
      <b/>
      <sz val="12"/>
      <color theme="1"/>
      <name val="Times New Roman"/>
      <family val="1"/>
      <charset val="162"/>
    </font>
    <font>
      <sz val="12"/>
      <color theme="1"/>
      <name val="Times New Roman"/>
      <family val="1"/>
      <charset val="16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4">
    <border>
      <left/>
      <right/>
      <top/>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0" fontId="2" fillId="0" borderId="0"/>
    <xf numFmtId="0" fontId="6" fillId="0" borderId="0"/>
  </cellStyleXfs>
  <cellXfs count="58">
    <xf numFmtId="0" fontId="0" fillId="0" borderId="0" xfId="0"/>
    <xf numFmtId="0" fontId="1" fillId="0" borderId="0" xfId="0" applyFont="1"/>
    <xf numFmtId="0" fontId="3" fillId="2" borderId="1" xfId="1" applyFont="1" applyFill="1" applyBorder="1" applyAlignment="1">
      <alignment horizontal="left" vertical="center" wrapText="1" shrinkToFit="1"/>
    </xf>
    <xf numFmtId="0" fontId="3" fillId="2" borderId="1" xfId="1" applyFont="1" applyFill="1" applyBorder="1" applyAlignment="1">
      <alignment horizontal="right" vertical="center" wrapText="1" shrinkToFit="1"/>
    </xf>
    <xf numFmtId="164" fontId="3" fillId="2" borderId="1" xfId="1" applyNumberFormat="1" applyFont="1" applyFill="1" applyBorder="1" applyAlignment="1">
      <alignment horizontal="right" vertical="center" wrapText="1" shrinkToFit="1"/>
    </xf>
    <xf numFmtId="0" fontId="0" fillId="0" borderId="0" xfId="0" applyAlignment="1">
      <alignment horizontal="center" wrapText="1"/>
    </xf>
    <xf numFmtId="0" fontId="4" fillId="2" borderId="3" xfId="1" applyFont="1" applyFill="1" applyBorder="1" applyAlignment="1">
      <alignment horizontal="center" vertical="center" wrapText="1" shrinkToFit="1"/>
    </xf>
    <xf numFmtId="0" fontId="3" fillId="2" borderId="1" xfId="1" applyFont="1" applyFill="1" applyBorder="1" applyAlignment="1">
      <alignment horizontal="center" vertical="center" wrapText="1" shrinkToFit="1"/>
    </xf>
    <xf numFmtId="0" fontId="0" fillId="0" borderId="0" xfId="0" applyAlignment="1">
      <alignment horizontal="center"/>
    </xf>
    <xf numFmtId="0" fontId="3" fillId="2" borderId="7" xfId="1" applyFont="1" applyFill="1" applyBorder="1" applyAlignment="1">
      <alignment horizontal="right" vertical="center" wrapText="1" shrinkToFit="1"/>
    </xf>
    <xf numFmtId="0" fontId="3" fillId="2" borderId="8" xfId="1" applyFont="1" applyFill="1" applyBorder="1" applyAlignment="1">
      <alignment horizontal="left" vertical="center" wrapText="1" shrinkToFit="1"/>
    </xf>
    <xf numFmtId="0" fontId="3" fillId="2" borderId="8" xfId="1" applyFont="1" applyFill="1" applyBorder="1" applyAlignment="1">
      <alignment horizontal="center" vertical="center" wrapText="1" shrinkToFit="1"/>
    </xf>
    <xf numFmtId="164" fontId="3" fillId="2" borderId="8" xfId="1" applyNumberFormat="1" applyFont="1" applyFill="1" applyBorder="1" applyAlignment="1">
      <alignment horizontal="right" vertical="center" wrapText="1" shrinkToFit="1"/>
    </xf>
    <xf numFmtId="0" fontId="3" fillId="2" borderId="8" xfId="1" applyFont="1" applyFill="1" applyBorder="1" applyAlignment="1">
      <alignment horizontal="right" vertical="center" wrapText="1" shrinkToFit="1"/>
    </xf>
    <xf numFmtId="0" fontId="3" fillId="2" borderId="9" xfId="1" applyFont="1" applyFill="1" applyBorder="1" applyAlignment="1">
      <alignment horizontal="right" vertical="center" wrapText="1" shrinkToFit="1"/>
    </xf>
    <xf numFmtId="164" fontId="0" fillId="0" borderId="0" xfId="0" applyNumberFormat="1"/>
    <xf numFmtId="0" fontId="3" fillId="2" borderId="0" xfId="1" applyFont="1" applyFill="1" applyBorder="1" applyAlignment="1">
      <alignment horizontal="left" vertical="center" wrapText="1" shrinkToFit="1"/>
    </xf>
    <xf numFmtId="164" fontId="3" fillId="2" borderId="0" xfId="1" applyNumberFormat="1" applyFont="1" applyFill="1" applyBorder="1" applyAlignment="1">
      <alignment horizontal="right" vertical="center" wrapText="1" shrinkToFit="1"/>
    </xf>
    <xf numFmtId="0" fontId="3" fillId="2" borderId="0" xfId="1" applyFont="1" applyFill="1" applyBorder="1" applyAlignment="1">
      <alignment horizontal="right" vertical="center" wrapText="1" shrinkToFit="1"/>
    </xf>
    <xf numFmtId="0" fontId="5" fillId="2" borderId="10" xfId="0" applyFont="1" applyFill="1" applyBorder="1" applyAlignment="1">
      <alignment vertical="center" wrapText="1"/>
    </xf>
    <xf numFmtId="2" fontId="5" fillId="2" borderId="10" xfId="2" applyNumberFormat="1" applyFont="1" applyFill="1" applyBorder="1" applyAlignment="1">
      <alignment horizontal="right" vertical="center"/>
    </xf>
    <xf numFmtId="2" fontId="7" fillId="0" borderId="10" xfId="0" applyNumberFormat="1" applyFont="1" applyBorder="1"/>
    <xf numFmtId="2" fontId="0" fillId="0" borderId="10" xfId="0" applyNumberFormat="1" applyFont="1" applyBorder="1"/>
    <xf numFmtId="0" fontId="8" fillId="2" borderId="10" xfId="0" applyFont="1" applyFill="1" applyBorder="1" applyAlignment="1">
      <alignment vertical="center" wrapText="1"/>
    </xf>
    <xf numFmtId="2" fontId="8" fillId="2" borderId="10" xfId="2" applyNumberFormat="1" applyFont="1" applyFill="1" applyBorder="1" applyAlignment="1">
      <alignment horizontal="right" vertical="center"/>
    </xf>
    <xf numFmtId="164" fontId="3" fillId="2" borderId="11" xfId="1" applyNumberFormat="1" applyFont="1" applyFill="1" applyBorder="1" applyAlignment="1">
      <alignment horizontal="right" vertical="center" wrapText="1" shrinkToFit="1"/>
    </xf>
    <xf numFmtId="2" fontId="3" fillId="2" borderId="10" xfId="2" applyNumberFormat="1" applyFont="1" applyFill="1" applyBorder="1" applyAlignment="1">
      <alignment horizontal="right" vertical="center"/>
    </xf>
    <xf numFmtId="0" fontId="5" fillId="3" borderId="10" xfId="2" applyFont="1" applyFill="1" applyBorder="1" applyAlignment="1">
      <alignment vertical="center"/>
    </xf>
    <xf numFmtId="0" fontId="5" fillId="3" borderId="10" xfId="0" applyFont="1" applyFill="1" applyBorder="1" applyAlignment="1">
      <alignment vertical="center" wrapText="1"/>
    </xf>
    <xf numFmtId="0" fontId="0" fillId="3" borderId="0" xfId="0" applyFill="1"/>
    <xf numFmtId="165" fontId="3" fillId="2" borderId="1" xfId="1" applyNumberFormat="1" applyFont="1" applyFill="1" applyBorder="1" applyAlignment="1">
      <alignment horizontal="right" vertical="center" wrapText="1" shrinkToFit="1"/>
    </xf>
    <xf numFmtId="2" fontId="0" fillId="0" borderId="0" xfId="0" applyNumberFormat="1"/>
    <xf numFmtId="0" fontId="10" fillId="0" borderId="0" xfId="0" applyFont="1" applyAlignment="1">
      <alignment horizontal="left" vertical="top" wrapText="1"/>
    </xf>
    <xf numFmtId="0" fontId="4" fillId="2" borderId="4" xfId="1" applyFont="1" applyFill="1" applyBorder="1" applyAlignment="1">
      <alignment horizontal="left" vertical="center" wrapText="1" shrinkToFit="1"/>
    </xf>
    <xf numFmtId="0" fontId="4" fillId="2" borderId="5" xfId="1" applyFont="1" applyFill="1" applyBorder="1" applyAlignment="1">
      <alignment horizontal="left" vertical="center" wrapText="1" shrinkToFit="1"/>
    </xf>
    <xf numFmtId="0" fontId="4" fillId="2" borderId="6" xfId="1" applyFont="1" applyFill="1" applyBorder="1" applyAlignment="1">
      <alignment horizontal="left" vertical="center" wrapText="1" shrinkToFit="1"/>
    </xf>
    <xf numFmtId="0" fontId="3" fillId="2" borderId="12" xfId="1" applyFont="1" applyFill="1" applyBorder="1" applyAlignment="1">
      <alignment horizontal="left" vertical="center" wrapText="1" shrinkToFit="1"/>
    </xf>
    <xf numFmtId="0" fontId="3" fillId="2" borderId="13" xfId="1" applyFont="1" applyFill="1" applyBorder="1" applyAlignment="1">
      <alignment horizontal="left" vertical="center" wrapText="1" shrinkToFit="1"/>
    </xf>
    <xf numFmtId="0" fontId="3" fillId="2" borderId="10" xfId="1" applyFont="1" applyFill="1" applyBorder="1" applyAlignment="1">
      <alignment horizontal="right" vertical="center" wrapText="1" shrinkToFit="1"/>
    </xf>
    <xf numFmtId="164" fontId="3" fillId="2" borderId="10" xfId="1" applyNumberFormat="1" applyFont="1" applyFill="1" applyBorder="1" applyAlignment="1">
      <alignment horizontal="right" vertical="center" wrapText="1" shrinkToFit="1"/>
    </xf>
    <xf numFmtId="0" fontId="4" fillId="2" borderId="14" xfId="1" applyFont="1" applyFill="1" applyBorder="1" applyAlignment="1">
      <alignment horizontal="center" vertical="center" wrapText="1" shrinkToFit="1"/>
    </xf>
    <xf numFmtId="0" fontId="4" fillId="2" borderId="15" xfId="1" applyFont="1" applyFill="1" applyBorder="1" applyAlignment="1">
      <alignment horizontal="center" vertical="center" wrapText="1" shrinkToFit="1"/>
    </xf>
    <xf numFmtId="0" fontId="4" fillId="2" borderId="16" xfId="1" applyFont="1" applyFill="1" applyBorder="1" applyAlignment="1">
      <alignment horizontal="center" vertical="center" wrapText="1" shrinkToFit="1"/>
    </xf>
    <xf numFmtId="0" fontId="3" fillId="2" borderId="17" xfId="1" applyFont="1" applyFill="1" applyBorder="1" applyAlignment="1">
      <alignment horizontal="right" vertical="center" wrapText="1" shrinkToFit="1"/>
    </xf>
    <xf numFmtId="0" fontId="3" fillId="2" borderId="18" xfId="1" applyFont="1" applyFill="1" applyBorder="1" applyAlignment="1">
      <alignment horizontal="right" vertical="center" wrapText="1" shrinkToFit="1"/>
    </xf>
    <xf numFmtId="0" fontId="3" fillId="2" borderId="19" xfId="1" applyFont="1" applyFill="1" applyBorder="1" applyAlignment="1">
      <alignment horizontal="right" vertical="center" wrapText="1" shrinkToFit="1"/>
    </xf>
    <xf numFmtId="164" fontId="3" fillId="2" borderId="18" xfId="1" applyNumberFormat="1" applyFont="1" applyFill="1" applyBorder="1" applyAlignment="1">
      <alignment horizontal="right" vertical="center" wrapText="1" shrinkToFit="1"/>
    </xf>
    <xf numFmtId="0" fontId="4" fillId="2" borderId="20" xfId="1" applyFont="1" applyFill="1" applyBorder="1" applyAlignment="1">
      <alignment horizontal="right" vertical="center" wrapText="1" shrinkToFit="1"/>
    </xf>
    <xf numFmtId="0" fontId="4" fillId="2" borderId="21" xfId="1" applyFont="1" applyFill="1" applyBorder="1" applyAlignment="1">
      <alignment horizontal="right" vertical="center" wrapText="1" shrinkToFit="1"/>
    </xf>
    <xf numFmtId="164" fontId="4" fillId="2" borderId="20" xfId="1" applyNumberFormat="1" applyFont="1" applyFill="1" applyBorder="1" applyAlignment="1">
      <alignment horizontal="right" vertical="center" wrapText="1" shrinkToFit="1"/>
    </xf>
    <xf numFmtId="164" fontId="4" fillId="2" borderId="21" xfId="1" applyNumberFormat="1" applyFont="1" applyFill="1" applyBorder="1" applyAlignment="1">
      <alignment horizontal="right" vertical="center" wrapText="1" shrinkToFit="1"/>
    </xf>
    <xf numFmtId="0" fontId="4" fillId="2" borderId="8" xfId="1" applyFont="1" applyFill="1" applyBorder="1" applyAlignment="1">
      <alignment horizontal="center" vertical="center" wrapText="1" shrinkToFit="1"/>
    </xf>
    <xf numFmtId="0" fontId="4" fillId="2" borderId="18" xfId="1" applyFont="1" applyFill="1" applyBorder="1" applyAlignment="1">
      <alignment horizontal="center" vertical="center" wrapText="1" shrinkToFit="1"/>
    </xf>
    <xf numFmtId="0" fontId="4" fillId="2" borderId="19" xfId="1" applyFont="1" applyFill="1" applyBorder="1" applyAlignment="1">
      <alignment horizontal="center" vertical="center" wrapText="1" shrinkToFit="1"/>
    </xf>
    <xf numFmtId="0" fontId="4" fillId="2" borderId="3" xfId="1" applyFont="1" applyFill="1" applyBorder="1" applyAlignment="1">
      <alignment horizontal="left" vertical="center" wrapText="1" shrinkToFit="1"/>
    </xf>
    <xf numFmtId="0" fontId="4" fillId="2" borderId="2" xfId="1" applyFont="1" applyFill="1" applyBorder="1" applyAlignment="1">
      <alignment horizontal="left" vertical="center" wrapText="1" shrinkToFit="1"/>
    </xf>
    <xf numFmtId="0" fontId="4" fillId="2" borderId="22" xfId="1" applyFont="1" applyFill="1" applyBorder="1" applyAlignment="1">
      <alignment horizontal="center" vertical="center" wrapText="1" shrinkToFit="1"/>
    </xf>
    <xf numFmtId="0" fontId="4" fillId="2" borderId="23" xfId="1" applyFont="1" applyFill="1" applyBorder="1" applyAlignment="1">
      <alignment horizontal="center" vertical="center" wrapText="1" shrinkToFit="1"/>
    </xf>
  </cellXfs>
  <cellStyles count="3">
    <cellStyle name="Normal" xfId="0" builtinId="0"/>
    <cellStyle name="Normal 2" xfId="1"/>
    <cellStyle name="Normal_Sayfa1" xfId="2"/>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2.4.3. İl Bazında İnşa Edilen Hidroelektrik Santraller , Kurulu</a:t>
            </a:r>
            <a:r>
              <a:rPr lang="tr-TR" baseline="0"/>
              <a:t> Güç (MW)</a:t>
            </a:r>
            <a:endParaRPr lang="tr-TR"/>
          </a:p>
        </c:rich>
      </c:tx>
      <c:layout/>
      <c:overlay val="0"/>
    </c:title>
    <c:autoTitleDeleted val="0"/>
    <c:plotArea>
      <c:layout/>
      <c:barChart>
        <c:barDir val="col"/>
        <c:grouping val="clustered"/>
        <c:varyColors val="0"/>
        <c:ser>
          <c:idx val="0"/>
          <c:order val="0"/>
          <c:tx>
            <c:strRef>
              <c:f>Sayfa1!$C$1</c:f>
              <c:strCache>
                <c:ptCount val="1"/>
                <c:pt idx="0">
                  <c:v>DSİ Tarafından İnşa Edilen Hidroelektrik Santraller, Kurulu Gücü (MW)</c:v>
                </c:pt>
              </c:strCache>
            </c:strRef>
          </c:tx>
          <c:invertIfNegative val="0"/>
          <c:dLbls>
            <c:numFmt formatCode="#,##0.00" sourceLinked="0"/>
            <c:spPr>
              <a:noFill/>
              <a:ln>
                <a:noFill/>
              </a:ln>
              <a:effectLst/>
            </c:spPr>
            <c:txPr>
              <a:bodyPr rot="-5400000" vert="horz"/>
              <a:lstStyle/>
              <a:p>
                <a:pPr>
                  <a:defRPr sz="800" b="1">
                    <a:solidFill>
                      <a:schemeClr val="accent1">
                        <a:lumMod val="75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Sayfa1!$B$2:$B$82</c:f>
              <c:strCache>
                <c:ptCount val="81"/>
                <c:pt idx="0">
                  <c:v>İstanbul</c:v>
                </c:pt>
                <c:pt idx="1">
                  <c:v>Tekirdağ</c:v>
                </c:pt>
                <c:pt idx="2">
                  <c:v>Edirne</c:v>
                </c:pt>
                <c:pt idx="3">
                  <c:v>Kırklareli</c:v>
                </c:pt>
                <c:pt idx="4">
                  <c:v>Balıkesir</c:v>
                </c:pt>
                <c:pt idx="5">
                  <c:v>Çanakkale</c:v>
                </c:pt>
                <c:pt idx="6">
                  <c:v>İzmir</c:v>
                </c:pt>
                <c:pt idx="7">
                  <c:v>Aydın</c:v>
                </c:pt>
                <c:pt idx="8">
                  <c:v>Denizli</c:v>
                </c:pt>
                <c:pt idx="9">
                  <c:v>Muğla</c:v>
                </c:pt>
                <c:pt idx="10">
                  <c:v>Manisa</c:v>
                </c:pt>
                <c:pt idx="11">
                  <c:v>Afyonkarahisar</c:v>
                </c:pt>
                <c:pt idx="12">
                  <c:v>Kütahya</c:v>
                </c:pt>
                <c:pt idx="13">
                  <c:v>Uşak</c:v>
                </c:pt>
                <c:pt idx="14">
                  <c:v>Bursa</c:v>
                </c:pt>
                <c:pt idx="15">
                  <c:v>Eskişehir</c:v>
                </c:pt>
                <c:pt idx="16">
                  <c:v>Bilecik</c:v>
                </c:pt>
                <c:pt idx="17">
                  <c:v>Kocaeli</c:v>
                </c:pt>
                <c:pt idx="18">
                  <c:v>Sakarya</c:v>
                </c:pt>
                <c:pt idx="19">
                  <c:v>Düzce</c:v>
                </c:pt>
                <c:pt idx="20">
                  <c:v>Bolu</c:v>
                </c:pt>
                <c:pt idx="21">
                  <c:v>Yalova</c:v>
                </c:pt>
                <c:pt idx="22">
                  <c:v>Ankara</c:v>
                </c:pt>
                <c:pt idx="23">
                  <c:v>Konya</c:v>
                </c:pt>
                <c:pt idx="24">
                  <c:v>Karaman</c:v>
                </c:pt>
                <c:pt idx="25">
                  <c:v>Antalya</c:v>
                </c:pt>
                <c:pt idx="26">
                  <c:v>Isparta</c:v>
                </c:pt>
                <c:pt idx="27">
                  <c:v>Burdur</c:v>
                </c:pt>
                <c:pt idx="28">
                  <c:v>Adana</c:v>
                </c:pt>
                <c:pt idx="29">
                  <c:v>Mersin</c:v>
                </c:pt>
                <c:pt idx="30">
                  <c:v>Hatay</c:v>
                </c:pt>
                <c:pt idx="31">
                  <c:v>Kahramanmaraş</c:v>
                </c:pt>
                <c:pt idx="32">
                  <c:v>Osmaniye</c:v>
                </c:pt>
                <c:pt idx="33">
                  <c:v>Kırıkkale</c:v>
                </c:pt>
                <c:pt idx="34">
                  <c:v>Aksaray</c:v>
                </c:pt>
                <c:pt idx="35">
                  <c:v>Niğde</c:v>
                </c:pt>
                <c:pt idx="36">
                  <c:v>Nevşehir</c:v>
                </c:pt>
                <c:pt idx="37">
                  <c:v>Kırşehir</c:v>
                </c:pt>
                <c:pt idx="38">
                  <c:v>Kayseri</c:v>
                </c:pt>
                <c:pt idx="39">
                  <c:v>Sivas</c:v>
                </c:pt>
                <c:pt idx="40">
                  <c:v>Yozgat</c:v>
                </c:pt>
                <c:pt idx="41">
                  <c:v>Zonguldak</c:v>
                </c:pt>
                <c:pt idx="42">
                  <c:v>Karabük</c:v>
                </c:pt>
                <c:pt idx="43">
                  <c:v>Bartın</c:v>
                </c:pt>
                <c:pt idx="44">
                  <c:v>Kastamonu</c:v>
                </c:pt>
                <c:pt idx="45">
                  <c:v>Çankırı</c:v>
                </c:pt>
                <c:pt idx="46">
                  <c:v>Sinop</c:v>
                </c:pt>
                <c:pt idx="47">
                  <c:v>Samsun</c:v>
                </c:pt>
                <c:pt idx="48">
                  <c:v>Tokat</c:v>
                </c:pt>
                <c:pt idx="49">
                  <c:v>Çorum</c:v>
                </c:pt>
                <c:pt idx="50">
                  <c:v>Amasya</c:v>
                </c:pt>
                <c:pt idx="51">
                  <c:v>Trabzon</c:v>
                </c:pt>
                <c:pt idx="52">
                  <c:v>Ordu</c:v>
                </c:pt>
                <c:pt idx="53">
                  <c:v>Giresun</c:v>
                </c:pt>
                <c:pt idx="54">
                  <c:v>Rize</c:v>
                </c:pt>
                <c:pt idx="55">
                  <c:v>Artvin</c:v>
                </c:pt>
                <c:pt idx="56">
                  <c:v>Gümüşhane</c:v>
                </c:pt>
                <c:pt idx="57">
                  <c:v>Erzurum</c:v>
                </c:pt>
                <c:pt idx="58">
                  <c:v>Erzincan</c:v>
                </c:pt>
                <c:pt idx="59">
                  <c:v>Bayburt</c:v>
                </c:pt>
                <c:pt idx="60">
                  <c:v>Ağrı</c:v>
                </c:pt>
                <c:pt idx="61">
                  <c:v>Kars</c:v>
                </c:pt>
                <c:pt idx="62">
                  <c:v>Iğdır</c:v>
                </c:pt>
                <c:pt idx="63">
                  <c:v>Ardahan</c:v>
                </c:pt>
                <c:pt idx="64">
                  <c:v>Malatya</c:v>
                </c:pt>
                <c:pt idx="65">
                  <c:v>Elazığ</c:v>
                </c:pt>
                <c:pt idx="66">
                  <c:v>Bingöl</c:v>
                </c:pt>
                <c:pt idx="67">
                  <c:v>Tunceli</c:v>
                </c:pt>
                <c:pt idx="68">
                  <c:v>Van</c:v>
                </c:pt>
                <c:pt idx="69">
                  <c:v>Muş</c:v>
                </c:pt>
                <c:pt idx="70">
                  <c:v>Bitlis</c:v>
                </c:pt>
                <c:pt idx="71">
                  <c:v>Hakkari</c:v>
                </c:pt>
                <c:pt idx="72">
                  <c:v>Gaziantep</c:v>
                </c:pt>
                <c:pt idx="73">
                  <c:v>Adıyaman</c:v>
                </c:pt>
                <c:pt idx="74">
                  <c:v>Kilis</c:v>
                </c:pt>
                <c:pt idx="75">
                  <c:v>Şanlıurfa</c:v>
                </c:pt>
                <c:pt idx="76">
                  <c:v>Diyarbakır</c:v>
                </c:pt>
                <c:pt idx="77">
                  <c:v>Mardin</c:v>
                </c:pt>
                <c:pt idx="78">
                  <c:v>Batman</c:v>
                </c:pt>
                <c:pt idx="79">
                  <c:v>Şırnak</c:v>
                </c:pt>
                <c:pt idx="80">
                  <c:v>Siirt</c:v>
                </c:pt>
              </c:strCache>
            </c:strRef>
          </c:cat>
          <c:val>
            <c:numRef>
              <c:f>Sayfa1!$C$2:$C$82</c:f>
              <c:numCache>
                <c:formatCode>#,##0.000</c:formatCode>
                <c:ptCount val="81"/>
                <c:pt idx="4">
                  <c:v>20.25</c:v>
                </c:pt>
                <c:pt idx="7">
                  <c:v>94.26</c:v>
                </c:pt>
                <c:pt idx="8">
                  <c:v>62</c:v>
                </c:pt>
                <c:pt idx="9">
                  <c:v>115</c:v>
                </c:pt>
                <c:pt idx="10">
                  <c:v>69</c:v>
                </c:pt>
                <c:pt idx="15">
                  <c:v>333.06</c:v>
                </c:pt>
                <c:pt idx="22">
                  <c:v>130</c:v>
                </c:pt>
                <c:pt idx="24">
                  <c:v>302.39999999999998</c:v>
                </c:pt>
                <c:pt idx="25">
                  <c:v>572</c:v>
                </c:pt>
                <c:pt idx="26">
                  <c:v>51.2</c:v>
                </c:pt>
                <c:pt idx="28">
                  <c:v>234.9</c:v>
                </c:pt>
                <c:pt idx="29">
                  <c:v>160.62</c:v>
                </c:pt>
                <c:pt idx="31">
                  <c:v>367</c:v>
                </c:pt>
                <c:pt idx="32">
                  <c:v>138</c:v>
                </c:pt>
                <c:pt idx="37">
                  <c:v>128</c:v>
                </c:pt>
                <c:pt idx="39">
                  <c:v>152</c:v>
                </c:pt>
                <c:pt idx="47">
                  <c:v>1333.48</c:v>
                </c:pt>
                <c:pt idx="48">
                  <c:v>117</c:v>
                </c:pt>
                <c:pt idx="49">
                  <c:v>210.8</c:v>
                </c:pt>
                <c:pt idx="50">
                  <c:v>0.8</c:v>
                </c:pt>
                <c:pt idx="52">
                  <c:v>64.8</c:v>
                </c:pt>
                <c:pt idx="53">
                  <c:v>74.5</c:v>
                </c:pt>
                <c:pt idx="55">
                  <c:v>1085.5999999999999</c:v>
                </c:pt>
                <c:pt idx="56">
                  <c:v>188.2</c:v>
                </c:pt>
                <c:pt idx="57">
                  <c:v>20.92</c:v>
                </c:pt>
                <c:pt idx="58">
                  <c:v>18.04</c:v>
                </c:pt>
                <c:pt idx="61">
                  <c:v>15.36</c:v>
                </c:pt>
                <c:pt idx="62">
                  <c:v>2.76</c:v>
                </c:pt>
                <c:pt idx="64">
                  <c:v>0.83199999999999996</c:v>
                </c:pt>
                <c:pt idx="65">
                  <c:v>1330</c:v>
                </c:pt>
                <c:pt idx="66">
                  <c:v>170</c:v>
                </c:pt>
                <c:pt idx="67">
                  <c:v>19.2</c:v>
                </c:pt>
                <c:pt idx="68">
                  <c:v>18.29</c:v>
                </c:pt>
                <c:pt idx="69">
                  <c:v>160</c:v>
                </c:pt>
                <c:pt idx="75">
                  <c:v>2456</c:v>
                </c:pt>
                <c:pt idx="76">
                  <c:v>2004.5</c:v>
                </c:pt>
                <c:pt idx="77">
                  <c:v>4.9000000000000004</c:v>
                </c:pt>
                <c:pt idx="78">
                  <c:v>198</c:v>
                </c:pt>
                <c:pt idx="79">
                  <c:v>0.64</c:v>
                </c:pt>
              </c:numCache>
            </c:numRef>
          </c:val>
        </c:ser>
        <c:ser>
          <c:idx val="1"/>
          <c:order val="1"/>
          <c:tx>
            <c:strRef>
              <c:f>Sayfa1!$D$1</c:f>
              <c:strCache>
                <c:ptCount val="1"/>
                <c:pt idx="0">
                  <c:v>Özel Sektör Tarafından İnşa Edilen Hidroelektrik Santraller, Kurulu Gücü (MW)</c:v>
                </c:pt>
              </c:strCache>
            </c:strRef>
          </c:tx>
          <c:invertIfNegative val="0"/>
          <c:dLbls>
            <c:spPr>
              <a:noFill/>
              <a:ln>
                <a:noFill/>
              </a:ln>
              <a:effectLst/>
            </c:spPr>
            <c:txPr>
              <a:bodyPr rot="-5400000" vert="horz"/>
              <a:lstStyle/>
              <a:p>
                <a:pPr>
                  <a:defRPr sz="800">
                    <a:solidFill>
                      <a:srgbClr val="FF0000"/>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Sayfa1!$B$2:$B$82</c:f>
              <c:strCache>
                <c:ptCount val="81"/>
                <c:pt idx="0">
                  <c:v>İstanbul</c:v>
                </c:pt>
                <c:pt idx="1">
                  <c:v>Tekirdağ</c:v>
                </c:pt>
                <c:pt idx="2">
                  <c:v>Edirne</c:v>
                </c:pt>
                <c:pt idx="3">
                  <c:v>Kırklareli</c:v>
                </c:pt>
                <c:pt idx="4">
                  <c:v>Balıkesir</c:v>
                </c:pt>
                <c:pt idx="5">
                  <c:v>Çanakkale</c:v>
                </c:pt>
                <c:pt idx="6">
                  <c:v>İzmir</c:v>
                </c:pt>
                <c:pt idx="7">
                  <c:v>Aydın</c:v>
                </c:pt>
                <c:pt idx="8">
                  <c:v>Denizli</c:v>
                </c:pt>
                <c:pt idx="9">
                  <c:v>Muğla</c:v>
                </c:pt>
                <c:pt idx="10">
                  <c:v>Manisa</c:v>
                </c:pt>
                <c:pt idx="11">
                  <c:v>Afyonkarahisar</c:v>
                </c:pt>
                <c:pt idx="12">
                  <c:v>Kütahya</c:v>
                </c:pt>
                <c:pt idx="13">
                  <c:v>Uşak</c:v>
                </c:pt>
                <c:pt idx="14">
                  <c:v>Bursa</c:v>
                </c:pt>
                <c:pt idx="15">
                  <c:v>Eskişehir</c:v>
                </c:pt>
                <c:pt idx="16">
                  <c:v>Bilecik</c:v>
                </c:pt>
                <c:pt idx="17">
                  <c:v>Kocaeli</c:v>
                </c:pt>
                <c:pt idx="18">
                  <c:v>Sakarya</c:v>
                </c:pt>
                <c:pt idx="19">
                  <c:v>Düzce</c:v>
                </c:pt>
                <c:pt idx="20">
                  <c:v>Bolu</c:v>
                </c:pt>
                <c:pt idx="21">
                  <c:v>Yalova</c:v>
                </c:pt>
                <c:pt idx="22">
                  <c:v>Ankara</c:v>
                </c:pt>
                <c:pt idx="23">
                  <c:v>Konya</c:v>
                </c:pt>
                <c:pt idx="24">
                  <c:v>Karaman</c:v>
                </c:pt>
                <c:pt idx="25">
                  <c:v>Antalya</c:v>
                </c:pt>
                <c:pt idx="26">
                  <c:v>Isparta</c:v>
                </c:pt>
                <c:pt idx="27">
                  <c:v>Burdur</c:v>
                </c:pt>
                <c:pt idx="28">
                  <c:v>Adana</c:v>
                </c:pt>
                <c:pt idx="29">
                  <c:v>Mersin</c:v>
                </c:pt>
                <c:pt idx="30">
                  <c:v>Hatay</c:v>
                </c:pt>
                <c:pt idx="31">
                  <c:v>Kahramanmaraş</c:v>
                </c:pt>
                <c:pt idx="32">
                  <c:v>Osmaniye</c:v>
                </c:pt>
                <c:pt idx="33">
                  <c:v>Kırıkkale</c:v>
                </c:pt>
                <c:pt idx="34">
                  <c:v>Aksaray</c:v>
                </c:pt>
                <c:pt idx="35">
                  <c:v>Niğde</c:v>
                </c:pt>
                <c:pt idx="36">
                  <c:v>Nevşehir</c:v>
                </c:pt>
                <c:pt idx="37">
                  <c:v>Kırşehir</c:v>
                </c:pt>
                <c:pt idx="38">
                  <c:v>Kayseri</c:v>
                </c:pt>
                <c:pt idx="39">
                  <c:v>Sivas</c:v>
                </c:pt>
                <c:pt idx="40">
                  <c:v>Yozgat</c:v>
                </c:pt>
                <c:pt idx="41">
                  <c:v>Zonguldak</c:v>
                </c:pt>
                <c:pt idx="42">
                  <c:v>Karabük</c:v>
                </c:pt>
                <c:pt idx="43">
                  <c:v>Bartın</c:v>
                </c:pt>
                <c:pt idx="44">
                  <c:v>Kastamonu</c:v>
                </c:pt>
                <c:pt idx="45">
                  <c:v>Çankırı</c:v>
                </c:pt>
                <c:pt idx="46">
                  <c:v>Sinop</c:v>
                </c:pt>
                <c:pt idx="47">
                  <c:v>Samsun</c:v>
                </c:pt>
                <c:pt idx="48">
                  <c:v>Tokat</c:v>
                </c:pt>
                <c:pt idx="49">
                  <c:v>Çorum</c:v>
                </c:pt>
                <c:pt idx="50">
                  <c:v>Amasya</c:v>
                </c:pt>
                <c:pt idx="51">
                  <c:v>Trabzon</c:v>
                </c:pt>
                <c:pt idx="52">
                  <c:v>Ordu</c:v>
                </c:pt>
                <c:pt idx="53">
                  <c:v>Giresun</c:v>
                </c:pt>
                <c:pt idx="54">
                  <c:v>Rize</c:v>
                </c:pt>
                <c:pt idx="55">
                  <c:v>Artvin</c:v>
                </c:pt>
                <c:pt idx="56">
                  <c:v>Gümüşhane</c:v>
                </c:pt>
                <c:pt idx="57">
                  <c:v>Erzurum</c:v>
                </c:pt>
                <c:pt idx="58">
                  <c:v>Erzincan</c:v>
                </c:pt>
                <c:pt idx="59">
                  <c:v>Bayburt</c:v>
                </c:pt>
                <c:pt idx="60">
                  <c:v>Ağrı</c:v>
                </c:pt>
                <c:pt idx="61">
                  <c:v>Kars</c:v>
                </c:pt>
                <c:pt idx="62">
                  <c:v>Iğdır</c:v>
                </c:pt>
                <c:pt idx="63">
                  <c:v>Ardahan</c:v>
                </c:pt>
                <c:pt idx="64">
                  <c:v>Malatya</c:v>
                </c:pt>
                <c:pt idx="65">
                  <c:v>Elazığ</c:v>
                </c:pt>
                <c:pt idx="66">
                  <c:v>Bingöl</c:v>
                </c:pt>
                <c:pt idx="67">
                  <c:v>Tunceli</c:v>
                </c:pt>
                <c:pt idx="68">
                  <c:v>Van</c:v>
                </c:pt>
                <c:pt idx="69">
                  <c:v>Muş</c:v>
                </c:pt>
                <c:pt idx="70">
                  <c:v>Bitlis</c:v>
                </c:pt>
                <c:pt idx="71">
                  <c:v>Hakkari</c:v>
                </c:pt>
                <c:pt idx="72">
                  <c:v>Gaziantep</c:v>
                </c:pt>
                <c:pt idx="73">
                  <c:v>Adıyaman</c:v>
                </c:pt>
                <c:pt idx="74">
                  <c:v>Kilis</c:v>
                </c:pt>
                <c:pt idx="75">
                  <c:v>Şanlıurfa</c:v>
                </c:pt>
                <c:pt idx="76">
                  <c:v>Diyarbakır</c:v>
                </c:pt>
                <c:pt idx="77">
                  <c:v>Mardin</c:v>
                </c:pt>
                <c:pt idx="78">
                  <c:v>Batman</c:v>
                </c:pt>
                <c:pt idx="79">
                  <c:v>Şırnak</c:v>
                </c:pt>
                <c:pt idx="80">
                  <c:v>Siirt</c:v>
                </c:pt>
              </c:strCache>
            </c:strRef>
          </c:cat>
          <c:val>
            <c:numRef>
              <c:f>Sayfa1!$D$2:$D$82</c:f>
              <c:numCache>
                <c:formatCode>#,##0.000</c:formatCode>
                <c:ptCount val="81"/>
                <c:pt idx="4">
                  <c:v>15.2</c:v>
                </c:pt>
                <c:pt idx="7">
                  <c:v>44.02</c:v>
                </c:pt>
                <c:pt idx="8">
                  <c:v>106.557</c:v>
                </c:pt>
                <c:pt idx="9">
                  <c:v>196.673</c:v>
                </c:pt>
                <c:pt idx="11">
                  <c:v>3</c:v>
                </c:pt>
                <c:pt idx="12">
                  <c:v>16.579999999999998</c:v>
                </c:pt>
                <c:pt idx="14">
                  <c:v>190.03399999999999</c:v>
                </c:pt>
                <c:pt idx="15">
                  <c:v>160</c:v>
                </c:pt>
                <c:pt idx="16">
                  <c:v>21.876999999999999</c:v>
                </c:pt>
                <c:pt idx="17">
                  <c:v>0.38</c:v>
                </c:pt>
                <c:pt idx="18">
                  <c:v>49.584000000000003</c:v>
                </c:pt>
                <c:pt idx="19">
                  <c:v>84.734000000000009</c:v>
                </c:pt>
                <c:pt idx="20">
                  <c:v>130.184</c:v>
                </c:pt>
                <c:pt idx="22">
                  <c:v>27.309000000000001</c:v>
                </c:pt>
                <c:pt idx="23">
                  <c:v>21.341999999999999</c:v>
                </c:pt>
                <c:pt idx="24">
                  <c:v>226.405</c:v>
                </c:pt>
                <c:pt idx="25">
                  <c:v>322.863</c:v>
                </c:pt>
                <c:pt idx="26">
                  <c:v>153.55799999999999</c:v>
                </c:pt>
                <c:pt idx="28">
                  <c:v>1297.789</c:v>
                </c:pt>
                <c:pt idx="29">
                  <c:v>430.89400000000001</c:v>
                </c:pt>
                <c:pt idx="30">
                  <c:v>10.252000000000001</c:v>
                </c:pt>
                <c:pt idx="31" formatCode="#,##0.0000">
                  <c:v>1120.8104000000001</c:v>
                </c:pt>
                <c:pt idx="32">
                  <c:v>943.68799999999999</c:v>
                </c:pt>
                <c:pt idx="33">
                  <c:v>33.700000000000003</c:v>
                </c:pt>
                <c:pt idx="35" formatCode="#,##0.0000">
                  <c:v>6.88E-2</c:v>
                </c:pt>
                <c:pt idx="36">
                  <c:v>87.13</c:v>
                </c:pt>
                <c:pt idx="38" formatCode="#,##0.0000">
                  <c:v>249.71019999999999</c:v>
                </c:pt>
                <c:pt idx="39">
                  <c:v>247.12200000000001</c:v>
                </c:pt>
                <c:pt idx="40">
                  <c:v>2.8690000000000002</c:v>
                </c:pt>
                <c:pt idx="41">
                  <c:v>44.902999999999999</c:v>
                </c:pt>
                <c:pt idx="42">
                  <c:v>71.335999999999999</c:v>
                </c:pt>
                <c:pt idx="43">
                  <c:v>7.3140000000000001</c:v>
                </c:pt>
                <c:pt idx="44">
                  <c:v>79.366</c:v>
                </c:pt>
                <c:pt idx="45">
                  <c:v>1.06</c:v>
                </c:pt>
                <c:pt idx="46">
                  <c:v>552.92999999999995</c:v>
                </c:pt>
                <c:pt idx="47">
                  <c:v>29.2</c:v>
                </c:pt>
                <c:pt idx="48">
                  <c:v>284.15100000000001</c:v>
                </c:pt>
                <c:pt idx="49">
                  <c:v>134.9</c:v>
                </c:pt>
                <c:pt idx="50">
                  <c:v>162.49799999999999</c:v>
                </c:pt>
                <c:pt idx="51">
                  <c:v>543.79300000000001</c:v>
                </c:pt>
                <c:pt idx="52">
                  <c:v>298.74900000000002</c:v>
                </c:pt>
                <c:pt idx="53">
                  <c:v>963.09699999999998</c:v>
                </c:pt>
                <c:pt idx="54">
                  <c:v>342.84399999999999</c:v>
                </c:pt>
                <c:pt idx="55">
                  <c:v>602.81399999999996</c:v>
                </c:pt>
                <c:pt idx="56">
                  <c:v>238.917</c:v>
                </c:pt>
                <c:pt idx="57">
                  <c:v>748.64800000000002</c:v>
                </c:pt>
                <c:pt idx="58">
                  <c:v>266.46800000000002</c:v>
                </c:pt>
                <c:pt idx="59">
                  <c:v>25.702999999999999</c:v>
                </c:pt>
                <c:pt idx="61" formatCode="#,##0.0000">
                  <c:v>133.51140000000001</c:v>
                </c:pt>
                <c:pt idx="62">
                  <c:v>20.135999999999999</c:v>
                </c:pt>
                <c:pt idx="63">
                  <c:v>160.74799999999999</c:v>
                </c:pt>
                <c:pt idx="64">
                  <c:v>63.844000000000001</c:v>
                </c:pt>
                <c:pt idx="65">
                  <c:v>933.78499999999997</c:v>
                </c:pt>
                <c:pt idx="66">
                  <c:v>51.436</c:v>
                </c:pt>
                <c:pt idx="67">
                  <c:v>86.56</c:v>
                </c:pt>
                <c:pt idx="68">
                  <c:v>44.764000000000003</c:v>
                </c:pt>
                <c:pt idx="69">
                  <c:v>5.258</c:v>
                </c:pt>
                <c:pt idx="70">
                  <c:v>0.59499999999999997</c:v>
                </c:pt>
                <c:pt idx="71">
                  <c:v>47.712000000000003</c:v>
                </c:pt>
                <c:pt idx="72">
                  <c:v>2.25</c:v>
                </c:pt>
                <c:pt idx="73">
                  <c:v>190.76</c:v>
                </c:pt>
                <c:pt idx="75">
                  <c:v>672</c:v>
                </c:pt>
                <c:pt idx="76">
                  <c:v>47.152999999999999</c:v>
                </c:pt>
                <c:pt idx="78">
                  <c:v>52</c:v>
                </c:pt>
                <c:pt idx="80">
                  <c:v>344.48399999999998</c:v>
                </c:pt>
              </c:numCache>
            </c:numRef>
          </c:val>
        </c:ser>
        <c:dLbls>
          <c:showLegendKey val="0"/>
          <c:showVal val="0"/>
          <c:showCatName val="0"/>
          <c:showSerName val="0"/>
          <c:showPercent val="0"/>
          <c:showBubbleSize val="0"/>
        </c:dLbls>
        <c:gapWidth val="119"/>
        <c:overlap val="-60"/>
        <c:axId val="412663984"/>
        <c:axId val="411568736"/>
      </c:barChart>
      <c:catAx>
        <c:axId val="412663984"/>
        <c:scaling>
          <c:orientation val="minMax"/>
        </c:scaling>
        <c:delete val="0"/>
        <c:axPos val="b"/>
        <c:majorGridlines>
          <c:spPr>
            <a:ln>
              <a:solidFill>
                <a:schemeClr val="tx2">
                  <a:lumMod val="60000"/>
                  <a:lumOff val="40000"/>
                </a:schemeClr>
              </a:solidFill>
            </a:ln>
          </c:spPr>
        </c:majorGridlines>
        <c:numFmt formatCode="#,##0" sourceLinked="0"/>
        <c:majorTickMark val="out"/>
        <c:minorTickMark val="none"/>
        <c:tickLblPos val="nextTo"/>
        <c:txPr>
          <a:bodyPr rot="-5400000" vert="horz"/>
          <a:lstStyle/>
          <a:p>
            <a:pPr>
              <a:defRPr/>
            </a:pPr>
            <a:endParaRPr lang="tr-TR"/>
          </a:p>
        </c:txPr>
        <c:crossAx val="411568736"/>
        <c:crosses val="autoZero"/>
        <c:auto val="1"/>
        <c:lblAlgn val="ctr"/>
        <c:lblOffset val="100"/>
        <c:noMultiLvlLbl val="0"/>
      </c:catAx>
      <c:valAx>
        <c:axId val="411568736"/>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crossAx val="412663984"/>
        <c:crosses val="autoZero"/>
        <c:crossBetween val="between"/>
      </c:valAx>
    </c:plotArea>
    <c:legend>
      <c:legendPos val="t"/>
      <c:legendEntry>
        <c:idx val="0"/>
        <c:txPr>
          <a:bodyPr/>
          <a:lstStyle/>
          <a:p>
            <a:pPr>
              <a:defRPr sz="1050" b="1">
                <a:solidFill>
                  <a:schemeClr val="accent1">
                    <a:lumMod val="75000"/>
                  </a:schemeClr>
                </a:solidFill>
              </a:defRPr>
            </a:pPr>
            <a:endParaRPr lang="tr-TR"/>
          </a:p>
        </c:txPr>
      </c:legendEntry>
      <c:legendEntry>
        <c:idx val="1"/>
        <c:txPr>
          <a:bodyPr/>
          <a:lstStyle/>
          <a:p>
            <a:pPr>
              <a:defRPr sz="1050" b="1">
                <a:solidFill>
                  <a:srgbClr val="FF0000"/>
                </a:solidFill>
              </a:defRPr>
            </a:pPr>
            <a:endParaRPr lang="tr-TR"/>
          </a:p>
        </c:txPr>
      </c:legendEntry>
      <c:layout/>
      <c:overlay val="0"/>
      <c:txPr>
        <a:bodyPr/>
        <a:lstStyle/>
        <a:p>
          <a:pPr>
            <a:defRPr sz="1050"/>
          </a:pPr>
          <a:endParaRPr lang="tr-TR"/>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Sayfa1!$C$1</c:f>
              <c:strCache>
                <c:ptCount val="1"/>
                <c:pt idx="0">
                  <c:v>DSİ Tarafından İnşa Edilen Hidroelektrik Santraller, Kurulu Gücü (MW)</c:v>
                </c:pt>
              </c:strCache>
            </c:strRef>
          </c:tx>
          <c:invertIfNegative val="0"/>
          <c:cat>
            <c:strRef>
              <c:f>Sayfa1!$B$2:$B$82</c:f>
              <c:strCache>
                <c:ptCount val="81"/>
                <c:pt idx="0">
                  <c:v>İstanbul</c:v>
                </c:pt>
                <c:pt idx="1">
                  <c:v>Tekirdağ</c:v>
                </c:pt>
                <c:pt idx="2">
                  <c:v>Edirne</c:v>
                </c:pt>
                <c:pt idx="3">
                  <c:v>Kırklareli</c:v>
                </c:pt>
                <c:pt idx="4">
                  <c:v>Balıkesir</c:v>
                </c:pt>
                <c:pt idx="5">
                  <c:v>Çanakkale</c:v>
                </c:pt>
                <c:pt idx="6">
                  <c:v>İzmir</c:v>
                </c:pt>
                <c:pt idx="7">
                  <c:v>Aydın</c:v>
                </c:pt>
                <c:pt idx="8">
                  <c:v>Denizli</c:v>
                </c:pt>
                <c:pt idx="9">
                  <c:v>Muğla</c:v>
                </c:pt>
                <c:pt idx="10">
                  <c:v>Manisa</c:v>
                </c:pt>
                <c:pt idx="11">
                  <c:v>Afyonkarahisar</c:v>
                </c:pt>
                <c:pt idx="12">
                  <c:v>Kütahya</c:v>
                </c:pt>
                <c:pt idx="13">
                  <c:v>Uşak</c:v>
                </c:pt>
                <c:pt idx="14">
                  <c:v>Bursa</c:v>
                </c:pt>
                <c:pt idx="15">
                  <c:v>Eskişehir</c:v>
                </c:pt>
                <c:pt idx="16">
                  <c:v>Bilecik</c:v>
                </c:pt>
                <c:pt idx="17">
                  <c:v>Kocaeli</c:v>
                </c:pt>
                <c:pt idx="18">
                  <c:v>Sakarya</c:v>
                </c:pt>
                <c:pt idx="19">
                  <c:v>Düzce</c:v>
                </c:pt>
                <c:pt idx="20">
                  <c:v>Bolu</c:v>
                </c:pt>
                <c:pt idx="21">
                  <c:v>Yalova</c:v>
                </c:pt>
                <c:pt idx="22">
                  <c:v>Ankara</c:v>
                </c:pt>
                <c:pt idx="23">
                  <c:v>Konya</c:v>
                </c:pt>
                <c:pt idx="24">
                  <c:v>Karaman</c:v>
                </c:pt>
                <c:pt idx="25">
                  <c:v>Antalya</c:v>
                </c:pt>
                <c:pt idx="26">
                  <c:v>Isparta</c:v>
                </c:pt>
                <c:pt idx="27">
                  <c:v>Burdur</c:v>
                </c:pt>
                <c:pt idx="28">
                  <c:v>Adana</c:v>
                </c:pt>
                <c:pt idx="29">
                  <c:v>Mersin</c:v>
                </c:pt>
                <c:pt idx="30">
                  <c:v>Hatay</c:v>
                </c:pt>
                <c:pt idx="31">
                  <c:v>Kahramanmaraş</c:v>
                </c:pt>
                <c:pt idx="32">
                  <c:v>Osmaniye</c:v>
                </c:pt>
                <c:pt idx="33">
                  <c:v>Kırıkkale</c:v>
                </c:pt>
                <c:pt idx="34">
                  <c:v>Aksaray</c:v>
                </c:pt>
                <c:pt idx="35">
                  <c:v>Niğde</c:v>
                </c:pt>
                <c:pt idx="36">
                  <c:v>Nevşehir</c:v>
                </c:pt>
                <c:pt idx="37">
                  <c:v>Kırşehir</c:v>
                </c:pt>
                <c:pt idx="38">
                  <c:v>Kayseri</c:v>
                </c:pt>
                <c:pt idx="39">
                  <c:v>Sivas</c:v>
                </c:pt>
                <c:pt idx="40">
                  <c:v>Yozgat</c:v>
                </c:pt>
                <c:pt idx="41">
                  <c:v>Zonguldak</c:v>
                </c:pt>
                <c:pt idx="42">
                  <c:v>Karabük</c:v>
                </c:pt>
                <c:pt idx="43">
                  <c:v>Bartın</c:v>
                </c:pt>
                <c:pt idx="44">
                  <c:v>Kastamonu</c:v>
                </c:pt>
                <c:pt idx="45">
                  <c:v>Çankırı</c:v>
                </c:pt>
                <c:pt idx="46">
                  <c:v>Sinop</c:v>
                </c:pt>
                <c:pt idx="47">
                  <c:v>Samsun</c:v>
                </c:pt>
                <c:pt idx="48">
                  <c:v>Tokat</c:v>
                </c:pt>
                <c:pt idx="49">
                  <c:v>Çorum</c:v>
                </c:pt>
                <c:pt idx="50">
                  <c:v>Amasya</c:v>
                </c:pt>
                <c:pt idx="51">
                  <c:v>Trabzon</c:v>
                </c:pt>
                <c:pt idx="52">
                  <c:v>Ordu</c:v>
                </c:pt>
                <c:pt idx="53">
                  <c:v>Giresun</c:v>
                </c:pt>
                <c:pt idx="54">
                  <c:v>Rize</c:v>
                </c:pt>
                <c:pt idx="55">
                  <c:v>Artvin</c:v>
                </c:pt>
                <c:pt idx="56">
                  <c:v>Gümüşhane</c:v>
                </c:pt>
                <c:pt idx="57">
                  <c:v>Erzurum</c:v>
                </c:pt>
                <c:pt idx="58">
                  <c:v>Erzincan</c:v>
                </c:pt>
                <c:pt idx="59">
                  <c:v>Bayburt</c:v>
                </c:pt>
                <c:pt idx="60">
                  <c:v>Ağrı</c:v>
                </c:pt>
                <c:pt idx="61">
                  <c:v>Kars</c:v>
                </c:pt>
                <c:pt idx="62">
                  <c:v>Iğdır</c:v>
                </c:pt>
                <c:pt idx="63">
                  <c:v>Ardahan</c:v>
                </c:pt>
                <c:pt idx="64">
                  <c:v>Malatya</c:v>
                </c:pt>
                <c:pt idx="65">
                  <c:v>Elazığ</c:v>
                </c:pt>
                <c:pt idx="66">
                  <c:v>Bingöl</c:v>
                </c:pt>
                <c:pt idx="67">
                  <c:v>Tunceli</c:v>
                </c:pt>
                <c:pt idx="68">
                  <c:v>Van</c:v>
                </c:pt>
                <c:pt idx="69">
                  <c:v>Muş</c:v>
                </c:pt>
                <c:pt idx="70">
                  <c:v>Bitlis</c:v>
                </c:pt>
                <c:pt idx="71">
                  <c:v>Hakkari</c:v>
                </c:pt>
                <c:pt idx="72">
                  <c:v>Gaziantep</c:v>
                </c:pt>
                <c:pt idx="73">
                  <c:v>Adıyaman</c:v>
                </c:pt>
                <c:pt idx="74">
                  <c:v>Kilis</c:v>
                </c:pt>
                <c:pt idx="75">
                  <c:v>Şanlıurfa</c:v>
                </c:pt>
                <c:pt idx="76">
                  <c:v>Diyarbakır</c:v>
                </c:pt>
                <c:pt idx="77">
                  <c:v>Mardin</c:v>
                </c:pt>
                <c:pt idx="78">
                  <c:v>Batman</c:v>
                </c:pt>
                <c:pt idx="79">
                  <c:v>Şırnak</c:v>
                </c:pt>
                <c:pt idx="80">
                  <c:v>Siirt</c:v>
                </c:pt>
              </c:strCache>
            </c:strRef>
          </c:cat>
          <c:val>
            <c:numRef>
              <c:f>Sayfa1!$C$2:$C$82</c:f>
              <c:numCache>
                <c:formatCode>#,##0.000</c:formatCode>
                <c:ptCount val="81"/>
                <c:pt idx="4">
                  <c:v>20.25</c:v>
                </c:pt>
                <c:pt idx="7">
                  <c:v>94.26</c:v>
                </c:pt>
                <c:pt idx="8">
                  <c:v>62</c:v>
                </c:pt>
                <c:pt idx="9">
                  <c:v>115</c:v>
                </c:pt>
                <c:pt idx="10">
                  <c:v>69</c:v>
                </c:pt>
                <c:pt idx="15">
                  <c:v>333.06</c:v>
                </c:pt>
                <c:pt idx="22">
                  <c:v>130</c:v>
                </c:pt>
                <c:pt idx="24">
                  <c:v>302.39999999999998</c:v>
                </c:pt>
                <c:pt idx="25">
                  <c:v>572</c:v>
                </c:pt>
                <c:pt idx="26">
                  <c:v>51.2</c:v>
                </c:pt>
                <c:pt idx="28">
                  <c:v>234.9</c:v>
                </c:pt>
                <c:pt idx="29">
                  <c:v>160.62</c:v>
                </c:pt>
                <c:pt idx="31">
                  <c:v>367</c:v>
                </c:pt>
                <c:pt idx="32">
                  <c:v>138</c:v>
                </c:pt>
                <c:pt idx="37">
                  <c:v>128</c:v>
                </c:pt>
                <c:pt idx="39">
                  <c:v>152</c:v>
                </c:pt>
                <c:pt idx="47">
                  <c:v>1333.48</c:v>
                </c:pt>
                <c:pt idx="48">
                  <c:v>117</c:v>
                </c:pt>
                <c:pt idx="49">
                  <c:v>210.8</c:v>
                </c:pt>
                <c:pt idx="50">
                  <c:v>0.8</c:v>
                </c:pt>
                <c:pt idx="52">
                  <c:v>64.8</c:v>
                </c:pt>
                <c:pt idx="53">
                  <c:v>74.5</c:v>
                </c:pt>
                <c:pt idx="55">
                  <c:v>1085.5999999999999</c:v>
                </c:pt>
                <c:pt idx="56">
                  <c:v>188.2</c:v>
                </c:pt>
                <c:pt idx="57">
                  <c:v>20.92</c:v>
                </c:pt>
                <c:pt idx="58">
                  <c:v>18.04</c:v>
                </c:pt>
                <c:pt idx="61">
                  <c:v>15.36</c:v>
                </c:pt>
                <c:pt idx="62">
                  <c:v>2.76</c:v>
                </c:pt>
                <c:pt idx="64">
                  <c:v>0.83199999999999996</c:v>
                </c:pt>
                <c:pt idx="65">
                  <c:v>1330</c:v>
                </c:pt>
                <c:pt idx="66">
                  <c:v>170</c:v>
                </c:pt>
                <c:pt idx="67">
                  <c:v>19.2</c:v>
                </c:pt>
                <c:pt idx="68">
                  <c:v>18.29</c:v>
                </c:pt>
                <c:pt idx="69">
                  <c:v>160</c:v>
                </c:pt>
                <c:pt idx="75">
                  <c:v>2456</c:v>
                </c:pt>
                <c:pt idx="76">
                  <c:v>2004.5</c:v>
                </c:pt>
                <c:pt idx="77">
                  <c:v>4.9000000000000004</c:v>
                </c:pt>
                <c:pt idx="78">
                  <c:v>198</c:v>
                </c:pt>
                <c:pt idx="79">
                  <c:v>0.64</c:v>
                </c:pt>
              </c:numCache>
            </c:numRef>
          </c:val>
        </c:ser>
        <c:ser>
          <c:idx val="1"/>
          <c:order val="1"/>
          <c:tx>
            <c:strRef>
              <c:f>Sayfa1!$D$1</c:f>
              <c:strCache>
                <c:ptCount val="1"/>
                <c:pt idx="0">
                  <c:v>Özel Sektör Tarafından İnşa Edilen Hidroelektrik Santraller, Kurulu Gücü (MW)</c:v>
                </c:pt>
              </c:strCache>
            </c:strRef>
          </c:tx>
          <c:invertIfNegative val="0"/>
          <c:cat>
            <c:strRef>
              <c:f>Sayfa1!$B$2:$B$82</c:f>
              <c:strCache>
                <c:ptCount val="81"/>
                <c:pt idx="0">
                  <c:v>İstanbul</c:v>
                </c:pt>
                <c:pt idx="1">
                  <c:v>Tekirdağ</c:v>
                </c:pt>
                <c:pt idx="2">
                  <c:v>Edirne</c:v>
                </c:pt>
                <c:pt idx="3">
                  <c:v>Kırklareli</c:v>
                </c:pt>
                <c:pt idx="4">
                  <c:v>Balıkesir</c:v>
                </c:pt>
                <c:pt idx="5">
                  <c:v>Çanakkale</c:v>
                </c:pt>
                <c:pt idx="6">
                  <c:v>İzmir</c:v>
                </c:pt>
                <c:pt idx="7">
                  <c:v>Aydın</c:v>
                </c:pt>
                <c:pt idx="8">
                  <c:v>Denizli</c:v>
                </c:pt>
                <c:pt idx="9">
                  <c:v>Muğla</c:v>
                </c:pt>
                <c:pt idx="10">
                  <c:v>Manisa</c:v>
                </c:pt>
                <c:pt idx="11">
                  <c:v>Afyonkarahisar</c:v>
                </c:pt>
                <c:pt idx="12">
                  <c:v>Kütahya</c:v>
                </c:pt>
                <c:pt idx="13">
                  <c:v>Uşak</c:v>
                </c:pt>
                <c:pt idx="14">
                  <c:v>Bursa</c:v>
                </c:pt>
                <c:pt idx="15">
                  <c:v>Eskişehir</c:v>
                </c:pt>
                <c:pt idx="16">
                  <c:v>Bilecik</c:v>
                </c:pt>
                <c:pt idx="17">
                  <c:v>Kocaeli</c:v>
                </c:pt>
                <c:pt idx="18">
                  <c:v>Sakarya</c:v>
                </c:pt>
                <c:pt idx="19">
                  <c:v>Düzce</c:v>
                </c:pt>
                <c:pt idx="20">
                  <c:v>Bolu</c:v>
                </c:pt>
                <c:pt idx="21">
                  <c:v>Yalova</c:v>
                </c:pt>
                <c:pt idx="22">
                  <c:v>Ankara</c:v>
                </c:pt>
                <c:pt idx="23">
                  <c:v>Konya</c:v>
                </c:pt>
                <c:pt idx="24">
                  <c:v>Karaman</c:v>
                </c:pt>
                <c:pt idx="25">
                  <c:v>Antalya</c:v>
                </c:pt>
                <c:pt idx="26">
                  <c:v>Isparta</c:v>
                </c:pt>
                <c:pt idx="27">
                  <c:v>Burdur</c:v>
                </c:pt>
                <c:pt idx="28">
                  <c:v>Adana</c:v>
                </c:pt>
                <c:pt idx="29">
                  <c:v>Mersin</c:v>
                </c:pt>
                <c:pt idx="30">
                  <c:v>Hatay</c:v>
                </c:pt>
                <c:pt idx="31">
                  <c:v>Kahramanmaraş</c:v>
                </c:pt>
                <c:pt idx="32">
                  <c:v>Osmaniye</c:v>
                </c:pt>
                <c:pt idx="33">
                  <c:v>Kırıkkale</c:v>
                </c:pt>
                <c:pt idx="34">
                  <c:v>Aksaray</c:v>
                </c:pt>
                <c:pt idx="35">
                  <c:v>Niğde</c:v>
                </c:pt>
                <c:pt idx="36">
                  <c:v>Nevşehir</c:v>
                </c:pt>
                <c:pt idx="37">
                  <c:v>Kırşehir</c:v>
                </c:pt>
                <c:pt idx="38">
                  <c:v>Kayseri</c:v>
                </c:pt>
                <c:pt idx="39">
                  <c:v>Sivas</c:v>
                </c:pt>
                <c:pt idx="40">
                  <c:v>Yozgat</c:v>
                </c:pt>
                <c:pt idx="41">
                  <c:v>Zonguldak</c:v>
                </c:pt>
                <c:pt idx="42">
                  <c:v>Karabük</c:v>
                </c:pt>
                <c:pt idx="43">
                  <c:v>Bartın</c:v>
                </c:pt>
                <c:pt idx="44">
                  <c:v>Kastamonu</c:v>
                </c:pt>
                <c:pt idx="45">
                  <c:v>Çankırı</c:v>
                </c:pt>
                <c:pt idx="46">
                  <c:v>Sinop</c:v>
                </c:pt>
                <c:pt idx="47">
                  <c:v>Samsun</c:v>
                </c:pt>
                <c:pt idx="48">
                  <c:v>Tokat</c:v>
                </c:pt>
                <c:pt idx="49">
                  <c:v>Çorum</c:v>
                </c:pt>
                <c:pt idx="50">
                  <c:v>Amasya</c:v>
                </c:pt>
                <c:pt idx="51">
                  <c:v>Trabzon</c:v>
                </c:pt>
                <c:pt idx="52">
                  <c:v>Ordu</c:v>
                </c:pt>
                <c:pt idx="53">
                  <c:v>Giresun</c:v>
                </c:pt>
                <c:pt idx="54">
                  <c:v>Rize</c:v>
                </c:pt>
                <c:pt idx="55">
                  <c:v>Artvin</c:v>
                </c:pt>
                <c:pt idx="56">
                  <c:v>Gümüşhane</c:v>
                </c:pt>
                <c:pt idx="57">
                  <c:v>Erzurum</c:v>
                </c:pt>
                <c:pt idx="58">
                  <c:v>Erzincan</c:v>
                </c:pt>
                <c:pt idx="59">
                  <c:v>Bayburt</c:v>
                </c:pt>
                <c:pt idx="60">
                  <c:v>Ağrı</c:v>
                </c:pt>
                <c:pt idx="61">
                  <c:v>Kars</c:v>
                </c:pt>
                <c:pt idx="62">
                  <c:v>Iğdır</c:v>
                </c:pt>
                <c:pt idx="63">
                  <c:v>Ardahan</c:v>
                </c:pt>
                <c:pt idx="64">
                  <c:v>Malatya</c:v>
                </c:pt>
                <c:pt idx="65">
                  <c:v>Elazığ</c:v>
                </c:pt>
                <c:pt idx="66">
                  <c:v>Bingöl</c:v>
                </c:pt>
                <c:pt idx="67">
                  <c:v>Tunceli</c:v>
                </c:pt>
                <c:pt idx="68">
                  <c:v>Van</c:v>
                </c:pt>
                <c:pt idx="69">
                  <c:v>Muş</c:v>
                </c:pt>
                <c:pt idx="70">
                  <c:v>Bitlis</c:v>
                </c:pt>
                <c:pt idx="71">
                  <c:v>Hakkari</c:v>
                </c:pt>
                <c:pt idx="72">
                  <c:v>Gaziantep</c:v>
                </c:pt>
                <c:pt idx="73">
                  <c:v>Adıyaman</c:v>
                </c:pt>
                <c:pt idx="74">
                  <c:v>Kilis</c:v>
                </c:pt>
                <c:pt idx="75">
                  <c:v>Şanlıurfa</c:v>
                </c:pt>
                <c:pt idx="76">
                  <c:v>Diyarbakır</c:v>
                </c:pt>
                <c:pt idx="77">
                  <c:v>Mardin</c:v>
                </c:pt>
                <c:pt idx="78">
                  <c:v>Batman</c:v>
                </c:pt>
                <c:pt idx="79">
                  <c:v>Şırnak</c:v>
                </c:pt>
                <c:pt idx="80">
                  <c:v>Siirt</c:v>
                </c:pt>
              </c:strCache>
            </c:strRef>
          </c:cat>
          <c:val>
            <c:numRef>
              <c:f>Sayfa1!$D$2:$D$82</c:f>
              <c:numCache>
                <c:formatCode>#,##0.000</c:formatCode>
                <c:ptCount val="81"/>
                <c:pt idx="4">
                  <c:v>15.2</c:v>
                </c:pt>
                <c:pt idx="7">
                  <c:v>44.02</c:v>
                </c:pt>
                <c:pt idx="8">
                  <c:v>106.557</c:v>
                </c:pt>
                <c:pt idx="9">
                  <c:v>196.673</c:v>
                </c:pt>
                <c:pt idx="11">
                  <c:v>3</c:v>
                </c:pt>
                <c:pt idx="12">
                  <c:v>16.579999999999998</c:v>
                </c:pt>
                <c:pt idx="14">
                  <c:v>190.03399999999999</c:v>
                </c:pt>
                <c:pt idx="15">
                  <c:v>160</c:v>
                </c:pt>
                <c:pt idx="16">
                  <c:v>21.876999999999999</c:v>
                </c:pt>
                <c:pt idx="17">
                  <c:v>0.38</c:v>
                </c:pt>
                <c:pt idx="18">
                  <c:v>49.584000000000003</c:v>
                </c:pt>
                <c:pt idx="19">
                  <c:v>84.734000000000009</c:v>
                </c:pt>
                <c:pt idx="20">
                  <c:v>130.184</c:v>
                </c:pt>
                <c:pt idx="22">
                  <c:v>27.309000000000001</c:v>
                </c:pt>
                <c:pt idx="23">
                  <c:v>21.341999999999999</c:v>
                </c:pt>
                <c:pt idx="24">
                  <c:v>226.405</c:v>
                </c:pt>
                <c:pt idx="25">
                  <c:v>322.863</c:v>
                </c:pt>
                <c:pt idx="26">
                  <c:v>153.55799999999999</c:v>
                </c:pt>
                <c:pt idx="28">
                  <c:v>1297.789</c:v>
                </c:pt>
                <c:pt idx="29">
                  <c:v>430.89400000000001</c:v>
                </c:pt>
                <c:pt idx="30">
                  <c:v>10.252000000000001</c:v>
                </c:pt>
                <c:pt idx="31" formatCode="#,##0.0000">
                  <c:v>1120.8104000000001</c:v>
                </c:pt>
                <c:pt idx="32">
                  <c:v>943.68799999999999</c:v>
                </c:pt>
                <c:pt idx="33">
                  <c:v>33.700000000000003</c:v>
                </c:pt>
                <c:pt idx="35" formatCode="#,##0.0000">
                  <c:v>6.88E-2</c:v>
                </c:pt>
                <c:pt idx="36">
                  <c:v>87.13</c:v>
                </c:pt>
                <c:pt idx="38" formatCode="#,##0.0000">
                  <c:v>249.71019999999999</c:v>
                </c:pt>
                <c:pt idx="39">
                  <c:v>247.12200000000001</c:v>
                </c:pt>
                <c:pt idx="40">
                  <c:v>2.8690000000000002</c:v>
                </c:pt>
                <c:pt idx="41">
                  <c:v>44.902999999999999</c:v>
                </c:pt>
                <c:pt idx="42">
                  <c:v>71.335999999999999</c:v>
                </c:pt>
                <c:pt idx="43">
                  <c:v>7.3140000000000001</c:v>
                </c:pt>
                <c:pt idx="44">
                  <c:v>79.366</c:v>
                </c:pt>
                <c:pt idx="45">
                  <c:v>1.06</c:v>
                </c:pt>
                <c:pt idx="46">
                  <c:v>552.92999999999995</c:v>
                </c:pt>
                <c:pt idx="47">
                  <c:v>29.2</c:v>
                </c:pt>
                <c:pt idx="48">
                  <c:v>284.15100000000001</c:v>
                </c:pt>
                <c:pt idx="49">
                  <c:v>134.9</c:v>
                </c:pt>
                <c:pt idx="50">
                  <c:v>162.49799999999999</c:v>
                </c:pt>
                <c:pt idx="51">
                  <c:v>543.79300000000001</c:v>
                </c:pt>
                <c:pt idx="52">
                  <c:v>298.74900000000002</c:v>
                </c:pt>
                <c:pt idx="53">
                  <c:v>963.09699999999998</c:v>
                </c:pt>
                <c:pt idx="54">
                  <c:v>342.84399999999999</c:v>
                </c:pt>
                <c:pt idx="55">
                  <c:v>602.81399999999996</c:v>
                </c:pt>
                <c:pt idx="56">
                  <c:v>238.917</c:v>
                </c:pt>
                <c:pt idx="57">
                  <c:v>748.64800000000002</c:v>
                </c:pt>
                <c:pt idx="58">
                  <c:v>266.46800000000002</c:v>
                </c:pt>
                <c:pt idx="59">
                  <c:v>25.702999999999999</c:v>
                </c:pt>
                <c:pt idx="61" formatCode="#,##0.0000">
                  <c:v>133.51140000000001</c:v>
                </c:pt>
                <c:pt idx="62">
                  <c:v>20.135999999999999</c:v>
                </c:pt>
                <c:pt idx="63">
                  <c:v>160.74799999999999</c:v>
                </c:pt>
                <c:pt idx="64">
                  <c:v>63.844000000000001</c:v>
                </c:pt>
                <c:pt idx="65">
                  <c:v>933.78499999999997</c:v>
                </c:pt>
                <c:pt idx="66">
                  <c:v>51.436</c:v>
                </c:pt>
                <c:pt idx="67">
                  <c:v>86.56</c:v>
                </c:pt>
                <c:pt idx="68">
                  <c:v>44.764000000000003</c:v>
                </c:pt>
                <c:pt idx="69">
                  <c:v>5.258</c:v>
                </c:pt>
                <c:pt idx="70">
                  <c:v>0.59499999999999997</c:v>
                </c:pt>
                <c:pt idx="71">
                  <c:v>47.712000000000003</c:v>
                </c:pt>
                <c:pt idx="72">
                  <c:v>2.25</c:v>
                </c:pt>
                <c:pt idx="73">
                  <c:v>190.76</c:v>
                </c:pt>
                <c:pt idx="75">
                  <c:v>672</c:v>
                </c:pt>
                <c:pt idx="76">
                  <c:v>47.152999999999999</c:v>
                </c:pt>
                <c:pt idx="78">
                  <c:v>52</c:v>
                </c:pt>
                <c:pt idx="80">
                  <c:v>344.48399999999998</c:v>
                </c:pt>
              </c:numCache>
            </c:numRef>
          </c:val>
        </c:ser>
        <c:dLbls>
          <c:showLegendKey val="0"/>
          <c:showVal val="0"/>
          <c:showCatName val="0"/>
          <c:showSerName val="0"/>
          <c:showPercent val="0"/>
          <c:showBubbleSize val="0"/>
        </c:dLbls>
        <c:gapWidth val="150"/>
        <c:axId val="411572096"/>
        <c:axId val="412812832"/>
      </c:barChart>
      <c:catAx>
        <c:axId val="411572096"/>
        <c:scaling>
          <c:orientation val="minMax"/>
        </c:scaling>
        <c:delete val="0"/>
        <c:axPos val="b"/>
        <c:numFmt formatCode="General" sourceLinked="0"/>
        <c:majorTickMark val="out"/>
        <c:minorTickMark val="none"/>
        <c:tickLblPos val="nextTo"/>
        <c:crossAx val="412812832"/>
        <c:crosses val="autoZero"/>
        <c:auto val="1"/>
        <c:lblAlgn val="ctr"/>
        <c:lblOffset val="100"/>
        <c:noMultiLvlLbl val="0"/>
      </c:catAx>
      <c:valAx>
        <c:axId val="412812832"/>
        <c:scaling>
          <c:orientation val="minMax"/>
        </c:scaling>
        <c:delete val="0"/>
        <c:axPos val="l"/>
        <c:majorGridlines/>
        <c:numFmt formatCode="0.00" sourceLinked="1"/>
        <c:majorTickMark val="out"/>
        <c:minorTickMark val="none"/>
        <c:tickLblPos val="nextTo"/>
        <c:crossAx val="41157209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158749</xdr:colOff>
      <xdr:row>90</xdr:row>
      <xdr:rowOff>117474</xdr:rowOff>
    </xdr:from>
    <xdr:to>
      <xdr:col>30</xdr:col>
      <xdr:colOff>190499</xdr:colOff>
      <xdr:row>130</xdr:row>
      <xdr:rowOff>81642</xdr:rowOff>
    </xdr:to>
    <xdr:graphicFrame macro="">
      <xdr:nvGraphicFramePr>
        <xdr:cNvPr id="2"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829237</xdr:colOff>
      <xdr:row>1</xdr:row>
      <xdr:rowOff>90207</xdr:rowOff>
    </xdr:from>
    <xdr:to>
      <xdr:col>11</xdr:col>
      <xdr:colOff>1199031</xdr:colOff>
      <xdr:row>1</xdr:row>
      <xdr:rowOff>404532</xdr:rowOff>
    </xdr:to>
    <xdr:pic>
      <xdr:nvPicPr>
        <xdr:cNvPr id="3" name="Resim 1"/>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33649" y="291913"/>
          <a:ext cx="369794"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84</xdr:row>
      <xdr:rowOff>19050</xdr:rowOff>
    </xdr:from>
    <xdr:to>
      <xdr:col>6</xdr:col>
      <xdr:colOff>76200</xdr:colOff>
      <xdr:row>98</xdr:row>
      <xdr:rowOff>95250</xdr:rowOff>
    </xdr:to>
    <xdr:graphicFrame macro="">
      <xdr:nvGraphicFramePr>
        <xdr:cNvPr id="2"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dimension ref="B1:L90"/>
  <sheetViews>
    <sheetView tabSelected="1" zoomScale="80" zoomScaleNormal="80" zoomScaleSheetLayoutView="85" workbookViewId="0">
      <selection activeCell="T4" sqref="T4"/>
    </sheetView>
  </sheetViews>
  <sheetFormatPr defaultRowHeight="15" x14ac:dyDescent="0.25"/>
  <cols>
    <col min="2" max="2" width="15.85546875" customWidth="1"/>
    <col min="3" max="5" width="15.42578125" customWidth="1"/>
    <col min="6" max="6" width="19.28515625" customWidth="1"/>
    <col min="7" max="7" width="15.42578125" style="8" customWidth="1"/>
    <col min="8" max="8" width="20.42578125" customWidth="1"/>
    <col min="9" max="9" width="17.28515625" customWidth="1"/>
    <col min="10" max="10" width="13" style="8" customWidth="1"/>
    <col min="11" max="11" width="19.5703125" customWidth="1"/>
    <col min="12" max="12" width="20.140625" customWidth="1"/>
    <col min="21" max="21" width="5.28515625" customWidth="1"/>
  </cols>
  <sheetData>
    <row r="1" spans="2:12" ht="15.75" thickBot="1" x14ac:dyDescent="0.3"/>
    <row r="2" spans="2:12" ht="37.5" customHeight="1" thickBot="1" x14ac:dyDescent="0.3">
      <c r="B2" s="33" t="s">
        <v>174</v>
      </c>
      <c r="C2" s="34"/>
      <c r="D2" s="34"/>
      <c r="E2" s="34"/>
      <c r="F2" s="34"/>
      <c r="G2" s="34"/>
      <c r="H2" s="34"/>
      <c r="I2" s="34"/>
      <c r="J2" s="34"/>
      <c r="K2" s="34"/>
      <c r="L2" s="35"/>
    </row>
    <row r="3" spans="2:12" ht="56.25" customHeight="1" x14ac:dyDescent="0.25">
      <c r="B3" s="56" t="s">
        <v>0</v>
      </c>
      <c r="C3" s="56" t="s">
        <v>1</v>
      </c>
      <c r="D3" s="40" t="s">
        <v>178</v>
      </c>
      <c r="E3" s="41"/>
      <c r="F3" s="42"/>
      <c r="G3" s="40" t="s">
        <v>175</v>
      </c>
      <c r="H3" s="41"/>
      <c r="I3" s="42"/>
      <c r="J3" s="40" t="s">
        <v>176</v>
      </c>
      <c r="K3" s="41"/>
      <c r="L3" s="42"/>
    </row>
    <row r="4" spans="2:12" ht="60.75" customHeight="1" thickBot="1" x14ac:dyDescent="0.3">
      <c r="B4" s="57"/>
      <c r="C4" s="57"/>
      <c r="D4" s="51" t="s">
        <v>173</v>
      </c>
      <c r="E4" s="52" t="s">
        <v>167</v>
      </c>
      <c r="F4" s="53" t="s">
        <v>168</v>
      </c>
      <c r="G4" s="51" t="s">
        <v>173</v>
      </c>
      <c r="H4" s="52" t="s">
        <v>167</v>
      </c>
      <c r="I4" s="53" t="s">
        <v>168</v>
      </c>
      <c r="J4" s="51" t="s">
        <v>173</v>
      </c>
      <c r="K4" s="52" t="s">
        <v>167</v>
      </c>
      <c r="L4" s="53" t="s">
        <v>168</v>
      </c>
    </row>
    <row r="5" spans="2:12" ht="20.25" customHeight="1" x14ac:dyDescent="0.25">
      <c r="B5" s="54" t="s">
        <v>83</v>
      </c>
      <c r="C5" s="55"/>
      <c r="D5" s="6">
        <f>+G5+J5</f>
        <v>612</v>
      </c>
      <c r="E5" s="47">
        <f t="shared" ref="E5:F5" si="0">+H5+K5</f>
        <v>26874.332799999996</v>
      </c>
      <c r="F5" s="48">
        <f t="shared" si="0"/>
        <v>93824.47</v>
      </c>
      <c r="G5" s="6">
        <f>SUM(G6:G86)</f>
        <v>66</v>
      </c>
      <c r="H5" s="49">
        <f>SUM(H6:H86)</f>
        <v>12424.312</v>
      </c>
      <c r="I5" s="50">
        <f t="shared" ref="I5:L5" si="1">SUM(I6:I86)</f>
        <v>44124.38</v>
      </c>
      <c r="J5" s="6">
        <f>SUM(J6:J86)</f>
        <v>546</v>
      </c>
      <c r="K5" s="49">
        <f t="shared" si="1"/>
        <v>14450.020799999995</v>
      </c>
      <c r="L5" s="50">
        <f t="shared" si="1"/>
        <v>49700.090000000004</v>
      </c>
    </row>
    <row r="6" spans="2:12" ht="15.75" customHeight="1" x14ac:dyDescent="0.25">
      <c r="B6" s="2" t="s">
        <v>142</v>
      </c>
      <c r="C6" s="36" t="s">
        <v>143</v>
      </c>
      <c r="D6" s="7"/>
      <c r="E6" s="38"/>
      <c r="F6" s="43"/>
      <c r="G6" s="7"/>
      <c r="H6" s="39"/>
      <c r="I6" s="43"/>
      <c r="J6" s="7"/>
      <c r="K6" s="39"/>
      <c r="L6" s="43"/>
    </row>
    <row r="7" spans="2:12" ht="15.75" x14ac:dyDescent="0.25">
      <c r="B7" s="2" t="s">
        <v>144</v>
      </c>
      <c r="C7" s="36" t="s">
        <v>145</v>
      </c>
      <c r="D7" s="7"/>
      <c r="E7" s="38"/>
      <c r="F7" s="43"/>
      <c r="G7" s="7"/>
      <c r="H7" s="39"/>
      <c r="I7" s="43"/>
      <c r="J7" s="7"/>
      <c r="K7" s="39"/>
      <c r="L7" s="43"/>
    </row>
    <row r="8" spans="2:12" ht="15.75" x14ac:dyDescent="0.25">
      <c r="B8" s="2" t="s">
        <v>146</v>
      </c>
      <c r="C8" s="36" t="s">
        <v>147</v>
      </c>
      <c r="D8" s="7"/>
      <c r="E8" s="38"/>
      <c r="F8" s="43"/>
      <c r="G8" s="7"/>
      <c r="H8" s="39"/>
      <c r="I8" s="43"/>
      <c r="J8" s="7"/>
      <c r="K8" s="39"/>
      <c r="L8" s="43"/>
    </row>
    <row r="9" spans="2:12" ht="15.75" x14ac:dyDescent="0.25">
      <c r="B9" s="2" t="s">
        <v>148</v>
      </c>
      <c r="C9" s="36" t="s">
        <v>149</v>
      </c>
      <c r="D9" s="7"/>
      <c r="E9" s="38"/>
      <c r="F9" s="43"/>
      <c r="G9" s="7"/>
      <c r="H9" s="39"/>
      <c r="I9" s="43"/>
      <c r="J9" s="7"/>
      <c r="K9" s="39"/>
      <c r="L9" s="43"/>
    </row>
    <row r="10" spans="2:12" ht="15.75" x14ac:dyDescent="0.25">
      <c r="B10" s="2" t="s">
        <v>74</v>
      </c>
      <c r="C10" s="36" t="s">
        <v>75</v>
      </c>
      <c r="D10" s="7">
        <f t="shared" ref="D6:D69" si="2">+G10+J10</f>
        <v>3</v>
      </c>
      <c r="E10" s="38">
        <f t="shared" ref="E6:E69" si="3">+H10+K10</f>
        <v>35.450000000000003</v>
      </c>
      <c r="F10" s="43">
        <f t="shared" ref="F6:F69" si="4">+I10+L10</f>
        <v>140.56</v>
      </c>
      <c r="G10" s="7">
        <v>1</v>
      </c>
      <c r="H10" s="39">
        <v>20.25</v>
      </c>
      <c r="I10" s="43">
        <v>72.900000000000006</v>
      </c>
      <c r="J10" s="7">
        <v>2</v>
      </c>
      <c r="K10" s="39">
        <v>15.2</v>
      </c>
      <c r="L10" s="43">
        <v>67.66</v>
      </c>
    </row>
    <row r="11" spans="2:12" ht="15.75" x14ac:dyDescent="0.25">
      <c r="B11" s="2" t="s">
        <v>150</v>
      </c>
      <c r="C11" s="36" t="s">
        <v>151</v>
      </c>
      <c r="D11" s="7"/>
      <c r="E11" s="38"/>
      <c r="F11" s="43"/>
      <c r="G11" s="7"/>
      <c r="H11" s="39"/>
      <c r="I11" s="43"/>
      <c r="J11" s="7"/>
      <c r="K11" s="39"/>
      <c r="L11" s="43"/>
    </row>
    <row r="12" spans="2:12" ht="15.75" x14ac:dyDescent="0.25">
      <c r="B12" s="2" t="s">
        <v>152</v>
      </c>
      <c r="C12" s="36" t="s">
        <v>153</v>
      </c>
      <c r="D12" s="7"/>
      <c r="E12" s="38"/>
      <c r="F12" s="43"/>
      <c r="G12" s="7"/>
      <c r="H12" s="39"/>
      <c r="I12" s="43"/>
      <c r="J12" s="7"/>
      <c r="K12" s="39"/>
      <c r="L12" s="43"/>
    </row>
    <row r="13" spans="2:12" ht="15.75" x14ac:dyDescent="0.25">
      <c r="B13" s="2" t="s">
        <v>4</v>
      </c>
      <c r="C13" s="36" t="s">
        <v>5</v>
      </c>
      <c r="D13" s="7">
        <f t="shared" si="2"/>
        <v>6</v>
      </c>
      <c r="E13" s="38">
        <f t="shared" si="3"/>
        <v>138.28</v>
      </c>
      <c r="F13" s="43">
        <f t="shared" si="4"/>
        <v>424.34999999999997</v>
      </c>
      <c r="G13" s="7">
        <v>2</v>
      </c>
      <c r="H13" s="39">
        <v>94.26</v>
      </c>
      <c r="I13" s="43">
        <v>261</v>
      </c>
      <c r="J13" s="7">
        <v>4</v>
      </c>
      <c r="K13" s="39">
        <v>44.02</v>
      </c>
      <c r="L13" s="43">
        <v>163.34999999999997</v>
      </c>
    </row>
    <row r="14" spans="2:12" ht="15.75" x14ac:dyDescent="0.25">
      <c r="B14" s="2" t="s">
        <v>52</v>
      </c>
      <c r="C14" s="36" t="s">
        <v>53</v>
      </c>
      <c r="D14" s="7">
        <f t="shared" si="2"/>
        <v>12</v>
      </c>
      <c r="E14" s="38">
        <f t="shared" si="3"/>
        <v>168.55700000000002</v>
      </c>
      <c r="F14" s="43">
        <f t="shared" si="4"/>
        <v>477.84399999999999</v>
      </c>
      <c r="G14" s="7">
        <v>1</v>
      </c>
      <c r="H14" s="39">
        <v>62</v>
      </c>
      <c r="I14" s="43">
        <v>150</v>
      </c>
      <c r="J14" s="7">
        <f>10+1</f>
        <v>11</v>
      </c>
      <c r="K14" s="39">
        <v>106.557</v>
      </c>
      <c r="L14" s="43">
        <v>327.84399999999999</v>
      </c>
    </row>
    <row r="15" spans="2:12" ht="15.75" x14ac:dyDescent="0.25">
      <c r="B15" s="2" t="s">
        <v>68</v>
      </c>
      <c r="C15" s="36" t="s">
        <v>69</v>
      </c>
      <c r="D15" s="7">
        <f t="shared" si="2"/>
        <v>16</v>
      </c>
      <c r="E15" s="38">
        <f t="shared" si="3"/>
        <v>311.673</v>
      </c>
      <c r="F15" s="43">
        <f t="shared" si="4"/>
        <v>1158.72</v>
      </c>
      <c r="G15" s="7">
        <v>1</v>
      </c>
      <c r="H15" s="39">
        <v>115</v>
      </c>
      <c r="I15" s="43">
        <v>343</v>
      </c>
      <c r="J15" s="7">
        <v>15</v>
      </c>
      <c r="K15" s="39">
        <v>196.673</v>
      </c>
      <c r="L15" s="43">
        <v>815.72</v>
      </c>
    </row>
    <row r="16" spans="2:12" ht="15.75" x14ac:dyDescent="0.25">
      <c r="B16" s="2" t="s">
        <v>6</v>
      </c>
      <c r="C16" s="36" t="s">
        <v>7</v>
      </c>
      <c r="D16" s="7">
        <f t="shared" si="2"/>
        <v>1</v>
      </c>
      <c r="E16" s="38">
        <f t="shared" si="3"/>
        <v>69</v>
      </c>
      <c r="F16" s="43">
        <f t="shared" si="4"/>
        <v>193</v>
      </c>
      <c r="G16" s="7">
        <v>1</v>
      </c>
      <c r="H16" s="39">
        <v>69</v>
      </c>
      <c r="I16" s="43">
        <v>193</v>
      </c>
      <c r="J16" s="7"/>
      <c r="K16" s="39"/>
      <c r="L16" s="43"/>
    </row>
    <row r="17" spans="2:12" ht="15.75" x14ac:dyDescent="0.25">
      <c r="B17" s="2" t="s">
        <v>116</v>
      </c>
      <c r="C17" s="36" t="s">
        <v>117</v>
      </c>
      <c r="D17" s="7">
        <f t="shared" si="2"/>
        <v>1</v>
      </c>
      <c r="E17" s="38">
        <f t="shared" si="3"/>
        <v>3</v>
      </c>
      <c r="F17" s="43">
        <f t="shared" si="4"/>
        <v>22.3</v>
      </c>
      <c r="G17" s="7"/>
      <c r="H17" s="39"/>
      <c r="I17" s="43"/>
      <c r="J17" s="7">
        <v>1</v>
      </c>
      <c r="K17" s="39">
        <v>3</v>
      </c>
      <c r="L17" s="43">
        <v>22.3</v>
      </c>
    </row>
    <row r="18" spans="2:12" ht="15.75" x14ac:dyDescent="0.25">
      <c r="B18" s="2" t="s">
        <v>112</v>
      </c>
      <c r="C18" s="36" t="s">
        <v>113</v>
      </c>
      <c r="D18" s="7">
        <f t="shared" si="2"/>
        <v>3</v>
      </c>
      <c r="E18" s="38">
        <f t="shared" si="3"/>
        <v>16.579999999999998</v>
      </c>
      <c r="F18" s="43">
        <f t="shared" si="4"/>
        <v>67.91</v>
      </c>
      <c r="G18" s="7"/>
      <c r="H18" s="39"/>
      <c r="I18" s="43"/>
      <c r="J18" s="7">
        <v>3</v>
      </c>
      <c r="K18" s="39">
        <v>16.579999999999998</v>
      </c>
      <c r="L18" s="43">
        <v>67.91</v>
      </c>
    </row>
    <row r="19" spans="2:12" ht="15.75" x14ac:dyDescent="0.25">
      <c r="B19" s="2" t="s">
        <v>154</v>
      </c>
      <c r="C19" s="36" t="s">
        <v>155</v>
      </c>
      <c r="D19" s="7"/>
      <c r="E19" s="38"/>
      <c r="F19" s="43"/>
      <c r="G19" s="7"/>
      <c r="H19" s="39"/>
      <c r="I19" s="43"/>
      <c r="J19" s="7"/>
      <c r="K19" s="39"/>
      <c r="L19" s="43"/>
    </row>
    <row r="20" spans="2:12" ht="15.75" x14ac:dyDescent="0.25">
      <c r="B20" s="2" t="s">
        <v>92</v>
      </c>
      <c r="C20" s="36" t="s">
        <v>93</v>
      </c>
      <c r="D20" s="7">
        <f t="shared" si="2"/>
        <v>13</v>
      </c>
      <c r="E20" s="38">
        <f t="shared" si="3"/>
        <v>190.03399999999999</v>
      </c>
      <c r="F20" s="43">
        <f t="shared" si="4"/>
        <v>668.54</v>
      </c>
      <c r="G20" s="7"/>
      <c r="H20" s="39"/>
      <c r="I20" s="43"/>
      <c r="J20" s="7">
        <v>13</v>
      </c>
      <c r="K20" s="39">
        <v>190.03399999999999</v>
      </c>
      <c r="L20" s="43">
        <v>668.54</v>
      </c>
    </row>
    <row r="21" spans="2:12" ht="15.75" x14ac:dyDescent="0.25">
      <c r="B21" s="2" t="s">
        <v>26</v>
      </c>
      <c r="C21" s="36" t="s">
        <v>27</v>
      </c>
      <c r="D21" s="7">
        <f t="shared" si="2"/>
        <v>4</v>
      </c>
      <c r="E21" s="38">
        <f t="shared" si="3"/>
        <v>493.06</v>
      </c>
      <c r="F21" s="43">
        <f t="shared" si="4"/>
        <v>1170.98</v>
      </c>
      <c r="G21" s="7">
        <v>3</v>
      </c>
      <c r="H21" s="39">
        <v>333.06</v>
      </c>
      <c r="I21" s="43">
        <v>770.98</v>
      </c>
      <c r="J21" s="7">
        <v>1</v>
      </c>
      <c r="K21" s="39">
        <v>160</v>
      </c>
      <c r="L21" s="43">
        <v>400</v>
      </c>
    </row>
    <row r="22" spans="2:12" ht="15.75" x14ac:dyDescent="0.25">
      <c r="B22" s="2" t="s">
        <v>86</v>
      </c>
      <c r="C22" s="36" t="s">
        <v>87</v>
      </c>
      <c r="D22" s="7">
        <f t="shared" si="2"/>
        <v>3</v>
      </c>
      <c r="E22" s="38">
        <f t="shared" si="3"/>
        <v>21.876999999999999</v>
      </c>
      <c r="F22" s="43">
        <f t="shared" si="4"/>
        <v>122.11</v>
      </c>
      <c r="G22" s="7"/>
      <c r="H22" s="39"/>
      <c r="I22" s="43"/>
      <c r="J22" s="7">
        <v>3</v>
      </c>
      <c r="K22" s="39">
        <v>21.876999999999999</v>
      </c>
      <c r="L22" s="43">
        <v>122.11</v>
      </c>
    </row>
    <row r="23" spans="2:12" ht="15.75" x14ac:dyDescent="0.25">
      <c r="B23" s="2" t="s">
        <v>132</v>
      </c>
      <c r="C23" s="36" t="s">
        <v>133</v>
      </c>
      <c r="D23" s="7">
        <f t="shared" si="2"/>
        <v>1</v>
      </c>
      <c r="E23" s="38">
        <f t="shared" si="3"/>
        <v>0.38</v>
      </c>
      <c r="F23" s="43">
        <f t="shared" si="4"/>
        <v>1.44</v>
      </c>
      <c r="G23" s="7"/>
      <c r="H23" s="39"/>
      <c r="I23" s="43"/>
      <c r="J23" s="7">
        <v>1</v>
      </c>
      <c r="K23" s="39">
        <v>0.38</v>
      </c>
      <c r="L23" s="43">
        <v>1.44</v>
      </c>
    </row>
    <row r="24" spans="2:12" ht="15.75" x14ac:dyDescent="0.25">
      <c r="B24" s="2" t="s">
        <v>84</v>
      </c>
      <c r="C24" s="36" t="s">
        <v>85</v>
      </c>
      <c r="D24" s="7">
        <f t="shared" si="2"/>
        <v>5</v>
      </c>
      <c r="E24" s="38">
        <f t="shared" si="3"/>
        <v>49.584000000000003</v>
      </c>
      <c r="F24" s="43">
        <f t="shared" si="4"/>
        <v>277.39</v>
      </c>
      <c r="G24" s="7"/>
      <c r="H24" s="39"/>
      <c r="I24" s="43"/>
      <c r="J24" s="7">
        <v>5</v>
      </c>
      <c r="K24" s="39">
        <v>49.584000000000003</v>
      </c>
      <c r="L24" s="43">
        <v>277.39</v>
      </c>
    </row>
    <row r="25" spans="2:12" ht="15.75" x14ac:dyDescent="0.25">
      <c r="B25" s="2" t="s">
        <v>108</v>
      </c>
      <c r="C25" s="36" t="s">
        <v>109</v>
      </c>
      <c r="D25" s="7">
        <f t="shared" si="2"/>
        <v>6</v>
      </c>
      <c r="E25" s="38">
        <f t="shared" si="3"/>
        <v>84.734000000000009</v>
      </c>
      <c r="F25" s="43">
        <f t="shared" si="4"/>
        <v>290.97000000000003</v>
      </c>
      <c r="G25" s="7"/>
      <c r="H25" s="39"/>
      <c r="I25" s="43"/>
      <c r="J25" s="7">
        <v>6</v>
      </c>
      <c r="K25" s="39">
        <v>84.734000000000009</v>
      </c>
      <c r="L25" s="43">
        <v>290.97000000000003</v>
      </c>
    </row>
    <row r="26" spans="2:12" ht="15.75" x14ac:dyDescent="0.25">
      <c r="B26" s="2" t="s">
        <v>130</v>
      </c>
      <c r="C26" s="36" t="s">
        <v>131</v>
      </c>
      <c r="D26" s="7">
        <f t="shared" si="2"/>
        <v>8</v>
      </c>
      <c r="E26" s="38">
        <f t="shared" si="3"/>
        <v>130.184</v>
      </c>
      <c r="F26" s="43">
        <f t="shared" si="4"/>
        <v>388.31</v>
      </c>
      <c r="G26" s="7"/>
      <c r="H26" s="39"/>
      <c r="I26" s="43"/>
      <c r="J26" s="7">
        <v>8</v>
      </c>
      <c r="K26" s="39">
        <v>130.184</v>
      </c>
      <c r="L26" s="43">
        <v>388.31</v>
      </c>
    </row>
    <row r="27" spans="2:12" ht="15.75" x14ac:dyDescent="0.25">
      <c r="B27" s="2" t="s">
        <v>156</v>
      </c>
      <c r="C27" s="36" t="s">
        <v>157</v>
      </c>
      <c r="D27" s="7"/>
      <c r="E27" s="38"/>
      <c r="F27" s="43"/>
      <c r="G27" s="7"/>
      <c r="H27" s="39"/>
      <c r="I27" s="43"/>
      <c r="J27" s="7"/>
      <c r="K27" s="39"/>
      <c r="L27" s="43"/>
    </row>
    <row r="28" spans="2:12" ht="15.75" x14ac:dyDescent="0.25">
      <c r="B28" s="2" t="s">
        <v>16</v>
      </c>
      <c r="C28" s="36" t="s">
        <v>17</v>
      </c>
      <c r="D28" s="7">
        <f t="shared" si="2"/>
        <v>4</v>
      </c>
      <c r="E28" s="38">
        <f t="shared" si="3"/>
        <v>157.309</v>
      </c>
      <c r="F28" s="43">
        <f t="shared" si="4"/>
        <v>611</v>
      </c>
      <c r="G28" s="7">
        <v>2</v>
      </c>
      <c r="H28" s="39">
        <v>130</v>
      </c>
      <c r="I28" s="43">
        <v>440</v>
      </c>
      <c r="J28" s="7">
        <v>2</v>
      </c>
      <c r="K28" s="39">
        <v>27.309000000000001</v>
      </c>
      <c r="L28" s="43">
        <v>171</v>
      </c>
    </row>
    <row r="29" spans="2:12" ht="15.75" x14ac:dyDescent="0.25">
      <c r="B29" s="2" t="s">
        <v>88</v>
      </c>
      <c r="C29" s="36" t="s">
        <v>89</v>
      </c>
      <c r="D29" s="7">
        <f t="shared" si="2"/>
        <v>5</v>
      </c>
      <c r="E29" s="38">
        <f t="shared" si="3"/>
        <v>21.341999999999999</v>
      </c>
      <c r="F29" s="43">
        <f t="shared" si="4"/>
        <v>86.4</v>
      </c>
      <c r="G29" s="7"/>
      <c r="H29" s="39"/>
      <c r="I29" s="43"/>
      <c r="J29" s="7">
        <v>5</v>
      </c>
      <c r="K29" s="39">
        <v>21.341999999999999</v>
      </c>
      <c r="L29" s="43">
        <v>86.4</v>
      </c>
    </row>
    <row r="30" spans="2:12" ht="15.75" x14ac:dyDescent="0.25">
      <c r="B30" s="2" t="s">
        <v>72</v>
      </c>
      <c r="C30" s="36" t="s">
        <v>73</v>
      </c>
      <c r="D30" s="7">
        <f t="shared" si="2"/>
        <v>9</v>
      </c>
      <c r="E30" s="38">
        <f t="shared" si="3"/>
        <v>528.80499999999995</v>
      </c>
      <c r="F30" s="43">
        <f t="shared" si="4"/>
        <v>1964.9</v>
      </c>
      <c r="G30" s="7">
        <v>1</v>
      </c>
      <c r="H30" s="39">
        <v>302.39999999999998</v>
      </c>
      <c r="I30" s="43">
        <v>1187</v>
      </c>
      <c r="J30" s="7">
        <v>8</v>
      </c>
      <c r="K30" s="39">
        <v>226.405</v>
      </c>
      <c r="L30" s="43">
        <v>777.9</v>
      </c>
    </row>
    <row r="31" spans="2:12" ht="15.75" x14ac:dyDescent="0.25">
      <c r="B31" s="2" t="s">
        <v>36</v>
      </c>
      <c r="C31" s="36" t="s">
        <v>37</v>
      </c>
      <c r="D31" s="7">
        <f t="shared" si="2"/>
        <v>24</v>
      </c>
      <c r="E31" s="38">
        <f t="shared" si="3"/>
        <v>894.86300000000006</v>
      </c>
      <c r="F31" s="43">
        <f t="shared" si="4"/>
        <v>2980.45</v>
      </c>
      <c r="G31" s="7">
        <v>2</v>
      </c>
      <c r="H31" s="39">
        <v>572</v>
      </c>
      <c r="I31" s="43">
        <v>1762</v>
      </c>
      <c r="J31" s="7">
        <v>22</v>
      </c>
      <c r="K31" s="39">
        <v>322.863</v>
      </c>
      <c r="L31" s="43">
        <v>1218.45</v>
      </c>
    </row>
    <row r="32" spans="2:12" ht="15.75" x14ac:dyDescent="0.25">
      <c r="B32" s="2" t="s">
        <v>24</v>
      </c>
      <c r="C32" s="36" t="s">
        <v>25</v>
      </c>
      <c r="D32" s="7">
        <f t="shared" si="2"/>
        <v>9</v>
      </c>
      <c r="E32" s="38">
        <f t="shared" si="3"/>
        <v>204.75799999999998</v>
      </c>
      <c r="F32" s="43">
        <f t="shared" si="4"/>
        <v>675.67000000000007</v>
      </c>
      <c r="G32" s="7">
        <v>1</v>
      </c>
      <c r="H32" s="39">
        <v>51.2</v>
      </c>
      <c r="I32" s="43">
        <v>222</v>
      </c>
      <c r="J32" s="7">
        <v>8</v>
      </c>
      <c r="K32" s="39">
        <v>153.55799999999999</v>
      </c>
      <c r="L32" s="43">
        <v>453.67</v>
      </c>
    </row>
    <row r="33" spans="2:12" ht="15.75" x14ac:dyDescent="0.25">
      <c r="B33" s="2" t="s">
        <v>42</v>
      </c>
      <c r="C33" s="36" t="s">
        <v>43</v>
      </c>
      <c r="D33" s="7"/>
      <c r="E33" s="38"/>
      <c r="F33" s="43"/>
      <c r="G33" s="7"/>
      <c r="H33" s="39"/>
      <c r="I33" s="43"/>
      <c r="J33" s="7"/>
      <c r="K33" s="39"/>
      <c r="L33" s="43"/>
    </row>
    <row r="34" spans="2:12" ht="15.75" x14ac:dyDescent="0.25">
      <c r="B34" s="2" t="s">
        <v>2</v>
      </c>
      <c r="C34" s="36" t="s">
        <v>3</v>
      </c>
      <c r="D34" s="7">
        <f t="shared" si="2"/>
        <v>23</v>
      </c>
      <c r="E34" s="38">
        <f t="shared" si="3"/>
        <v>1532.6890000000001</v>
      </c>
      <c r="F34" s="43">
        <f t="shared" si="4"/>
        <v>5463.2889999999998</v>
      </c>
      <c r="G34" s="7">
        <v>3</v>
      </c>
      <c r="H34" s="39">
        <v>234.9</v>
      </c>
      <c r="I34" s="43">
        <v>966</v>
      </c>
      <c r="J34" s="7">
        <v>20</v>
      </c>
      <c r="K34" s="39">
        <v>1297.789</v>
      </c>
      <c r="L34" s="43">
        <v>4497.2889999999998</v>
      </c>
    </row>
    <row r="35" spans="2:12" ht="15.75" x14ac:dyDescent="0.25">
      <c r="B35" s="2" t="s">
        <v>50</v>
      </c>
      <c r="C35" s="36" t="s">
        <v>51</v>
      </c>
      <c r="D35" s="7">
        <f t="shared" si="2"/>
        <v>23</v>
      </c>
      <c r="E35" s="38">
        <f t="shared" si="3"/>
        <v>591.51400000000001</v>
      </c>
      <c r="F35" s="43">
        <f t="shared" si="4"/>
        <v>2247.71</v>
      </c>
      <c r="G35" s="7">
        <v>3</v>
      </c>
      <c r="H35" s="39">
        <v>160.62</v>
      </c>
      <c r="I35" s="43">
        <v>533.65</v>
      </c>
      <c r="J35" s="7">
        <v>20</v>
      </c>
      <c r="K35" s="39">
        <v>430.89400000000001</v>
      </c>
      <c r="L35" s="43">
        <v>1714.06</v>
      </c>
    </row>
    <row r="36" spans="2:12" ht="15.75" x14ac:dyDescent="0.25">
      <c r="B36" s="2" t="s">
        <v>94</v>
      </c>
      <c r="C36" s="36" t="s">
        <v>95</v>
      </c>
      <c r="D36" s="7">
        <f t="shared" si="2"/>
        <v>2</v>
      </c>
      <c r="E36" s="38">
        <f t="shared" si="3"/>
        <v>10.252000000000001</v>
      </c>
      <c r="F36" s="43">
        <f t="shared" si="4"/>
        <v>36.86</v>
      </c>
      <c r="G36" s="7"/>
      <c r="H36" s="39"/>
      <c r="I36" s="43"/>
      <c r="J36" s="7">
        <v>2</v>
      </c>
      <c r="K36" s="39">
        <v>10.252000000000001</v>
      </c>
      <c r="L36" s="43">
        <v>36.86</v>
      </c>
    </row>
    <row r="37" spans="2:12" ht="15.75" x14ac:dyDescent="0.25">
      <c r="B37" s="2" t="s">
        <v>48</v>
      </c>
      <c r="C37" s="36" t="s">
        <v>49</v>
      </c>
      <c r="D37" s="7">
        <f t="shared" si="2"/>
        <v>38</v>
      </c>
      <c r="E37" s="38">
        <f t="shared" si="3"/>
        <v>1487.8104000000001</v>
      </c>
      <c r="F37" s="43">
        <f t="shared" si="4"/>
        <v>4445.0259999999998</v>
      </c>
      <c r="G37" s="7">
        <v>3</v>
      </c>
      <c r="H37" s="39">
        <v>367</v>
      </c>
      <c r="I37" s="43">
        <v>1415</v>
      </c>
      <c r="J37" s="7">
        <v>35</v>
      </c>
      <c r="K37" s="39">
        <v>1120.8104000000001</v>
      </c>
      <c r="L37" s="43">
        <v>3030.0259999999998</v>
      </c>
    </row>
    <row r="38" spans="2:12" ht="15.75" x14ac:dyDescent="0.25">
      <c r="B38" s="2" t="s">
        <v>34</v>
      </c>
      <c r="C38" s="36" t="s">
        <v>35</v>
      </c>
      <c r="D38" s="7">
        <f t="shared" si="2"/>
        <v>17</v>
      </c>
      <c r="E38" s="38">
        <f t="shared" si="3"/>
        <v>1081.6880000000001</v>
      </c>
      <c r="F38" s="43">
        <f t="shared" si="4"/>
        <v>3877.59</v>
      </c>
      <c r="G38" s="7">
        <v>1</v>
      </c>
      <c r="H38" s="39">
        <v>138</v>
      </c>
      <c r="I38" s="43">
        <v>569</v>
      </c>
      <c r="J38" s="7">
        <v>16</v>
      </c>
      <c r="K38" s="39">
        <v>943.68799999999999</v>
      </c>
      <c r="L38" s="43">
        <v>3308.59</v>
      </c>
    </row>
    <row r="39" spans="2:12" ht="15.75" x14ac:dyDescent="0.25">
      <c r="B39" s="2" t="s">
        <v>40</v>
      </c>
      <c r="C39" s="36" t="s">
        <v>41</v>
      </c>
      <c r="D39" s="7">
        <f t="shared" si="2"/>
        <v>2</v>
      </c>
      <c r="E39" s="38">
        <f t="shared" si="3"/>
        <v>33.700000000000003</v>
      </c>
      <c r="F39" s="43">
        <f t="shared" si="4"/>
        <v>178.36</v>
      </c>
      <c r="G39" s="7"/>
      <c r="H39" s="39"/>
      <c r="I39" s="43"/>
      <c r="J39" s="7">
        <v>2</v>
      </c>
      <c r="K39" s="39">
        <v>33.700000000000003</v>
      </c>
      <c r="L39" s="43">
        <v>178.36</v>
      </c>
    </row>
    <row r="40" spans="2:12" ht="15.75" x14ac:dyDescent="0.25">
      <c r="B40" s="2" t="s">
        <v>158</v>
      </c>
      <c r="C40" s="36" t="s">
        <v>159</v>
      </c>
      <c r="D40" s="7"/>
      <c r="E40" s="38"/>
      <c r="F40" s="43"/>
      <c r="G40" s="7"/>
      <c r="H40" s="39"/>
      <c r="I40" s="43"/>
      <c r="J40" s="7"/>
      <c r="K40" s="39"/>
      <c r="L40" s="43"/>
    </row>
    <row r="41" spans="2:12" ht="15.75" x14ac:dyDescent="0.25">
      <c r="B41" s="2" t="s">
        <v>114</v>
      </c>
      <c r="C41" s="36" t="s">
        <v>115</v>
      </c>
      <c r="D41" s="7">
        <f t="shared" si="2"/>
        <v>1</v>
      </c>
      <c r="E41" s="38">
        <f t="shared" si="3"/>
        <v>6.88E-2</v>
      </c>
      <c r="F41" s="43">
        <f t="shared" si="4"/>
        <v>0.6</v>
      </c>
      <c r="G41" s="7"/>
      <c r="H41" s="39"/>
      <c r="I41" s="43"/>
      <c r="J41" s="7">
        <v>1</v>
      </c>
      <c r="K41" s="39">
        <v>6.88E-2</v>
      </c>
      <c r="L41" s="43">
        <v>0.6</v>
      </c>
    </row>
    <row r="42" spans="2:12" ht="15.75" x14ac:dyDescent="0.25">
      <c r="B42" s="2" t="s">
        <v>124</v>
      </c>
      <c r="C42" s="36" t="s">
        <v>125</v>
      </c>
      <c r="D42" s="7">
        <f t="shared" si="2"/>
        <v>5</v>
      </c>
      <c r="E42" s="38">
        <f t="shared" si="3"/>
        <v>87.13</v>
      </c>
      <c r="F42" s="43">
        <f t="shared" si="4"/>
        <v>359.57</v>
      </c>
      <c r="G42" s="7"/>
      <c r="H42" s="39"/>
      <c r="I42" s="43"/>
      <c r="J42" s="7">
        <v>5</v>
      </c>
      <c r="K42" s="39">
        <v>87.13</v>
      </c>
      <c r="L42" s="43">
        <v>359.57</v>
      </c>
    </row>
    <row r="43" spans="2:12" ht="15.75" x14ac:dyDescent="0.25">
      <c r="B43" s="2" t="s">
        <v>8</v>
      </c>
      <c r="C43" s="36" t="s">
        <v>9</v>
      </c>
      <c r="D43" s="7">
        <f t="shared" si="2"/>
        <v>1</v>
      </c>
      <c r="E43" s="38">
        <f t="shared" si="3"/>
        <v>128</v>
      </c>
      <c r="F43" s="43">
        <f t="shared" si="4"/>
        <v>400</v>
      </c>
      <c r="G43" s="7">
        <v>1</v>
      </c>
      <c r="H43" s="39">
        <v>128</v>
      </c>
      <c r="I43" s="43">
        <v>400</v>
      </c>
      <c r="J43" s="7"/>
      <c r="K43" s="39"/>
      <c r="L43" s="43"/>
    </row>
    <row r="44" spans="2:12" ht="15.75" x14ac:dyDescent="0.25">
      <c r="B44" s="2" t="s">
        <v>96</v>
      </c>
      <c r="C44" s="36" t="s">
        <v>97</v>
      </c>
      <c r="D44" s="7">
        <f t="shared" si="2"/>
        <v>10</v>
      </c>
      <c r="E44" s="38">
        <f t="shared" si="3"/>
        <v>249.71019999999999</v>
      </c>
      <c r="F44" s="43">
        <f t="shared" si="4"/>
        <v>1132.9100000000001</v>
      </c>
      <c r="G44" s="7"/>
      <c r="H44" s="39"/>
      <c r="I44" s="43"/>
      <c r="J44" s="7">
        <v>10</v>
      </c>
      <c r="K44" s="39">
        <v>249.71019999999999</v>
      </c>
      <c r="L44" s="43">
        <v>1132.9100000000001</v>
      </c>
    </row>
    <row r="45" spans="2:12" ht="15.75" x14ac:dyDescent="0.25">
      <c r="B45" s="2" t="s">
        <v>44</v>
      </c>
      <c r="C45" s="36" t="s">
        <v>45</v>
      </c>
      <c r="D45" s="7">
        <f t="shared" si="2"/>
        <v>25</v>
      </c>
      <c r="E45" s="38">
        <f t="shared" si="3"/>
        <v>399.12200000000001</v>
      </c>
      <c r="F45" s="43">
        <f t="shared" si="4"/>
        <v>1486.586</v>
      </c>
      <c r="G45" s="7">
        <v>2</v>
      </c>
      <c r="H45" s="39">
        <v>152</v>
      </c>
      <c r="I45" s="43">
        <v>434</v>
      </c>
      <c r="J45" s="7">
        <v>23</v>
      </c>
      <c r="K45" s="39">
        <v>247.12200000000001</v>
      </c>
      <c r="L45" s="43">
        <v>1052.586</v>
      </c>
    </row>
    <row r="46" spans="2:12" ht="15.75" x14ac:dyDescent="0.25">
      <c r="B46" s="2" t="s">
        <v>160</v>
      </c>
      <c r="C46" s="36" t="s">
        <v>161</v>
      </c>
      <c r="D46" s="7">
        <f t="shared" si="2"/>
        <v>1</v>
      </c>
      <c r="E46" s="38">
        <f t="shared" si="3"/>
        <v>2.8690000000000002</v>
      </c>
      <c r="F46" s="43">
        <f t="shared" si="4"/>
        <v>13.2</v>
      </c>
      <c r="G46" s="7"/>
      <c r="H46" s="39"/>
      <c r="I46" s="43"/>
      <c r="J46" s="7">
        <v>1</v>
      </c>
      <c r="K46" s="39">
        <v>2.8690000000000002</v>
      </c>
      <c r="L46" s="43">
        <v>13.2</v>
      </c>
    </row>
    <row r="47" spans="2:12" ht="15.75" x14ac:dyDescent="0.25">
      <c r="B47" s="2" t="s">
        <v>136</v>
      </c>
      <c r="C47" s="36" t="s">
        <v>137</v>
      </c>
      <c r="D47" s="7">
        <f t="shared" si="2"/>
        <v>3</v>
      </c>
      <c r="E47" s="38">
        <f t="shared" si="3"/>
        <v>44.902999999999999</v>
      </c>
      <c r="F47" s="43">
        <f t="shared" si="4"/>
        <v>181.42</v>
      </c>
      <c r="G47" s="7"/>
      <c r="H47" s="39"/>
      <c r="I47" s="43"/>
      <c r="J47" s="7">
        <v>3</v>
      </c>
      <c r="K47" s="39">
        <v>44.902999999999999</v>
      </c>
      <c r="L47" s="43">
        <v>181.42</v>
      </c>
    </row>
    <row r="48" spans="2:12" ht="15.75" x14ac:dyDescent="0.25">
      <c r="B48" s="2" t="s">
        <v>138</v>
      </c>
      <c r="C48" s="36" t="s">
        <v>139</v>
      </c>
      <c r="D48" s="7">
        <f t="shared" si="2"/>
        <v>3</v>
      </c>
      <c r="E48" s="38">
        <f t="shared" si="3"/>
        <v>71.335999999999999</v>
      </c>
      <c r="F48" s="43">
        <f t="shared" si="4"/>
        <v>250.43</v>
      </c>
      <c r="G48" s="7"/>
      <c r="H48" s="39"/>
      <c r="I48" s="43"/>
      <c r="J48" s="7">
        <v>3</v>
      </c>
      <c r="K48" s="39">
        <v>71.335999999999999</v>
      </c>
      <c r="L48" s="43">
        <v>250.43</v>
      </c>
    </row>
    <row r="49" spans="2:12" ht="15.75" x14ac:dyDescent="0.25">
      <c r="B49" s="2" t="s">
        <v>106</v>
      </c>
      <c r="C49" s="36" t="s">
        <v>107</v>
      </c>
      <c r="D49" s="7">
        <f t="shared" si="2"/>
        <v>2</v>
      </c>
      <c r="E49" s="38">
        <f t="shared" si="3"/>
        <v>7.3140000000000001</v>
      </c>
      <c r="F49" s="43">
        <f t="shared" si="4"/>
        <v>24</v>
      </c>
      <c r="G49" s="7"/>
      <c r="H49" s="39"/>
      <c r="I49" s="43"/>
      <c r="J49" s="7">
        <v>2</v>
      </c>
      <c r="K49" s="39">
        <v>7.3140000000000001</v>
      </c>
      <c r="L49" s="43">
        <v>24</v>
      </c>
    </row>
    <row r="50" spans="2:12" ht="15.75" x14ac:dyDescent="0.25">
      <c r="B50" s="2" t="s">
        <v>120</v>
      </c>
      <c r="C50" s="36" t="s">
        <v>121</v>
      </c>
      <c r="D50" s="7">
        <f t="shared" si="2"/>
        <v>9</v>
      </c>
      <c r="E50" s="38">
        <f t="shared" si="3"/>
        <v>79.366</v>
      </c>
      <c r="F50" s="43">
        <f t="shared" si="4"/>
        <v>260.10000000000002</v>
      </c>
      <c r="G50" s="7"/>
      <c r="H50" s="39"/>
      <c r="I50" s="43"/>
      <c r="J50" s="7">
        <v>9</v>
      </c>
      <c r="K50" s="39">
        <v>79.366</v>
      </c>
      <c r="L50" s="43">
        <v>260.10000000000002</v>
      </c>
    </row>
    <row r="51" spans="2:12" ht="15.75" x14ac:dyDescent="0.25">
      <c r="B51" s="2" t="s">
        <v>140</v>
      </c>
      <c r="C51" s="36" t="s">
        <v>141</v>
      </c>
      <c r="D51" s="7">
        <f t="shared" si="2"/>
        <v>1</v>
      </c>
      <c r="E51" s="38">
        <f t="shared" si="3"/>
        <v>1.06</v>
      </c>
      <c r="F51" s="43">
        <f t="shared" si="4"/>
        <v>5</v>
      </c>
      <c r="G51" s="7"/>
      <c r="H51" s="39"/>
      <c r="I51" s="43"/>
      <c r="J51" s="7">
        <v>1</v>
      </c>
      <c r="K51" s="39">
        <v>1.06</v>
      </c>
      <c r="L51" s="43">
        <v>5</v>
      </c>
    </row>
    <row r="52" spans="2:12" ht="15.75" x14ac:dyDescent="0.25">
      <c r="B52" s="2" t="s">
        <v>126</v>
      </c>
      <c r="C52" s="36" t="s">
        <v>127</v>
      </c>
      <c r="D52" s="7">
        <f t="shared" si="2"/>
        <v>5</v>
      </c>
      <c r="E52" s="38">
        <f t="shared" si="3"/>
        <v>552.92999999999995</v>
      </c>
      <c r="F52" s="43">
        <f t="shared" si="4"/>
        <v>1603.94</v>
      </c>
      <c r="G52" s="7"/>
      <c r="H52" s="39"/>
      <c r="I52" s="43"/>
      <c r="J52" s="7">
        <v>5</v>
      </c>
      <c r="K52" s="39">
        <v>552.92999999999995</v>
      </c>
      <c r="L52" s="43">
        <v>1603.94</v>
      </c>
    </row>
    <row r="53" spans="2:12" ht="15.75" x14ac:dyDescent="0.25">
      <c r="B53" s="2" t="s">
        <v>32</v>
      </c>
      <c r="C53" s="36" t="s">
        <v>33</v>
      </c>
      <c r="D53" s="7">
        <f t="shared" si="2"/>
        <v>8</v>
      </c>
      <c r="E53" s="38">
        <f t="shared" si="3"/>
        <v>1362.68</v>
      </c>
      <c r="F53" s="43">
        <f t="shared" si="4"/>
        <v>3625.9679999999998</v>
      </c>
      <c r="G53" s="7">
        <v>5</v>
      </c>
      <c r="H53" s="39">
        <v>1333.48</v>
      </c>
      <c r="I53" s="43">
        <v>3464</v>
      </c>
      <c r="J53" s="7">
        <v>3</v>
      </c>
      <c r="K53" s="39">
        <v>29.2</v>
      </c>
      <c r="L53" s="43">
        <v>161.96799999999999</v>
      </c>
    </row>
    <row r="54" spans="2:12" ht="15.75" x14ac:dyDescent="0.25">
      <c r="B54" s="2" t="s">
        <v>12</v>
      </c>
      <c r="C54" s="36" t="s">
        <v>13</v>
      </c>
      <c r="D54" s="7">
        <f t="shared" si="2"/>
        <v>11</v>
      </c>
      <c r="E54" s="38">
        <f t="shared" si="3"/>
        <v>401.15100000000001</v>
      </c>
      <c r="F54" s="43">
        <f t="shared" si="4"/>
        <v>1922.66</v>
      </c>
      <c r="G54" s="7">
        <v>2</v>
      </c>
      <c r="H54" s="39">
        <v>117</v>
      </c>
      <c r="I54" s="43">
        <v>688</v>
      </c>
      <c r="J54" s="7">
        <v>9</v>
      </c>
      <c r="K54" s="39">
        <v>284.15100000000001</v>
      </c>
      <c r="L54" s="43">
        <v>1234.6600000000001</v>
      </c>
    </row>
    <row r="55" spans="2:12" ht="15.75" x14ac:dyDescent="0.25">
      <c r="B55" s="2" t="s">
        <v>66</v>
      </c>
      <c r="C55" s="36" t="s">
        <v>67</v>
      </c>
      <c r="D55" s="7">
        <f t="shared" si="2"/>
        <v>4</v>
      </c>
      <c r="E55" s="38">
        <f t="shared" si="3"/>
        <v>345.70000000000005</v>
      </c>
      <c r="F55" s="43">
        <f t="shared" si="4"/>
        <v>1141</v>
      </c>
      <c r="G55" s="7">
        <v>1</v>
      </c>
      <c r="H55" s="39">
        <v>210.8</v>
      </c>
      <c r="I55" s="43">
        <v>473</v>
      </c>
      <c r="J55" s="7">
        <v>3</v>
      </c>
      <c r="K55" s="39">
        <v>134.9</v>
      </c>
      <c r="L55" s="43">
        <v>668</v>
      </c>
    </row>
    <row r="56" spans="2:12" ht="15.75" x14ac:dyDescent="0.25">
      <c r="B56" s="2" t="s">
        <v>76</v>
      </c>
      <c r="C56" s="36" t="s">
        <v>77</v>
      </c>
      <c r="D56" s="7">
        <f t="shared" si="2"/>
        <v>13</v>
      </c>
      <c r="E56" s="38">
        <f t="shared" si="3"/>
        <v>163.298</v>
      </c>
      <c r="F56" s="43">
        <f t="shared" si="4"/>
        <v>576.10500000000002</v>
      </c>
      <c r="G56" s="7">
        <v>1</v>
      </c>
      <c r="H56" s="39">
        <v>0.8</v>
      </c>
      <c r="I56" s="43">
        <v>3</v>
      </c>
      <c r="J56" s="7">
        <v>12</v>
      </c>
      <c r="K56" s="39">
        <v>162.49799999999999</v>
      </c>
      <c r="L56" s="43">
        <v>573.10500000000002</v>
      </c>
    </row>
    <row r="57" spans="2:12" ht="15.75" x14ac:dyDescent="0.25">
      <c r="B57" s="2" t="s">
        <v>90</v>
      </c>
      <c r="C57" s="36" t="s">
        <v>91</v>
      </c>
      <c r="D57" s="7">
        <f t="shared" si="2"/>
        <v>43</v>
      </c>
      <c r="E57" s="38">
        <f t="shared" si="3"/>
        <v>543.79300000000001</v>
      </c>
      <c r="F57" s="43">
        <f t="shared" si="4"/>
        <v>1922.874</v>
      </c>
      <c r="G57" s="7"/>
      <c r="H57" s="39"/>
      <c r="I57" s="43"/>
      <c r="J57" s="7">
        <v>43</v>
      </c>
      <c r="K57" s="39">
        <v>543.79300000000001</v>
      </c>
      <c r="L57" s="43">
        <v>1922.874</v>
      </c>
    </row>
    <row r="58" spans="2:12" ht="15.75" x14ac:dyDescent="0.25">
      <c r="B58" s="2" t="s">
        <v>118</v>
      </c>
      <c r="C58" s="36" t="s">
        <v>119</v>
      </c>
      <c r="D58" s="7">
        <f t="shared" si="2"/>
        <v>12</v>
      </c>
      <c r="E58" s="38">
        <f t="shared" si="3"/>
        <v>363.54900000000004</v>
      </c>
      <c r="F58" s="43">
        <f t="shared" si="4"/>
        <v>1325.2840000000001</v>
      </c>
      <c r="G58" s="7">
        <v>1</v>
      </c>
      <c r="H58" s="39">
        <v>64.8</v>
      </c>
      <c r="I58" s="43">
        <v>200</v>
      </c>
      <c r="J58" s="7">
        <v>11</v>
      </c>
      <c r="K58" s="39">
        <v>298.74900000000002</v>
      </c>
      <c r="L58" s="43">
        <v>1125.2840000000001</v>
      </c>
    </row>
    <row r="59" spans="2:12" ht="15.75" x14ac:dyDescent="0.25">
      <c r="B59" s="2" t="s">
        <v>22</v>
      </c>
      <c r="C59" s="36" t="s">
        <v>23</v>
      </c>
      <c r="D59" s="7">
        <f t="shared" si="2"/>
        <v>38</v>
      </c>
      <c r="E59" s="38">
        <f t="shared" si="3"/>
        <v>1037.597</v>
      </c>
      <c r="F59" s="43">
        <f t="shared" si="4"/>
        <v>3635.4319999999998</v>
      </c>
      <c r="G59" s="7">
        <v>1</v>
      </c>
      <c r="H59" s="39">
        <v>74.5</v>
      </c>
      <c r="I59" s="43">
        <v>314</v>
      </c>
      <c r="J59" s="7">
        <v>37</v>
      </c>
      <c r="K59" s="39">
        <v>963.09699999999998</v>
      </c>
      <c r="L59" s="43">
        <v>3321.4319999999998</v>
      </c>
    </row>
    <row r="60" spans="2:12" ht="15.75" x14ac:dyDescent="0.25">
      <c r="B60" s="2" t="s">
        <v>110</v>
      </c>
      <c r="C60" s="36" t="s">
        <v>111</v>
      </c>
      <c r="D60" s="7">
        <f t="shared" si="2"/>
        <v>14</v>
      </c>
      <c r="E60" s="38">
        <f t="shared" si="3"/>
        <v>342.84399999999999</v>
      </c>
      <c r="F60" s="43">
        <f t="shared" si="4"/>
        <v>1333.4</v>
      </c>
      <c r="G60" s="7"/>
      <c r="H60" s="39"/>
      <c r="I60" s="43"/>
      <c r="J60" s="7">
        <f>13+1</f>
        <v>14</v>
      </c>
      <c r="K60" s="39">
        <v>342.84399999999999</v>
      </c>
      <c r="L60" s="43">
        <v>1333.4</v>
      </c>
    </row>
    <row r="61" spans="2:12" ht="15.75" x14ac:dyDescent="0.25">
      <c r="B61" s="2" t="s">
        <v>64</v>
      </c>
      <c r="C61" s="36" t="s">
        <v>65</v>
      </c>
      <c r="D61" s="7">
        <f t="shared" si="2"/>
        <v>22</v>
      </c>
      <c r="E61" s="38">
        <f t="shared" si="3"/>
        <v>1688.4139999999998</v>
      </c>
      <c r="F61" s="43">
        <f t="shared" si="4"/>
        <v>5427.9480000000003</v>
      </c>
      <c r="G61" s="7">
        <v>3</v>
      </c>
      <c r="H61" s="39">
        <v>1085.5999999999999</v>
      </c>
      <c r="I61" s="43">
        <v>3600.87</v>
      </c>
      <c r="J61" s="7">
        <v>19</v>
      </c>
      <c r="K61" s="39">
        <v>602.81399999999996</v>
      </c>
      <c r="L61" s="43">
        <v>1827.078</v>
      </c>
    </row>
    <row r="62" spans="2:12" ht="15.75" x14ac:dyDescent="0.25">
      <c r="B62" s="2" t="s">
        <v>60</v>
      </c>
      <c r="C62" s="36" t="s">
        <v>61</v>
      </c>
      <c r="D62" s="7">
        <f t="shared" si="2"/>
        <v>10</v>
      </c>
      <c r="E62" s="38">
        <f t="shared" si="3"/>
        <v>427.11699999999996</v>
      </c>
      <c r="F62" s="43">
        <f t="shared" si="4"/>
        <v>1231.8499999999999</v>
      </c>
      <c r="G62" s="7">
        <v>2</v>
      </c>
      <c r="H62" s="39">
        <v>188.2</v>
      </c>
      <c r="I62" s="43">
        <v>520.28</v>
      </c>
      <c r="J62" s="7">
        <v>8</v>
      </c>
      <c r="K62" s="39">
        <v>238.917</v>
      </c>
      <c r="L62" s="43">
        <v>711.57</v>
      </c>
    </row>
    <row r="63" spans="2:12" ht="15.75" x14ac:dyDescent="0.25">
      <c r="B63" s="2" t="s">
        <v>54</v>
      </c>
      <c r="C63" s="36" t="s">
        <v>55</v>
      </c>
      <c r="D63" s="7">
        <f t="shared" si="2"/>
        <v>26</v>
      </c>
      <c r="E63" s="38">
        <f t="shared" si="3"/>
        <v>769.56799999999998</v>
      </c>
      <c r="F63" s="43">
        <f t="shared" si="4"/>
        <v>2552.15</v>
      </c>
      <c r="G63" s="7">
        <v>1</v>
      </c>
      <c r="H63" s="39">
        <v>20.92</v>
      </c>
      <c r="I63" s="43">
        <v>36</v>
      </c>
      <c r="J63" s="7">
        <v>25</v>
      </c>
      <c r="K63" s="39">
        <v>748.64800000000002</v>
      </c>
      <c r="L63" s="43">
        <v>2516.15</v>
      </c>
    </row>
    <row r="64" spans="2:12" ht="15.75" x14ac:dyDescent="0.25">
      <c r="B64" s="2" t="s">
        <v>10</v>
      </c>
      <c r="C64" s="36" t="s">
        <v>11</v>
      </c>
      <c r="D64" s="7">
        <f t="shared" si="2"/>
        <v>13</v>
      </c>
      <c r="E64" s="38">
        <f t="shared" si="3"/>
        <v>284.50800000000004</v>
      </c>
      <c r="F64" s="43">
        <f t="shared" si="4"/>
        <v>1035.95</v>
      </c>
      <c r="G64" s="7">
        <v>2</v>
      </c>
      <c r="H64" s="39">
        <v>18.04</v>
      </c>
      <c r="I64" s="43">
        <v>69</v>
      </c>
      <c r="J64" s="7">
        <v>11</v>
      </c>
      <c r="K64" s="39">
        <v>266.46800000000002</v>
      </c>
      <c r="L64" s="43">
        <v>966.95</v>
      </c>
    </row>
    <row r="65" spans="2:12" ht="15.75" x14ac:dyDescent="0.25">
      <c r="B65" s="2" t="s">
        <v>104</v>
      </c>
      <c r="C65" s="36" t="s">
        <v>105</v>
      </c>
      <c r="D65" s="7">
        <f t="shared" si="2"/>
        <v>3</v>
      </c>
      <c r="E65" s="38">
        <f t="shared" si="3"/>
        <v>25.702999999999999</v>
      </c>
      <c r="F65" s="43">
        <f t="shared" si="4"/>
        <v>94.55</v>
      </c>
      <c r="G65" s="7"/>
      <c r="H65" s="39"/>
      <c r="I65" s="43"/>
      <c r="J65" s="7">
        <v>3</v>
      </c>
      <c r="K65" s="39">
        <v>25.702999999999999</v>
      </c>
      <c r="L65" s="43">
        <v>94.55</v>
      </c>
    </row>
    <row r="66" spans="2:12" ht="15.75" x14ac:dyDescent="0.25">
      <c r="B66" s="2" t="s">
        <v>162</v>
      </c>
      <c r="C66" s="36" t="s">
        <v>163</v>
      </c>
      <c r="D66" s="7"/>
      <c r="E66" s="38"/>
      <c r="F66" s="43"/>
      <c r="G66" s="7"/>
      <c r="H66" s="39"/>
      <c r="I66" s="43"/>
      <c r="J66" s="7"/>
      <c r="K66" s="39"/>
      <c r="L66" s="43"/>
    </row>
    <row r="67" spans="2:12" ht="15.75" x14ac:dyDescent="0.25">
      <c r="B67" s="2" t="s">
        <v>30</v>
      </c>
      <c r="C67" s="36" t="s">
        <v>31</v>
      </c>
      <c r="D67" s="7">
        <f t="shared" si="2"/>
        <v>9</v>
      </c>
      <c r="E67" s="38">
        <f t="shared" si="3"/>
        <v>148.87139999999999</v>
      </c>
      <c r="F67" s="43">
        <f t="shared" si="4"/>
        <v>522.221</v>
      </c>
      <c r="G67" s="7">
        <v>1</v>
      </c>
      <c r="H67" s="39">
        <v>15.36</v>
      </c>
      <c r="I67" s="43">
        <v>48</v>
      </c>
      <c r="J67" s="7">
        <v>8</v>
      </c>
      <c r="K67" s="39">
        <v>133.51140000000001</v>
      </c>
      <c r="L67" s="43">
        <v>474.221</v>
      </c>
    </row>
    <row r="68" spans="2:12" ht="15.75" x14ac:dyDescent="0.25">
      <c r="B68" s="2" t="s">
        <v>14</v>
      </c>
      <c r="C68" s="36" t="s">
        <v>15</v>
      </c>
      <c r="D68" s="7">
        <f t="shared" si="2"/>
        <v>3</v>
      </c>
      <c r="E68" s="38">
        <f t="shared" si="3"/>
        <v>22.896000000000001</v>
      </c>
      <c r="F68" s="43">
        <f t="shared" si="4"/>
        <v>87.88</v>
      </c>
      <c r="G68" s="7">
        <v>1</v>
      </c>
      <c r="H68" s="39">
        <v>2.76</v>
      </c>
      <c r="I68" s="43">
        <v>12</v>
      </c>
      <c r="J68" s="7">
        <v>2</v>
      </c>
      <c r="K68" s="39">
        <v>20.135999999999999</v>
      </c>
      <c r="L68" s="43">
        <v>75.88</v>
      </c>
    </row>
    <row r="69" spans="2:12" ht="15.75" x14ac:dyDescent="0.25">
      <c r="B69" s="2" t="s">
        <v>134</v>
      </c>
      <c r="C69" s="36" t="s">
        <v>135</v>
      </c>
      <c r="D69" s="7">
        <f t="shared" si="2"/>
        <v>5</v>
      </c>
      <c r="E69" s="38">
        <f t="shared" si="3"/>
        <v>160.74799999999999</v>
      </c>
      <c r="F69" s="43">
        <f t="shared" si="4"/>
        <v>499.47800000000001</v>
      </c>
      <c r="G69" s="7"/>
      <c r="H69" s="39"/>
      <c r="I69" s="43"/>
      <c r="J69" s="7">
        <v>5</v>
      </c>
      <c r="K69" s="39">
        <v>160.74799999999999</v>
      </c>
      <c r="L69" s="43">
        <v>499.47800000000001</v>
      </c>
    </row>
    <row r="70" spans="2:12" ht="15.75" x14ac:dyDescent="0.25">
      <c r="B70" s="2" t="s">
        <v>78</v>
      </c>
      <c r="C70" s="36" t="s">
        <v>79</v>
      </c>
      <c r="D70" s="7">
        <f t="shared" ref="D70:D86" si="5">+G70+J70</f>
        <v>10</v>
      </c>
      <c r="E70" s="38">
        <f t="shared" ref="E70:E86" si="6">+H70+K70</f>
        <v>64.676000000000002</v>
      </c>
      <c r="F70" s="43">
        <f t="shared" ref="F70:F86" si="7">+I70+L70</f>
        <v>290.73500000000001</v>
      </c>
      <c r="G70" s="7">
        <v>1</v>
      </c>
      <c r="H70" s="39">
        <v>0.83199999999999996</v>
      </c>
      <c r="I70" s="43">
        <v>2.2000000000000002</v>
      </c>
      <c r="J70" s="7">
        <v>9</v>
      </c>
      <c r="K70" s="39">
        <v>63.844000000000001</v>
      </c>
      <c r="L70" s="43">
        <v>288.53500000000003</v>
      </c>
    </row>
    <row r="71" spans="2:12" ht="15.75" x14ac:dyDescent="0.25">
      <c r="B71" s="2" t="s">
        <v>28</v>
      </c>
      <c r="C71" s="36" t="s">
        <v>29</v>
      </c>
      <c r="D71" s="7">
        <f t="shared" si="5"/>
        <v>9</v>
      </c>
      <c r="E71" s="38">
        <f t="shared" si="6"/>
        <v>2263.7849999999999</v>
      </c>
      <c r="F71" s="43">
        <f t="shared" si="7"/>
        <v>8924.7720000000008</v>
      </c>
      <c r="G71" s="7">
        <v>1</v>
      </c>
      <c r="H71" s="39">
        <v>1330</v>
      </c>
      <c r="I71" s="43">
        <v>6600</v>
      </c>
      <c r="J71" s="7">
        <v>8</v>
      </c>
      <c r="K71" s="39">
        <v>933.78499999999997</v>
      </c>
      <c r="L71" s="43">
        <v>2324.7719999999999</v>
      </c>
    </row>
    <row r="72" spans="2:12" ht="15.75" x14ac:dyDescent="0.25">
      <c r="B72" s="2" t="s">
        <v>56</v>
      </c>
      <c r="C72" s="36" t="s">
        <v>57</v>
      </c>
      <c r="D72" s="7">
        <f t="shared" si="5"/>
        <v>4</v>
      </c>
      <c r="E72" s="38">
        <f t="shared" si="6"/>
        <v>221.43600000000001</v>
      </c>
      <c r="F72" s="43">
        <f t="shared" si="7"/>
        <v>563.98</v>
      </c>
      <c r="G72" s="7">
        <v>1</v>
      </c>
      <c r="H72" s="39">
        <v>170</v>
      </c>
      <c r="I72" s="43">
        <v>413</v>
      </c>
      <c r="J72" s="7">
        <v>3</v>
      </c>
      <c r="K72" s="39">
        <v>51.436</v>
      </c>
      <c r="L72" s="43">
        <v>150.97999999999999</v>
      </c>
    </row>
    <row r="73" spans="2:12" ht="15.75" x14ac:dyDescent="0.25">
      <c r="B73" s="2" t="s">
        <v>62</v>
      </c>
      <c r="C73" s="36" t="s">
        <v>63</v>
      </c>
      <c r="D73" s="7">
        <f t="shared" si="5"/>
        <v>4</v>
      </c>
      <c r="E73" s="38">
        <f t="shared" si="6"/>
        <v>105.76</v>
      </c>
      <c r="F73" s="43">
        <f t="shared" si="7"/>
        <v>416.75</v>
      </c>
      <c r="G73" s="7">
        <v>1</v>
      </c>
      <c r="H73" s="39">
        <v>19.2</v>
      </c>
      <c r="I73" s="43">
        <v>78</v>
      </c>
      <c r="J73" s="7">
        <v>3</v>
      </c>
      <c r="K73" s="39">
        <v>86.56</v>
      </c>
      <c r="L73" s="43">
        <v>338.75</v>
      </c>
    </row>
    <row r="74" spans="2:12" ht="15.75" x14ac:dyDescent="0.25">
      <c r="B74" s="2" t="s">
        <v>20</v>
      </c>
      <c r="C74" s="36" t="s">
        <v>21</v>
      </c>
      <c r="D74" s="7">
        <f t="shared" si="5"/>
        <v>6</v>
      </c>
      <c r="E74" s="38">
        <f t="shared" si="6"/>
        <v>63.054000000000002</v>
      </c>
      <c r="F74" s="43">
        <f t="shared" si="7"/>
        <v>251.66</v>
      </c>
      <c r="G74" s="7">
        <v>4</v>
      </c>
      <c r="H74" s="39">
        <v>18.29</v>
      </c>
      <c r="I74" s="43">
        <v>72.5</v>
      </c>
      <c r="J74" s="7">
        <v>2</v>
      </c>
      <c r="K74" s="39">
        <v>44.764000000000003</v>
      </c>
      <c r="L74" s="43">
        <v>179.16</v>
      </c>
    </row>
    <row r="75" spans="2:12" ht="15.75" x14ac:dyDescent="0.25">
      <c r="B75" s="2" t="s">
        <v>70</v>
      </c>
      <c r="C75" s="36" t="s">
        <v>71</v>
      </c>
      <c r="D75" s="7">
        <f t="shared" si="5"/>
        <v>4</v>
      </c>
      <c r="E75" s="38">
        <f t="shared" si="6"/>
        <v>165.25800000000001</v>
      </c>
      <c r="F75" s="43">
        <f t="shared" si="7"/>
        <v>502.93</v>
      </c>
      <c r="G75" s="7">
        <v>1</v>
      </c>
      <c r="H75" s="39">
        <v>160</v>
      </c>
      <c r="I75" s="43">
        <v>488</v>
      </c>
      <c r="J75" s="7">
        <v>3</v>
      </c>
      <c r="K75" s="39">
        <v>5.258</v>
      </c>
      <c r="L75" s="43">
        <v>14.93</v>
      </c>
    </row>
    <row r="76" spans="2:12" ht="15.75" x14ac:dyDescent="0.25">
      <c r="B76" s="2" t="s">
        <v>98</v>
      </c>
      <c r="C76" s="36" t="s">
        <v>99</v>
      </c>
      <c r="D76" s="7">
        <f t="shared" si="5"/>
        <v>2</v>
      </c>
      <c r="E76" s="38">
        <f t="shared" si="6"/>
        <v>0.59499999999999997</v>
      </c>
      <c r="F76" s="43">
        <f t="shared" si="7"/>
        <v>3.0649999999999999</v>
      </c>
      <c r="G76" s="7"/>
      <c r="H76" s="39"/>
      <c r="I76" s="43"/>
      <c r="J76" s="7">
        <v>2</v>
      </c>
      <c r="K76" s="39">
        <v>0.59499999999999997</v>
      </c>
      <c r="L76" s="43">
        <v>3.0649999999999999</v>
      </c>
    </row>
    <row r="77" spans="2:12" ht="15.75" x14ac:dyDescent="0.25">
      <c r="B77" s="2" t="s">
        <v>100</v>
      </c>
      <c r="C77" s="36" t="s">
        <v>101</v>
      </c>
      <c r="D77" s="7">
        <f t="shared" si="5"/>
        <v>3</v>
      </c>
      <c r="E77" s="38">
        <f t="shared" si="6"/>
        <v>47.712000000000003</v>
      </c>
      <c r="F77" s="43">
        <f t="shared" si="7"/>
        <v>160.41800000000001</v>
      </c>
      <c r="G77" s="7"/>
      <c r="H77" s="39"/>
      <c r="I77" s="43"/>
      <c r="J77" s="7">
        <v>3</v>
      </c>
      <c r="K77" s="39">
        <v>47.712000000000003</v>
      </c>
      <c r="L77" s="43">
        <v>160.41800000000001</v>
      </c>
    </row>
    <row r="78" spans="2:12" ht="15.75" x14ac:dyDescent="0.25">
      <c r="B78" s="2" t="s">
        <v>128</v>
      </c>
      <c r="C78" s="36" t="s">
        <v>129</v>
      </c>
      <c r="D78" s="7">
        <f t="shared" si="5"/>
        <v>2</v>
      </c>
      <c r="E78" s="38">
        <f t="shared" si="6"/>
        <v>2.25</v>
      </c>
      <c r="F78" s="43">
        <f t="shared" si="7"/>
        <v>11.52</v>
      </c>
      <c r="G78" s="7"/>
      <c r="H78" s="39"/>
      <c r="I78" s="43"/>
      <c r="J78" s="7">
        <v>2</v>
      </c>
      <c r="K78" s="39">
        <v>2.25</v>
      </c>
      <c r="L78" s="43">
        <v>11.52</v>
      </c>
    </row>
    <row r="79" spans="2:12" ht="15.75" x14ac:dyDescent="0.25">
      <c r="B79" s="2" t="s">
        <v>102</v>
      </c>
      <c r="C79" s="36" t="s">
        <v>103</v>
      </c>
      <c r="D79" s="7">
        <f t="shared" si="5"/>
        <v>13</v>
      </c>
      <c r="E79" s="38">
        <f t="shared" si="6"/>
        <v>190.76</v>
      </c>
      <c r="F79" s="43">
        <f t="shared" si="7"/>
        <v>762.72</v>
      </c>
      <c r="G79" s="7"/>
      <c r="H79" s="39"/>
      <c r="I79" s="43"/>
      <c r="J79" s="7">
        <v>13</v>
      </c>
      <c r="K79" s="39">
        <v>190.76</v>
      </c>
      <c r="L79" s="43">
        <v>762.72</v>
      </c>
    </row>
    <row r="80" spans="2:12" ht="15.75" x14ac:dyDescent="0.25">
      <c r="B80" s="2" t="s">
        <v>164</v>
      </c>
      <c r="C80" s="36" t="s">
        <v>165</v>
      </c>
      <c r="D80" s="7"/>
      <c r="E80" s="38"/>
      <c r="F80" s="43"/>
      <c r="G80" s="7"/>
      <c r="H80" s="39"/>
      <c r="I80" s="43"/>
      <c r="J80" s="7"/>
      <c r="K80" s="39"/>
      <c r="L80" s="43"/>
    </row>
    <row r="81" spans="2:12" ht="15.75" x14ac:dyDescent="0.25">
      <c r="B81" s="2" t="s">
        <v>46</v>
      </c>
      <c r="C81" s="36" t="s">
        <v>47</v>
      </c>
      <c r="D81" s="7">
        <f t="shared" si="5"/>
        <v>3</v>
      </c>
      <c r="E81" s="38">
        <f t="shared" si="6"/>
        <v>3128</v>
      </c>
      <c r="F81" s="43">
        <f t="shared" si="7"/>
        <v>11540</v>
      </c>
      <c r="G81" s="7">
        <v>2</v>
      </c>
      <c r="H81" s="39">
        <v>2456</v>
      </c>
      <c r="I81" s="43">
        <v>9024</v>
      </c>
      <c r="J81" s="7">
        <v>1</v>
      </c>
      <c r="K81" s="39">
        <v>672</v>
      </c>
      <c r="L81" s="43">
        <v>2516</v>
      </c>
    </row>
    <row r="82" spans="2:12" ht="15.75" x14ac:dyDescent="0.25">
      <c r="B82" s="2" t="s">
        <v>38</v>
      </c>
      <c r="C82" s="36" t="s">
        <v>39</v>
      </c>
      <c r="D82" s="7">
        <f t="shared" si="5"/>
        <v>6</v>
      </c>
      <c r="E82" s="38">
        <f t="shared" si="6"/>
        <v>2051.6529999999998</v>
      </c>
      <c r="F82" s="43">
        <f t="shared" si="7"/>
        <v>7948.0950000000003</v>
      </c>
      <c r="G82" s="7">
        <v>3</v>
      </c>
      <c r="H82" s="39">
        <v>2004.5</v>
      </c>
      <c r="I82" s="43">
        <v>7798</v>
      </c>
      <c r="J82" s="7">
        <v>3</v>
      </c>
      <c r="K82" s="39">
        <v>47.152999999999999</v>
      </c>
      <c r="L82" s="43">
        <v>150.095</v>
      </c>
    </row>
    <row r="83" spans="2:12" ht="15.75" x14ac:dyDescent="0.25">
      <c r="B83" s="2" t="s">
        <v>18</v>
      </c>
      <c r="C83" s="36" t="s">
        <v>19</v>
      </c>
      <c r="D83" s="7">
        <f t="shared" si="5"/>
        <v>1</v>
      </c>
      <c r="E83" s="38">
        <f t="shared" si="6"/>
        <v>4.9000000000000004</v>
      </c>
      <c r="F83" s="43">
        <f t="shared" si="7"/>
        <v>16.8</v>
      </c>
      <c r="G83" s="7">
        <v>1</v>
      </c>
      <c r="H83" s="39">
        <v>4.9000000000000004</v>
      </c>
      <c r="I83" s="43">
        <v>16.8</v>
      </c>
      <c r="J83" s="7"/>
      <c r="K83" s="39"/>
      <c r="L83" s="43"/>
    </row>
    <row r="84" spans="2:12" ht="15.75" x14ac:dyDescent="0.25">
      <c r="B84" s="2" t="s">
        <v>58</v>
      </c>
      <c r="C84" s="36" t="s">
        <v>59</v>
      </c>
      <c r="D84" s="7">
        <f t="shared" si="5"/>
        <v>2</v>
      </c>
      <c r="E84" s="38">
        <f t="shared" si="6"/>
        <v>250</v>
      </c>
      <c r="F84" s="43">
        <f t="shared" si="7"/>
        <v>708.34</v>
      </c>
      <c r="G84" s="7">
        <v>1</v>
      </c>
      <c r="H84" s="39">
        <v>198</v>
      </c>
      <c r="I84" s="43">
        <v>483</v>
      </c>
      <c r="J84" s="7">
        <v>1</v>
      </c>
      <c r="K84" s="39">
        <v>52</v>
      </c>
      <c r="L84" s="43">
        <v>225.34</v>
      </c>
    </row>
    <row r="85" spans="2:12" ht="15.75" x14ac:dyDescent="0.25">
      <c r="B85" s="2" t="s">
        <v>80</v>
      </c>
      <c r="C85" s="36" t="s">
        <v>81</v>
      </c>
      <c r="D85" s="7">
        <f t="shared" si="5"/>
        <v>1</v>
      </c>
      <c r="E85" s="38">
        <f t="shared" si="6"/>
        <v>0.64</v>
      </c>
      <c r="F85" s="43">
        <f t="shared" si="7"/>
        <v>1.2</v>
      </c>
      <c r="G85" s="7">
        <v>1</v>
      </c>
      <c r="H85" s="39">
        <v>0.64</v>
      </c>
      <c r="I85" s="43">
        <v>1.2</v>
      </c>
      <c r="J85" s="7"/>
      <c r="K85" s="39"/>
      <c r="L85" s="43"/>
    </row>
    <row r="86" spans="2:12" ht="16.5" thickBot="1" x14ac:dyDescent="0.3">
      <c r="B86" s="10" t="s">
        <v>122</v>
      </c>
      <c r="C86" s="37" t="s">
        <v>123</v>
      </c>
      <c r="D86" s="11">
        <f t="shared" si="5"/>
        <v>4</v>
      </c>
      <c r="E86" s="44">
        <f t="shared" si="6"/>
        <v>344.48399999999998</v>
      </c>
      <c r="F86" s="45">
        <f t="shared" si="7"/>
        <v>1097.3</v>
      </c>
      <c r="G86" s="11"/>
      <c r="H86" s="46"/>
      <c r="I86" s="45"/>
      <c r="J86" s="11">
        <v>4</v>
      </c>
      <c r="K86" s="46">
        <v>344.48399999999998</v>
      </c>
      <c r="L86" s="45">
        <v>1097.3</v>
      </c>
    </row>
    <row r="88" spans="2:12" x14ac:dyDescent="0.25">
      <c r="B88" s="1" t="s">
        <v>82</v>
      </c>
    </row>
    <row r="89" spans="2:12" x14ac:dyDescent="0.25">
      <c r="B89" s="1" t="s">
        <v>166</v>
      </c>
    </row>
    <row r="90" spans="2:12" ht="181.5" customHeight="1" x14ac:dyDescent="0.25">
      <c r="B90" s="32" t="s">
        <v>177</v>
      </c>
      <c r="C90" s="32"/>
      <c r="D90" s="32"/>
      <c r="E90" s="32"/>
      <c r="F90" s="32"/>
      <c r="G90" s="32"/>
      <c r="H90" s="32"/>
      <c r="I90" s="32"/>
      <c r="J90" s="32"/>
      <c r="K90" s="32"/>
      <c r="L90" s="32"/>
    </row>
  </sheetData>
  <mergeCells count="7">
    <mergeCell ref="B90:L90"/>
    <mergeCell ref="B3:B4"/>
    <mergeCell ref="C3:C4"/>
    <mergeCell ref="B2:L2"/>
    <mergeCell ref="G3:I3"/>
    <mergeCell ref="J3:L3"/>
    <mergeCell ref="D3:F3"/>
  </mergeCells>
  <printOptions horizontalCentered="1"/>
  <pageMargins left="0.31496062992125984" right="0.51181102362204722" top="0.55118110236220474" bottom="0.55118110236220474" header="0.31496062992125984" footer="0.31496062992125984"/>
  <pageSetup paperSize="9" scale="61" orientation="portrait" r:id="rId1"/>
  <rowBreaks count="1" manualBreakCount="1">
    <brk id="90"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dimension ref="A1:S84"/>
  <sheetViews>
    <sheetView topLeftCell="A52" zoomScale="80" zoomScaleNormal="80" workbookViewId="0">
      <selection activeCell="E6" sqref="E6:E81"/>
    </sheetView>
  </sheetViews>
  <sheetFormatPr defaultRowHeight="15" x14ac:dyDescent="0.25"/>
  <cols>
    <col min="2" max="2" width="13.7109375" customWidth="1"/>
    <col min="3" max="3" width="31.7109375" customWidth="1"/>
    <col min="4" max="4" width="32" customWidth="1"/>
    <col min="5" max="5" width="21.28515625" customWidth="1"/>
    <col min="6" max="6" width="23.42578125" customWidth="1"/>
    <col min="10" max="10" width="18.140625" customWidth="1"/>
    <col min="11" max="11" width="16" customWidth="1"/>
    <col min="12" max="13" width="16.140625" customWidth="1"/>
    <col min="15" max="19" width="14.140625" customWidth="1"/>
  </cols>
  <sheetData>
    <row r="1" spans="1:19" ht="75" x14ac:dyDescent="0.25">
      <c r="C1" s="5" t="s">
        <v>169</v>
      </c>
      <c r="D1" s="5" t="s">
        <v>172</v>
      </c>
      <c r="E1" s="5" t="s">
        <v>171</v>
      </c>
      <c r="F1" s="5" t="s">
        <v>170</v>
      </c>
    </row>
    <row r="2" spans="1:19" ht="15.75" x14ac:dyDescent="0.25">
      <c r="A2" s="2" t="s">
        <v>142</v>
      </c>
      <c r="B2" s="2" t="s">
        <v>143</v>
      </c>
      <c r="C2" s="26"/>
      <c r="D2" s="25"/>
      <c r="E2" s="3"/>
      <c r="F2" s="9"/>
      <c r="J2" s="28" t="s">
        <v>47</v>
      </c>
      <c r="K2" s="20">
        <v>2456</v>
      </c>
      <c r="L2" s="28" t="s">
        <v>47</v>
      </c>
      <c r="M2" s="20">
        <v>9024</v>
      </c>
      <c r="O2" s="29" t="s">
        <v>75</v>
      </c>
      <c r="P2" s="29">
        <v>15.2</v>
      </c>
      <c r="Q2" s="29"/>
      <c r="R2" s="29" t="s">
        <v>75</v>
      </c>
      <c r="S2" s="29">
        <v>67.66</v>
      </c>
    </row>
    <row r="3" spans="1:19" ht="15.75" x14ac:dyDescent="0.25">
      <c r="A3" s="2" t="s">
        <v>144</v>
      </c>
      <c r="B3" s="2" t="s">
        <v>145</v>
      </c>
      <c r="C3" s="4"/>
      <c r="D3" s="4"/>
      <c r="E3" s="3"/>
      <c r="F3" s="9"/>
      <c r="J3" s="28" t="s">
        <v>39</v>
      </c>
      <c r="K3" s="20">
        <v>2004.5</v>
      </c>
      <c r="L3" s="28" t="s">
        <v>39</v>
      </c>
      <c r="M3" s="20">
        <v>7798</v>
      </c>
      <c r="O3" s="29" t="s">
        <v>5</v>
      </c>
      <c r="P3" s="29">
        <v>44.02</v>
      </c>
      <c r="Q3" s="29"/>
      <c r="R3" s="29" t="s">
        <v>5</v>
      </c>
      <c r="S3" s="29">
        <v>163.34999999999997</v>
      </c>
    </row>
    <row r="4" spans="1:19" ht="15.75" x14ac:dyDescent="0.25">
      <c r="A4" s="2" t="s">
        <v>146</v>
      </c>
      <c r="B4" s="2" t="s">
        <v>147</v>
      </c>
      <c r="C4" s="4"/>
      <c r="D4" s="4"/>
      <c r="E4" s="3"/>
      <c r="F4" s="9"/>
      <c r="J4" s="28" t="s">
        <v>33</v>
      </c>
      <c r="K4" s="20">
        <v>1333.48</v>
      </c>
      <c r="L4" s="28" t="s">
        <v>29</v>
      </c>
      <c r="M4" s="20">
        <v>6600</v>
      </c>
      <c r="O4" s="29" t="s">
        <v>53</v>
      </c>
      <c r="P4" s="29">
        <v>106.557</v>
      </c>
      <c r="Q4" s="29"/>
      <c r="R4" s="29" t="s">
        <v>53</v>
      </c>
      <c r="S4" s="29">
        <v>327.84399999999999</v>
      </c>
    </row>
    <row r="5" spans="1:19" ht="15.75" x14ac:dyDescent="0.25">
      <c r="A5" s="2" t="s">
        <v>148</v>
      </c>
      <c r="B5" s="2" t="s">
        <v>149</v>
      </c>
      <c r="C5" s="4"/>
      <c r="D5" s="4"/>
      <c r="E5" s="3"/>
      <c r="F5" s="9"/>
      <c r="J5" s="28" t="s">
        <v>29</v>
      </c>
      <c r="K5" s="20">
        <v>1330</v>
      </c>
      <c r="L5" s="28" t="s">
        <v>65</v>
      </c>
      <c r="M5" s="20">
        <v>3600.87</v>
      </c>
      <c r="O5" s="29" t="s">
        <v>69</v>
      </c>
      <c r="P5" s="29">
        <v>196.67299999999997</v>
      </c>
      <c r="Q5" s="29"/>
      <c r="R5" s="29" t="s">
        <v>69</v>
      </c>
      <c r="S5" s="29">
        <v>815.72</v>
      </c>
    </row>
    <row r="6" spans="1:19" ht="15.75" x14ac:dyDescent="0.25">
      <c r="A6" s="2" t="s">
        <v>74</v>
      </c>
      <c r="B6" s="2" t="s">
        <v>75</v>
      </c>
      <c r="C6" s="4">
        <v>20.25</v>
      </c>
      <c r="D6" s="4">
        <v>15.2</v>
      </c>
      <c r="E6" s="3">
        <v>72.900000000000006</v>
      </c>
      <c r="F6" s="9">
        <v>67.66</v>
      </c>
      <c r="J6" s="27" t="s">
        <v>65</v>
      </c>
      <c r="K6" s="21">
        <v>1085.5999999999999</v>
      </c>
      <c r="L6" s="27" t="s">
        <v>33</v>
      </c>
      <c r="M6" s="20">
        <v>3464</v>
      </c>
      <c r="O6" s="29" t="s">
        <v>117</v>
      </c>
      <c r="P6" s="29">
        <v>3</v>
      </c>
      <c r="Q6" s="29"/>
      <c r="R6" s="29" t="s">
        <v>117</v>
      </c>
      <c r="S6" s="29">
        <v>22.3</v>
      </c>
    </row>
    <row r="7" spans="1:19" ht="15.75" x14ac:dyDescent="0.25">
      <c r="A7" s="2" t="s">
        <v>150</v>
      </c>
      <c r="B7" s="2" t="s">
        <v>151</v>
      </c>
      <c r="C7" s="4"/>
      <c r="D7" s="4"/>
      <c r="E7" s="3"/>
      <c r="F7" s="9"/>
      <c r="J7" s="28" t="s">
        <v>37</v>
      </c>
      <c r="K7" s="22">
        <v>572</v>
      </c>
      <c r="L7" s="28" t="s">
        <v>37</v>
      </c>
      <c r="M7" s="20">
        <v>1762</v>
      </c>
      <c r="O7" s="29" t="s">
        <v>113</v>
      </c>
      <c r="P7" s="29">
        <v>16.579999999999998</v>
      </c>
      <c r="Q7" s="29"/>
      <c r="R7" s="29" t="s">
        <v>113</v>
      </c>
      <c r="S7" s="29">
        <v>67.91</v>
      </c>
    </row>
    <row r="8" spans="1:19" ht="15.75" x14ac:dyDescent="0.25">
      <c r="A8" s="2" t="s">
        <v>152</v>
      </c>
      <c r="B8" s="2" t="s">
        <v>153</v>
      </c>
      <c r="C8" s="4"/>
      <c r="D8" s="4"/>
      <c r="E8" s="3"/>
      <c r="F8" s="9"/>
      <c r="J8" s="28" t="s">
        <v>49</v>
      </c>
      <c r="K8" s="20">
        <v>367</v>
      </c>
      <c r="L8" s="28" t="s">
        <v>49</v>
      </c>
      <c r="M8" s="20">
        <v>1415</v>
      </c>
      <c r="O8" s="29" t="s">
        <v>93</v>
      </c>
      <c r="P8" s="29">
        <v>190.03400000000002</v>
      </c>
      <c r="Q8" s="29"/>
      <c r="R8" s="29" t="s">
        <v>93</v>
      </c>
      <c r="S8" s="29">
        <v>668.54000000000008</v>
      </c>
    </row>
    <row r="9" spans="1:19" ht="15.75" x14ac:dyDescent="0.25">
      <c r="A9" s="2" t="s">
        <v>4</v>
      </c>
      <c r="B9" s="2" t="s">
        <v>5</v>
      </c>
      <c r="C9" s="4">
        <v>94.26</v>
      </c>
      <c r="D9" s="4">
        <v>44.02</v>
      </c>
      <c r="E9" s="3">
        <v>261</v>
      </c>
      <c r="F9" s="9">
        <v>163.34999999999997</v>
      </c>
      <c r="J9" s="28" t="s">
        <v>27</v>
      </c>
      <c r="K9" s="20">
        <v>333.06</v>
      </c>
      <c r="L9" s="28" t="s">
        <v>73</v>
      </c>
      <c r="M9" s="20">
        <v>1187</v>
      </c>
      <c r="O9" s="29" t="s">
        <v>27</v>
      </c>
      <c r="P9" s="29">
        <v>160</v>
      </c>
      <c r="Q9" s="29"/>
      <c r="R9" s="29" t="s">
        <v>27</v>
      </c>
      <c r="S9" s="29">
        <v>400</v>
      </c>
    </row>
    <row r="10" spans="1:19" ht="15.75" x14ac:dyDescent="0.25">
      <c r="A10" s="2" t="s">
        <v>52</v>
      </c>
      <c r="B10" s="2" t="s">
        <v>53</v>
      </c>
      <c r="C10" s="4">
        <v>62</v>
      </c>
      <c r="D10" s="4">
        <v>106.557</v>
      </c>
      <c r="E10" s="3">
        <v>150</v>
      </c>
      <c r="F10" s="9">
        <v>327.84399999999999</v>
      </c>
      <c r="J10" s="27" t="s">
        <v>73</v>
      </c>
      <c r="K10" s="20">
        <v>302.39999999999998</v>
      </c>
      <c r="L10" s="27" t="s">
        <v>3</v>
      </c>
      <c r="M10" s="20">
        <v>966</v>
      </c>
      <c r="O10" s="29" t="s">
        <v>87</v>
      </c>
      <c r="P10" s="29">
        <v>21.876999999999999</v>
      </c>
      <c r="Q10" s="29"/>
      <c r="R10" s="29" t="s">
        <v>87</v>
      </c>
      <c r="S10" s="29">
        <v>122.11</v>
      </c>
    </row>
    <row r="11" spans="1:19" ht="15.75" x14ac:dyDescent="0.25">
      <c r="A11" s="2" t="s">
        <v>68</v>
      </c>
      <c r="B11" s="2" t="s">
        <v>69</v>
      </c>
      <c r="C11" s="4">
        <v>115</v>
      </c>
      <c r="D11" s="4">
        <v>196.673</v>
      </c>
      <c r="E11" s="3">
        <v>343</v>
      </c>
      <c r="F11" s="9">
        <v>815.72</v>
      </c>
      <c r="J11" s="28" t="s">
        <v>3</v>
      </c>
      <c r="K11" s="22">
        <v>234.9</v>
      </c>
      <c r="L11" s="28" t="s">
        <v>27</v>
      </c>
      <c r="M11" s="22">
        <v>770.98</v>
      </c>
      <c r="O11" s="29" t="s">
        <v>133</v>
      </c>
      <c r="P11" s="29">
        <v>0.38</v>
      </c>
      <c r="Q11" s="29"/>
      <c r="R11" s="29" t="s">
        <v>133</v>
      </c>
      <c r="S11" s="29">
        <v>1.44</v>
      </c>
    </row>
    <row r="12" spans="1:19" ht="15.75" x14ac:dyDescent="0.25">
      <c r="A12" s="2" t="s">
        <v>6</v>
      </c>
      <c r="B12" s="2" t="s">
        <v>7</v>
      </c>
      <c r="C12" s="4">
        <v>69</v>
      </c>
      <c r="D12" s="4"/>
      <c r="E12" s="3">
        <v>193</v>
      </c>
      <c r="F12" s="9"/>
      <c r="J12" s="27" t="s">
        <v>67</v>
      </c>
      <c r="K12" s="20">
        <v>210.8</v>
      </c>
      <c r="L12" s="27" t="s">
        <v>13</v>
      </c>
      <c r="M12" s="20">
        <v>688</v>
      </c>
      <c r="O12" s="29" t="s">
        <v>85</v>
      </c>
      <c r="P12" s="29">
        <v>49.584000000000003</v>
      </c>
      <c r="Q12" s="29"/>
      <c r="R12" s="29" t="s">
        <v>85</v>
      </c>
      <c r="S12" s="29">
        <v>277.39</v>
      </c>
    </row>
    <row r="13" spans="1:19" ht="31.5" x14ac:dyDescent="0.25">
      <c r="A13" s="2" t="s">
        <v>116</v>
      </c>
      <c r="B13" s="2" t="s">
        <v>117</v>
      </c>
      <c r="C13" s="4"/>
      <c r="D13" s="4">
        <v>3</v>
      </c>
      <c r="E13" s="3"/>
      <c r="F13" s="9">
        <v>22.3</v>
      </c>
      <c r="J13" s="28" t="s">
        <v>59</v>
      </c>
      <c r="K13" s="20">
        <v>198</v>
      </c>
      <c r="L13" s="28" t="s">
        <v>35</v>
      </c>
      <c r="M13" s="20">
        <v>569</v>
      </c>
      <c r="O13" s="29" t="s">
        <v>109</v>
      </c>
      <c r="P13" s="29">
        <v>84.734000000000009</v>
      </c>
      <c r="Q13" s="29"/>
      <c r="R13" s="29" t="s">
        <v>109</v>
      </c>
      <c r="S13" s="29">
        <v>290.97000000000003</v>
      </c>
    </row>
    <row r="14" spans="1:19" ht="15.75" x14ac:dyDescent="0.25">
      <c r="A14" s="2" t="s">
        <v>112</v>
      </c>
      <c r="B14" s="2" t="s">
        <v>113</v>
      </c>
      <c r="C14" s="4"/>
      <c r="D14" s="4">
        <v>16.579999999999998</v>
      </c>
      <c r="E14" s="3"/>
      <c r="F14" s="9">
        <v>67.91</v>
      </c>
      <c r="J14" s="28" t="s">
        <v>61</v>
      </c>
      <c r="K14" s="20">
        <v>188.2</v>
      </c>
      <c r="L14" s="28" t="s">
        <v>51</v>
      </c>
      <c r="M14" s="20">
        <v>533.65</v>
      </c>
      <c r="O14" s="29" t="s">
        <v>131</v>
      </c>
      <c r="P14" s="29">
        <v>130.184</v>
      </c>
      <c r="Q14" s="29"/>
      <c r="R14" s="29" t="s">
        <v>131</v>
      </c>
      <c r="S14" s="29">
        <v>388.31</v>
      </c>
    </row>
    <row r="15" spans="1:19" ht="15.75" x14ac:dyDescent="0.25">
      <c r="A15" s="2" t="s">
        <v>154</v>
      </c>
      <c r="B15" s="2" t="s">
        <v>155</v>
      </c>
      <c r="C15" s="4"/>
      <c r="D15" s="4"/>
      <c r="E15" s="3"/>
      <c r="F15" s="9"/>
      <c r="J15" s="19" t="s">
        <v>57</v>
      </c>
      <c r="K15" s="20">
        <v>170</v>
      </c>
      <c r="L15" s="28" t="s">
        <v>61</v>
      </c>
      <c r="M15" s="20">
        <v>520.28</v>
      </c>
      <c r="O15" s="29" t="s">
        <v>17</v>
      </c>
      <c r="P15" s="29">
        <v>27.309000000000001</v>
      </c>
      <c r="Q15" s="29"/>
      <c r="R15" s="29" t="s">
        <v>17</v>
      </c>
      <c r="S15" s="29">
        <v>171</v>
      </c>
    </row>
    <row r="16" spans="1:19" ht="15.75" x14ac:dyDescent="0.25">
      <c r="A16" s="2" t="s">
        <v>92</v>
      </c>
      <c r="B16" s="2" t="s">
        <v>93</v>
      </c>
      <c r="C16" s="4"/>
      <c r="D16" s="4">
        <v>190.03399999999999</v>
      </c>
      <c r="E16" s="3"/>
      <c r="F16" s="9">
        <v>668.54</v>
      </c>
      <c r="J16" s="27" t="s">
        <v>51</v>
      </c>
      <c r="K16" s="20">
        <v>160.62</v>
      </c>
      <c r="L16" s="27" t="s">
        <v>71</v>
      </c>
      <c r="M16" s="20">
        <v>488</v>
      </c>
      <c r="O16" s="29" t="s">
        <v>89</v>
      </c>
      <c r="P16" s="29">
        <v>21.342000000000002</v>
      </c>
      <c r="Q16" s="29"/>
      <c r="R16" s="29" t="s">
        <v>89</v>
      </c>
      <c r="S16" s="29">
        <v>86.4</v>
      </c>
    </row>
    <row r="17" spans="1:19" ht="15.75" x14ac:dyDescent="0.25">
      <c r="A17" s="2" t="s">
        <v>26</v>
      </c>
      <c r="B17" s="2" t="s">
        <v>27</v>
      </c>
      <c r="C17" s="4">
        <v>333.06</v>
      </c>
      <c r="D17" s="4">
        <v>160</v>
      </c>
      <c r="E17" s="3">
        <v>770.98</v>
      </c>
      <c r="F17" s="9">
        <v>400</v>
      </c>
      <c r="J17" s="27" t="s">
        <v>71</v>
      </c>
      <c r="K17" s="20">
        <v>160</v>
      </c>
      <c r="L17" s="27" t="s">
        <v>59</v>
      </c>
      <c r="M17" s="20">
        <v>483</v>
      </c>
      <c r="O17" s="29" t="s">
        <v>73</v>
      </c>
      <c r="P17" s="29">
        <v>226.405</v>
      </c>
      <c r="Q17" s="29"/>
      <c r="R17" s="29" t="s">
        <v>73</v>
      </c>
      <c r="S17" s="29">
        <v>777.90000000000009</v>
      </c>
    </row>
    <row r="18" spans="1:19" ht="15.75" x14ac:dyDescent="0.25">
      <c r="A18" s="2" t="s">
        <v>86</v>
      </c>
      <c r="B18" s="2" t="s">
        <v>87</v>
      </c>
      <c r="C18" s="4"/>
      <c r="D18" s="4">
        <v>21.876999999999999</v>
      </c>
      <c r="E18" s="3"/>
      <c r="F18" s="9">
        <v>122.11</v>
      </c>
      <c r="J18" s="28" t="s">
        <v>45</v>
      </c>
      <c r="K18" s="20">
        <v>152</v>
      </c>
      <c r="L18" s="28" t="s">
        <v>67</v>
      </c>
      <c r="M18" s="20">
        <v>473</v>
      </c>
      <c r="O18" s="29" t="s">
        <v>37</v>
      </c>
      <c r="P18" s="29">
        <v>322.863</v>
      </c>
      <c r="Q18" s="29"/>
      <c r="R18" s="29" t="s">
        <v>37</v>
      </c>
      <c r="S18" s="29">
        <v>1218.45</v>
      </c>
    </row>
    <row r="19" spans="1:19" ht="15.75" x14ac:dyDescent="0.25">
      <c r="A19" s="2" t="s">
        <v>132</v>
      </c>
      <c r="B19" s="2" t="s">
        <v>133</v>
      </c>
      <c r="C19" s="4"/>
      <c r="D19" s="4">
        <v>0.38</v>
      </c>
      <c r="E19" s="3"/>
      <c r="F19" s="9">
        <v>1.44</v>
      </c>
      <c r="J19" s="28" t="s">
        <v>35</v>
      </c>
      <c r="K19" s="20">
        <v>138</v>
      </c>
      <c r="L19" s="28" t="s">
        <v>17</v>
      </c>
      <c r="M19" s="20">
        <v>440</v>
      </c>
      <c r="O19" s="29" t="s">
        <v>25</v>
      </c>
      <c r="P19" s="29">
        <v>153.55799999999999</v>
      </c>
      <c r="Q19" s="29"/>
      <c r="R19" s="29" t="s">
        <v>25</v>
      </c>
      <c r="S19" s="29">
        <v>453.67</v>
      </c>
    </row>
    <row r="20" spans="1:19" ht="15.75" x14ac:dyDescent="0.25">
      <c r="A20" s="2" t="s">
        <v>84</v>
      </c>
      <c r="B20" s="2" t="s">
        <v>85</v>
      </c>
      <c r="C20" s="4"/>
      <c r="D20" s="4">
        <v>49.584000000000003</v>
      </c>
      <c r="E20" s="3"/>
      <c r="F20" s="9">
        <v>277.39</v>
      </c>
      <c r="J20" s="28" t="s">
        <v>17</v>
      </c>
      <c r="K20" s="22">
        <v>130</v>
      </c>
      <c r="L20" s="28" t="s">
        <v>45</v>
      </c>
      <c r="M20" s="22">
        <v>434</v>
      </c>
      <c r="O20" s="29" t="s">
        <v>3</v>
      </c>
      <c r="P20" s="29">
        <v>1297.7890000000002</v>
      </c>
      <c r="Q20" s="29"/>
      <c r="R20" s="29" t="s">
        <v>3</v>
      </c>
      <c r="S20" s="29">
        <v>4497.2890000000007</v>
      </c>
    </row>
    <row r="21" spans="1:19" ht="15.75" x14ac:dyDescent="0.25">
      <c r="A21" s="2" t="s">
        <v>108</v>
      </c>
      <c r="B21" s="2" t="s">
        <v>109</v>
      </c>
      <c r="C21" s="4"/>
      <c r="D21" s="4">
        <v>84.734000000000009</v>
      </c>
      <c r="E21" s="3"/>
      <c r="F21" s="9">
        <v>290.97000000000003</v>
      </c>
      <c r="J21" s="28" t="s">
        <v>9</v>
      </c>
      <c r="K21" s="20">
        <v>128</v>
      </c>
      <c r="L21" s="28" t="s">
        <v>57</v>
      </c>
      <c r="M21" s="20">
        <v>413</v>
      </c>
      <c r="O21" s="29" t="s">
        <v>51</v>
      </c>
      <c r="P21" s="29">
        <v>430.89400000000001</v>
      </c>
      <c r="Q21" s="29"/>
      <c r="R21" s="29" t="s">
        <v>51</v>
      </c>
      <c r="S21" s="29">
        <v>1714.06</v>
      </c>
    </row>
    <row r="22" spans="1:19" ht="15.75" x14ac:dyDescent="0.25">
      <c r="A22" s="2" t="s">
        <v>130</v>
      </c>
      <c r="B22" s="2" t="s">
        <v>131</v>
      </c>
      <c r="C22" s="4"/>
      <c r="D22" s="4">
        <v>130.184</v>
      </c>
      <c r="E22" s="3"/>
      <c r="F22" s="9">
        <v>388.31</v>
      </c>
      <c r="J22" s="28" t="s">
        <v>13</v>
      </c>
      <c r="K22" s="20">
        <v>117</v>
      </c>
      <c r="L22" s="28" t="s">
        <v>9</v>
      </c>
      <c r="M22" s="20">
        <v>400</v>
      </c>
      <c r="O22" s="29" t="s">
        <v>95</v>
      </c>
      <c r="P22" s="29">
        <v>10.252000000000001</v>
      </c>
      <c r="Q22" s="29"/>
      <c r="R22" s="29" t="s">
        <v>95</v>
      </c>
      <c r="S22" s="29">
        <v>36.86</v>
      </c>
    </row>
    <row r="23" spans="1:19" ht="15.75" x14ac:dyDescent="0.25">
      <c r="A23" s="2" t="s">
        <v>156</v>
      </c>
      <c r="B23" s="2" t="s">
        <v>157</v>
      </c>
      <c r="C23" s="4"/>
      <c r="D23" s="4"/>
      <c r="E23" s="3"/>
      <c r="F23" s="9"/>
      <c r="J23" s="27" t="s">
        <v>69</v>
      </c>
      <c r="K23" s="20">
        <v>115</v>
      </c>
      <c r="L23" s="27" t="s">
        <v>69</v>
      </c>
      <c r="M23" s="20">
        <v>343</v>
      </c>
      <c r="O23" s="29" t="s">
        <v>49</v>
      </c>
      <c r="P23" s="29">
        <v>1120.8104000000003</v>
      </c>
      <c r="Q23" s="29"/>
      <c r="R23" s="29" t="s">
        <v>49</v>
      </c>
      <c r="S23" s="29">
        <v>3030.0259999999998</v>
      </c>
    </row>
    <row r="24" spans="1:19" ht="15.75" x14ac:dyDescent="0.25">
      <c r="A24" s="2" t="s">
        <v>16</v>
      </c>
      <c r="B24" s="2" t="s">
        <v>17</v>
      </c>
      <c r="C24" s="4">
        <v>130</v>
      </c>
      <c r="D24" s="4">
        <v>27.309000000000001</v>
      </c>
      <c r="E24" s="3">
        <v>440</v>
      </c>
      <c r="F24" s="9">
        <v>171</v>
      </c>
      <c r="J24" s="28" t="s">
        <v>5</v>
      </c>
      <c r="K24" s="21">
        <v>94.26</v>
      </c>
      <c r="L24" s="28" t="s">
        <v>23</v>
      </c>
      <c r="M24" s="22">
        <v>314</v>
      </c>
      <c r="O24" s="29" t="s">
        <v>35</v>
      </c>
      <c r="P24" s="29">
        <v>943.68799999999999</v>
      </c>
      <c r="Q24" s="29"/>
      <c r="R24" s="29" t="s">
        <v>35</v>
      </c>
      <c r="S24" s="29">
        <v>3308.59</v>
      </c>
    </row>
    <row r="25" spans="1:19" ht="15.75" x14ac:dyDescent="0.25">
      <c r="A25" s="2" t="s">
        <v>88</v>
      </c>
      <c r="B25" s="2" t="s">
        <v>89</v>
      </c>
      <c r="C25" s="4"/>
      <c r="D25" s="4">
        <v>21.341999999999999</v>
      </c>
      <c r="E25" s="3"/>
      <c r="F25" s="9">
        <v>86.4</v>
      </c>
      <c r="J25" s="28" t="s">
        <v>23</v>
      </c>
      <c r="K25" s="20">
        <v>74.5</v>
      </c>
      <c r="L25" s="28" t="s">
        <v>5</v>
      </c>
      <c r="M25" s="20">
        <v>261</v>
      </c>
      <c r="O25" s="29" t="s">
        <v>41</v>
      </c>
      <c r="P25" s="29">
        <v>33.700000000000003</v>
      </c>
      <c r="Q25" s="29"/>
      <c r="R25" s="29" t="s">
        <v>41</v>
      </c>
      <c r="S25" s="29">
        <v>178.36</v>
      </c>
    </row>
    <row r="26" spans="1:19" ht="15.75" x14ac:dyDescent="0.25">
      <c r="A26" s="2" t="s">
        <v>72</v>
      </c>
      <c r="B26" s="2" t="s">
        <v>73</v>
      </c>
      <c r="C26" s="4">
        <v>302.39999999999998</v>
      </c>
      <c r="D26" s="4">
        <v>226.405</v>
      </c>
      <c r="E26" s="3">
        <v>1187</v>
      </c>
      <c r="F26" s="9">
        <v>777.9</v>
      </c>
      <c r="J26" s="28" t="s">
        <v>7</v>
      </c>
      <c r="K26" s="20">
        <v>69</v>
      </c>
      <c r="L26" s="28" t="s">
        <v>25</v>
      </c>
      <c r="M26" s="20">
        <v>222</v>
      </c>
      <c r="O26" s="29" t="s">
        <v>115</v>
      </c>
      <c r="P26" s="29">
        <v>6.88E-2</v>
      </c>
      <c r="Q26" s="29"/>
      <c r="R26" s="29" t="s">
        <v>115</v>
      </c>
      <c r="S26" s="29">
        <v>0.6</v>
      </c>
    </row>
    <row r="27" spans="1:19" ht="15.75" x14ac:dyDescent="0.25">
      <c r="A27" s="2" t="s">
        <v>36</v>
      </c>
      <c r="B27" s="2" t="s">
        <v>37</v>
      </c>
      <c r="C27" s="4">
        <v>572</v>
      </c>
      <c r="D27" s="4">
        <v>322.863</v>
      </c>
      <c r="E27" s="3">
        <v>1762</v>
      </c>
      <c r="F27" s="9">
        <v>1218.45</v>
      </c>
      <c r="J27" s="28" t="s">
        <v>53</v>
      </c>
      <c r="K27" s="20">
        <v>62</v>
      </c>
      <c r="L27" s="28" t="s">
        <v>119</v>
      </c>
      <c r="M27" s="20">
        <v>200</v>
      </c>
      <c r="O27" s="29" t="s">
        <v>125</v>
      </c>
      <c r="P27" s="29">
        <v>87.13000000000001</v>
      </c>
      <c r="Q27" s="29"/>
      <c r="R27" s="29" t="s">
        <v>125</v>
      </c>
      <c r="S27" s="29">
        <v>359.57</v>
      </c>
    </row>
    <row r="28" spans="1:19" ht="15.75" x14ac:dyDescent="0.25">
      <c r="A28" s="2" t="s">
        <v>24</v>
      </c>
      <c r="B28" s="2" t="s">
        <v>25</v>
      </c>
      <c r="C28" s="4">
        <v>51.2</v>
      </c>
      <c r="D28" s="4">
        <v>153.55799999999999</v>
      </c>
      <c r="E28" s="3">
        <v>222</v>
      </c>
      <c r="F28" s="9">
        <v>453.67</v>
      </c>
      <c r="J28" s="23" t="s">
        <v>119</v>
      </c>
      <c r="K28" s="24">
        <v>64.8</v>
      </c>
      <c r="L28" s="28" t="s">
        <v>7</v>
      </c>
      <c r="M28" s="20">
        <v>193</v>
      </c>
      <c r="O28" s="29" t="s">
        <v>97</v>
      </c>
      <c r="P28" s="29">
        <v>249.71019999999999</v>
      </c>
      <c r="Q28" s="29"/>
      <c r="R28" s="29" t="s">
        <v>97</v>
      </c>
      <c r="S28" s="29">
        <v>1132.9100000000001</v>
      </c>
    </row>
    <row r="29" spans="1:19" ht="15.75" x14ac:dyDescent="0.25">
      <c r="A29" s="2" t="s">
        <v>42</v>
      </c>
      <c r="B29" s="2" t="s">
        <v>43</v>
      </c>
      <c r="C29" s="4"/>
      <c r="D29" s="4"/>
      <c r="E29" s="3"/>
      <c r="F29" s="9"/>
      <c r="J29" s="28" t="s">
        <v>25</v>
      </c>
      <c r="K29" s="20">
        <v>51.2</v>
      </c>
      <c r="L29" s="28" t="s">
        <v>53</v>
      </c>
      <c r="M29" s="20">
        <v>150</v>
      </c>
      <c r="O29" s="29" t="s">
        <v>45</v>
      </c>
      <c r="P29" s="29">
        <v>247.12200000000001</v>
      </c>
      <c r="R29" s="29" t="s">
        <v>45</v>
      </c>
      <c r="S29" s="29">
        <v>1052.5859999999998</v>
      </c>
    </row>
    <row r="30" spans="1:19" ht="15.75" x14ac:dyDescent="0.25">
      <c r="A30" s="2" t="s">
        <v>2</v>
      </c>
      <c r="B30" s="2" t="s">
        <v>3</v>
      </c>
      <c r="C30" s="4">
        <v>234.9</v>
      </c>
      <c r="D30" s="4">
        <v>1297.789</v>
      </c>
      <c r="E30" s="3">
        <v>966</v>
      </c>
      <c r="F30" s="9">
        <v>4497.2889999999998</v>
      </c>
      <c r="J30" s="28" t="s">
        <v>55</v>
      </c>
      <c r="K30" s="24">
        <v>20.92</v>
      </c>
      <c r="L30" s="28" t="s">
        <v>63</v>
      </c>
      <c r="M30" s="20">
        <v>78</v>
      </c>
      <c r="O30" s="29" t="s">
        <v>161</v>
      </c>
      <c r="P30" s="29">
        <v>2.8690000000000002</v>
      </c>
      <c r="R30" s="29" t="s">
        <v>161</v>
      </c>
      <c r="S30" s="29">
        <v>13.2</v>
      </c>
    </row>
    <row r="31" spans="1:19" ht="15.75" x14ac:dyDescent="0.25">
      <c r="A31" s="2" t="s">
        <v>50</v>
      </c>
      <c r="B31" s="2" t="s">
        <v>51</v>
      </c>
      <c r="C31" s="4">
        <v>160.62</v>
      </c>
      <c r="D31" s="4">
        <v>430.89400000000001</v>
      </c>
      <c r="E31" s="3">
        <v>533.65</v>
      </c>
      <c r="F31" s="9">
        <v>1714.06</v>
      </c>
      <c r="J31" s="27" t="s">
        <v>75</v>
      </c>
      <c r="K31" s="20">
        <v>20.25</v>
      </c>
      <c r="L31" s="27" t="s">
        <v>75</v>
      </c>
      <c r="M31" s="20">
        <v>72.900000000000006</v>
      </c>
      <c r="O31" s="29" t="s">
        <v>137</v>
      </c>
      <c r="P31" s="29">
        <v>44.903000000000006</v>
      </c>
      <c r="R31" s="29" t="s">
        <v>137</v>
      </c>
      <c r="S31" s="29">
        <v>181.42000000000002</v>
      </c>
    </row>
    <row r="32" spans="1:19" ht="15.75" x14ac:dyDescent="0.25">
      <c r="A32" s="2" t="s">
        <v>94</v>
      </c>
      <c r="B32" s="2" t="s">
        <v>95</v>
      </c>
      <c r="C32" s="4"/>
      <c r="D32" s="4">
        <v>10.252000000000001</v>
      </c>
      <c r="E32" s="3"/>
      <c r="F32" s="9">
        <v>36.86</v>
      </c>
      <c r="J32" s="28" t="s">
        <v>63</v>
      </c>
      <c r="K32" s="22">
        <v>19.2</v>
      </c>
      <c r="L32" s="28" t="s">
        <v>21</v>
      </c>
      <c r="M32" s="22">
        <v>72.5</v>
      </c>
      <c r="O32" s="29" t="s">
        <v>139</v>
      </c>
      <c r="P32" s="29">
        <v>71.335999999999999</v>
      </c>
      <c r="R32" s="29" t="s">
        <v>139</v>
      </c>
      <c r="S32" s="29">
        <v>250.43</v>
      </c>
    </row>
    <row r="33" spans="1:19" ht="31.5" x14ac:dyDescent="0.25">
      <c r="A33" s="2" t="s">
        <v>48</v>
      </c>
      <c r="B33" s="2" t="s">
        <v>49</v>
      </c>
      <c r="C33" s="4">
        <v>367</v>
      </c>
      <c r="D33" s="30">
        <v>1120.8104000000001</v>
      </c>
      <c r="E33" s="3">
        <v>1415</v>
      </c>
      <c r="F33" s="9">
        <v>3030.0259999999998</v>
      </c>
      <c r="J33" s="28" t="s">
        <v>11</v>
      </c>
      <c r="K33" s="21">
        <v>18.04</v>
      </c>
      <c r="L33" s="28" t="s">
        <v>11</v>
      </c>
      <c r="M33" s="22">
        <v>69</v>
      </c>
      <c r="O33" s="29" t="s">
        <v>107</v>
      </c>
      <c r="P33" s="29">
        <v>7.3140000000000001</v>
      </c>
      <c r="R33" s="29" t="s">
        <v>107</v>
      </c>
      <c r="S33" s="29">
        <v>24</v>
      </c>
    </row>
    <row r="34" spans="1:19" ht="15.75" x14ac:dyDescent="0.25">
      <c r="A34" s="2" t="s">
        <v>34</v>
      </c>
      <c r="B34" s="2" t="s">
        <v>35</v>
      </c>
      <c r="C34" s="4">
        <v>138</v>
      </c>
      <c r="D34" s="4">
        <v>943.68799999999999</v>
      </c>
      <c r="E34" s="3">
        <v>569</v>
      </c>
      <c r="F34" s="9">
        <v>3308.59</v>
      </c>
      <c r="J34" s="28" t="s">
        <v>21</v>
      </c>
      <c r="K34" s="24">
        <v>18.29</v>
      </c>
      <c r="L34" s="28" t="s">
        <v>31</v>
      </c>
      <c r="M34" s="20">
        <v>48</v>
      </c>
      <c r="O34" s="29" t="s">
        <v>121</v>
      </c>
      <c r="P34" s="29">
        <v>79.366</v>
      </c>
      <c r="R34" s="29" t="s">
        <v>121</v>
      </c>
      <c r="S34" s="29">
        <v>260.09999999999997</v>
      </c>
    </row>
    <row r="35" spans="1:19" ht="15.75" x14ac:dyDescent="0.25">
      <c r="A35" s="2" t="s">
        <v>40</v>
      </c>
      <c r="B35" s="2" t="s">
        <v>41</v>
      </c>
      <c r="C35" s="4"/>
      <c r="D35" s="4">
        <v>33.700000000000003</v>
      </c>
      <c r="E35" s="3"/>
      <c r="F35" s="9">
        <v>178.36</v>
      </c>
      <c r="J35" s="28" t="s">
        <v>31</v>
      </c>
      <c r="K35" s="20">
        <v>15.36</v>
      </c>
      <c r="L35" s="28" t="s">
        <v>55</v>
      </c>
      <c r="M35" s="20">
        <v>36</v>
      </c>
      <c r="O35" s="29" t="s">
        <v>141</v>
      </c>
      <c r="P35" s="29">
        <v>1.06</v>
      </c>
      <c r="R35" s="29" t="s">
        <v>141</v>
      </c>
      <c r="S35" s="29">
        <v>5</v>
      </c>
    </row>
    <row r="36" spans="1:19" ht="15.75" x14ac:dyDescent="0.25">
      <c r="A36" s="2" t="s">
        <v>158</v>
      </c>
      <c r="B36" s="2" t="s">
        <v>159</v>
      </c>
      <c r="C36" s="4"/>
      <c r="D36" s="4"/>
      <c r="E36" s="3"/>
      <c r="F36" s="9"/>
      <c r="J36" s="28" t="s">
        <v>19</v>
      </c>
      <c r="K36" s="24">
        <v>4.9000000000000004</v>
      </c>
      <c r="L36" s="28" t="s">
        <v>19</v>
      </c>
      <c r="M36" s="20">
        <v>16.8</v>
      </c>
      <c r="O36" s="29" t="s">
        <v>127</v>
      </c>
      <c r="P36" s="29">
        <v>552.93000000000006</v>
      </c>
      <c r="R36" s="29" t="s">
        <v>127</v>
      </c>
      <c r="S36" s="29">
        <v>1603.94</v>
      </c>
    </row>
    <row r="37" spans="1:19" ht="15.75" x14ac:dyDescent="0.25">
      <c r="A37" s="2" t="s">
        <v>114</v>
      </c>
      <c r="B37" s="2" t="s">
        <v>115</v>
      </c>
      <c r="C37" s="4"/>
      <c r="D37" s="30">
        <v>6.88E-2</v>
      </c>
      <c r="E37" s="3"/>
      <c r="F37" s="9">
        <v>0.6</v>
      </c>
      <c r="J37" s="28" t="s">
        <v>15</v>
      </c>
      <c r="K37" s="20">
        <v>2.76</v>
      </c>
      <c r="L37" s="28" t="s">
        <v>15</v>
      </c>
      <c r="M37" s="20">
        <v>12</v>
      </c>
      <c r="O37" s="29" t="s">
        <v>33</v>
      </c>
      <c r="P37" s="29">
        <v>29.2</v>
      </c>
      <c r="R37" s="29" t="s">
        <v>33</v>
      </c>
      <c r="S37" s="29">
        <v>161.96800000000002</v>
      </c>
    </row>
    <row r="38" spans="1:19" ht="15.75" x14ac:dyDescent="0.25">
      <c r="A38" s="2" t="s">
        <v>124</v>
      </c>
      <c r="B38" s="2" t="s">
        <v>125</v>
      </c>
      <c r="C38" s="4"/>
      <c r="D38" s="4">
        <v>87.13</v>
      </c>
      <c r="E38" s="3"/>
      <c r="F38" s="9">
        <v>359.57</v>
      </c>
      <c r="J38" s="27" t="s">
        <v>79</v>
      </c>
      <c r="K38" s="20">
        <v>0.83199999999999996</v>
      </c>
      <c r="L38" s="27" t="s">
        <v>77</v>
      </c>
      <c r="M38" s="20">
        <v>3</v>
      </c>
      <c r="O38" s="29" t="s">
        <v>13</v>
      </c>
      <c r="P38" s="29">
        <v>284.15100000000001</v>
      </c>
      <c r="R38" s="29" t="s">
        <v>13</v>
      </c>
      <c r="S38" s="29">
        <v>1234.6600000000001</v>
      </c>
    </row>
    <row r="39" spans="1:19" ht="15.75" x14ac:dyDescent="0.25">
      <c r="A39" s="2" t="s">
        <v>8</v>
      </c>
      <c r="B39" s="2" t="s">
        <v>9</v>
      </c>
      <c r="C39" s="4">
        <v>128</v>
      </c>
      <c r="D39" s="4"/>
      <c r="E39" s="3">
        <v>400</v>
      </c>
      <c r="F39" s="9"/>
      <c r="J39" s="27" t="s">
        <v>77</v>
      </c>
      <c r="K39" s="24">
        <v>0.8</v>
      </c>
      <c r="L39" s="27" t="s">
        <v>79</v>
      </c>
      <c r="M39" s="20">
        <v>2.2000000000000002</v>
      </c>
      <c r="O39" s="29" t="s">
        <v>67</v>
      </c>
      <c r="P39" s="29">
        <v>134.9</v>
      </c>
      <c r="R39" s="29" t="s">
        <v>67</v>
      </c>
      <c r="S39" s="29">
        <v>668</v>
      </c>
    </row>
    <row r="40" spans="1:19" ht="15.75" x14ac:dyDescent="0.25">
      <c r="A40" s="2" t="s">
        <v>96</v>
      </c>
      <c r="B40" s="2" t="s">
        <v>97</v>
      </c>
      <c r="C40" s="4"/>
      <c r="D40" s="30">
        <v>249.71019999999999</v>
      </c>
      <c r="E40" s="3"/>
      <c r="F40" s="9">
        <v>1132.9100000000001</v>
      </c>
      <c r="J40" s="27" t="s">
        <v>81</v>
      </c>
      <c r="K40" s="20">
        <v>0.64</v>
      </c>
      <c r="L40" s="27" t="s">
        <v>81</v>
      </c>
      <c r="M40" s="20">
        <v>1.2</v>
      </c>
      <c r="O40" s="29" t="s">
        <v>77</v>
      </c>
      <c r="P40" s="29">
        <v>162.49800000000002</v>
      </c>
      <c r="R40" s="29" t="s">
        <v>77</v>
      </c>
      <c r="S40" s="29">
        <v>573.1049999999999</v>
      </c>
    </row>
    <row r="41" spans="1:19" ht="15.75" x14ac:dyDescent="0.25">
      <c r="A41" s="2" t="s">
        <v>44</v>
      </c>
      <c r="B41" s="2" t="s">
        <v>45</v>
      </c>
      <c r="C41" s="4">
        <v>152</v>
      </c>
      <c r="D41" s="4">
        <v>247.12200000000001</v>
      </c>
      <c r="E41" s="3">
        <v>434</v>
      </c>
      <c r="F41" s="9">
        <v>1052.586</v>
      </c>
      <c r="O41" s="29" t="s">
        <v>91</v>
      </c>
      <c r="P41" s="29">
        <v>543.79299999999978</v>
      </c>
      <c r="R41" s="29" t="s">
        <v>91</v>
      </c>
      <c r="S41" s="29">
        <v>1922.874</v>
      </c>
    </row>
    <row r="42" spans="1:19" ht="15.75" x14ac:dyDescent="0.25">
      <c r="A42" s="2" t="s">
        <v>160</v>
      </c>
      <c r="B42" s="2" t="s">
        <v>161</v>
      </c>
      <c r="C42" s="4"/>
      <c r="D42" s="4">
        <v>2.8690000000000002</v>
      </c>
      <c r="E42" s="3"/>
      <c r="F42" s="9">
        <v>13.2</v>
      </c>
      <c r="K42" s="31">
        <f>SUM(K2:K41)</f>
        <v>12424.312000000002</v>
      </c>
      <c r="M42" s="31">
        <f>SUM(M2:M41)</f>
        <v>44124.38</v>
      </c>
      <c r="O42" s="29" t="s">
        <v>119</v>
      </c>
      <c r="P42" s="29">
        <v>298.74900000000002</v>
      </c>
      <c r="R42" s="29" t="s">
        <v>119</v>
      </c>
      <c r="S42" s="29">
        <v>1125.2839999999999</v>
      </c>
    </row>
    <row r="43" spans="1:19" ht="15.75" x14ac:dyDescent="0.25">
      <c r="A43" s="2" t="s">
        <v>136</v>
      </c>
      <c r="B43" s="2" t="s">
        <v>137</v>
      </c>
      <c r="C43" s="4"/>
      <c r="D43" s="4">
        <v>44.902999999999999</v>
      </c>
      <c r="E43" s="3"/>
      <c r="F43" s="9">
        <v>181.42</v>
      </c>
      <c r="O43" s="29" t="s">
        <v>23</v>
      </c>
      <c r="P43" s="29">
        <v>963.09699999999998</v>
      </c>
      <c r="R43" s="29" t="s">
        <v>23</v>
      </c>
      <c r="S43" s="29">
        <v>3321.4320000000007</v>
      </c>
    </row>
    <row r="44" spans="1:19" ht="15.75" x14ac:dyDescent="0.25">
      <c r="A44" s="2" t="s">
        <v>138</v>
      </c>
      <c r="B44" s="2" t="s">
        <v>139</v>
      </c>
      <c r="C44" s="4"/>
      <c r="D44" s="4">
        <v>71.335999999999999</v>
      </c>
      <c r="E44" s="3"/>
      <c r="F44" s="9">
        <v>250.43</v>
      </c>
      <c r="O44" s="29" t="s">
        <v>111</v>
      </c>
      <c r="P44" s="29">
        <v>342.84400000000011</v>
      </c>
      <c r="R44" s="29" t="s">
        <v>111</v>
      </c>
      <c r="S44" s="29">
        <v>1333.4</v>
      </c>
    </row>
    <row r="45" spans="1:19" ht="15.75" x14ac:dyDescent="0.25">
      <c r="A45" s="2" t="s">
        <v>106</v>
      </c>
      <c r="B45" s="2" t="s">
        <v>107</v>
      </c>
      <c r="C45" s="4"/>
      <c r="D45" s="4">
        <v>7.3140000000000001</v>
      </c>
      <c r="E45" s="3"/>
      <c r="F45" s="9">
        <v>24</v>
      </c>
      <c r="O45" s="29" t="s">
        <v>65</v>
      </c>
      <c r="P45" s="29">
        <v>602.81400000000008</v>
      </c>
      <c r="R45" s="29" t="s">
        <v>65</v>
      </c>
      <c r="S45" s="29">
        <v>1827.0780000000002</v>
      </c>
    </row>
    <row r="46" spans="1:19" ht="15.75" x14ac:dyDescent="0.25">
      <c r="A46" s="2" t="s">
        <v>120</v>
      </c>
      <c r="B46" s="2" t="s">
        <v>121</v>
      </c>
      <c r="C46" s="4"/>
      <c r="D46" s="4">
        <v>79.366</v>
      </c>
      <c r="E46" s="3"/>
      <c r="F46" s="9">
        <v>260.10000000000002</v>
      </c>
      <c r="O46" s="29" t="s">
        <v>61</v>
      </c>
      <c r="P46" s="29">
        <v>238.917</v>
      </c>
      <c r="R46" s="29" t="s">
        <v>61</v>
      </c>
      <c r="S46" s="29">
        <v>711.57</v>
      </c>
    </row>
    <row r="47" spans="1:19" ht="15.75" x14ac:dyDescent="0.25">
      <c r="A47" s="2" t="s">
        <v>140</v>
      </c>
      <c r="B47" s="2" t="s">
        <v>141</v>
      </c>
      <c r="C47" s="4"/>
      <c r="D47" s="4">
        <v>1.06</v>
      </c>
      <c r="E47" s="3"/>
      <c r="F47" s="9">
        <v>5</v>
      </c>
      <c r="O47" s="29" t="s">
        <v>55</v>
      </c>
      <c r="P47" s="29">
        <v>748.64800000000014</v>
      </c>
      <c r="R47" s="29" t="s">
        <v>55</v>
      </c>
      <c r="S47" s="29">
        <v>2516.15</v>
      </c>
    </row>
    <row r="48" spans="1:19" ht="15.75" x14ac:dyDescent="0.25">
      <c r="A48" s="2" t="s">
        <v>126</v>
      </c>
      <c r="B48" s="2" t="s">
        <v>127</v>
      </c>
      <c r="C48" s="4"/>
      <c r="D48" s="4">
        <v>552.92999999999995</v>
      </c>
      <c r="E48" s="3"/>
      <c r="F48" s="9">
        <v>1603.94</v>
      </c>
      <c r="O48" s="29" t="s">
        <v>11</v>
      </c>
      <c r="P48" s="29">
        <v>266.46799999999996</v>
      </c>
      <c r="R48" s="29" t="s">
        <v>11</v>
      </c>
      <c r="S48" s="29">
        <v>966.94999999999993</v>
      </c>
    </row>
    <row r="49" spans="1:19" ht="15.75" x14ac:dyDescent="0.25">
      <c r="A49" s="2" t="s">
        <v>32</v>
      </c>
      <c r="B49" s="2" t="s">
        <v>33</v>
      </c>
      <c r="C49" s="4">
        <v>1333.48</v>
      </c>
      <c r="D49" s="4">
        <v>29.2</v>
      </c>
      <c r="E49" s="3">
        <v>3464</v>
      </c>
      <c r="F49" s="9">
        <v>161.96799999999999</v>
      </c>
      <c r="O49" s="29" t="s">
        <v>105</v>
      </c>
      <c r="P49" s="29">
        <v>25.703000000000003</v>
      </c>
      <c r="R49" s="29" t="s">
        <v>105</v>
      </c>
      <c r="S49" s="29">
        <v>94.55</v>
      </c>
    </row>
    <row r="50" spans="1:19" ht="15.75" x14ac:dyDescent="0.25">
      <c r="A50" s="2" t="s">
        <v>12</v>
      </c>
      <c r="B50" s="2" t="s">
        <v>13</v>
      </c>
      <c r="C50" s="4">
        <v>117</v>
      </c>
      <c r="D50" s="4">
        <v>284.15100000000001</v>
      </c>
      <c r="E50" s="3">
        <v>688</v>
      </c>
      <c r="F50" s="9">
        <v>1234.6600000000001</v>
      </c>
      <c r="O50" s="29" t="s">
        <v>31</v>
      </c>
      <c r="P50" s="29">
        <v>133.51140000000001</v>
      </c>
      <c r="R50" s="29" t="s">
        <v>31</v>
      </c>
      <c r="S50" s="29">
        <v>474.221</v>
      </c>
    </row>
    <row r="51" spans="1:19" ht="15.75" x14ac:dyDescent="0.25">
      <c r="A51" s="2" t="s">
        <v>66</v>
      </c>
      <c r="B51" s="2" t="s">
        <v>67</v>
      </c>
      <c r="C51" s="4">
        <v>210.8</v>
      </c>
      <c r="D51" s="4">
        <v>134.9</v>
      </c>
      <c r="E51" s="3">
        <v>473</v>
      </c>
      <c r="F51" s="9">
        <v>668</v>
      </c>
      <c r="O51" s="29" t="s">
        <v>15</v>
      </c>
      <c r="P51" s="29">
        <v>20.135999999999999</v>
      </c>
      <c r="R51" s="29" t="s">
        <v>15</v>
      </c>
      <c r="S51" s="29">
        <v>75.88</v>
      </c>
    </row>
    <row r="52" spans="1:19" ht="15.75" x14ac:dyDescent="0.25">
      <c r="A52" s="2" t="s">
        <v>76</v>
      </c>
      <c r="B52" s="2" t="s">
        <v>77</v>
      </c>
      <c r="C52" s="4">
        <v>0.8</v>
      </c>
      <c r="D52" s="4">
        <v>162.49799999999999</v>
      </c>
      <c r="E52" s="3">
        <v>3</v>
      </c>
      <c r="F52" s="9">
        <v>573.10500000000002</v>
      </c>
      <c r="O52" s="29" t="s">
        <v>135</v>
      </c>
      <c r="P52" s="29">
        <v>160.74799999999999</v>
      </c>
      <c r="R52" s="29" t="s">
        <v>135</v>
      </c>
      <c r="S52" s="29">
        <v>499.47800000000001</v>
      </c>
    </row>
    <row r="53" spans="1:19" ht="15.75" x14ac:dyDescent="0.25">
      <c r="A53" s="2" t="s">
        <v>90</v>
      </c>
      <c r="B53" s="2" t="s">
        <v>91</v>
      </c>
      <c r="C53" s="4"/>
      <c r="D53" s="4">
        <v>543.79300000000001</v>
      </c>
      <c r="E53" s="3"/>
      <c r="F53" s="9">
        <v>1922.874</v>
      </c>
      <c r="O53" s="29" t="s">
        <v>79</v>
      </c>
      <c r="P53" s="29">
        <v>63.844000000000008</v>
      </c>
      <c r="R53" s="29" t="s">
        <v>79</v>
      </c>
      <c r="S53" s="29">
        <v>288.53499999999997</v>
      </c>
    </row>
    <row r="54" spans="1:19" ht="15.75" x14ac:dyDescent="0.25">
      <c r="A54" s="2" t="s">
        <v>118</v>
      </c>
      <c r="B54" s="2" t="s">
        <v>119</v>
      </c>
      <c r="C54" s="4">
        <v>64.8</v>
      </c>
      <c r="D54" s="4">
        <v>298.74900000000002</v>
      </c>
      <c r="E54" s="3">
        <v>200</v>
      </c>
      <c r="F54" s="9">
        <v>1125.2840000000001</v>
      </c>
      <c r="O54" s="29" t="s">
        <v>29</v>
      </c>
      <c r="P54" s="29">
        <v>933.78500000000008</v>
      </c>
      <c r="R54" s="29" t="s">
        <v>29</v>
      </c>
      <c r="S54" s="29">
        <v>2324.7719999999999</v>
      </c>
    </row>
    <row r="55" spans="1:19" ht="15.75" x14ac:dyDescent="0.25">
      <c r="A55" s="2" t="s">
        <v>22</v>
      </c>
      <c r="B55" s="2" t="s">
        <v>23</v>
      </c>
      <c r="C55" s="4">
        <v>74.5</v>
      </c>
      <c r="D55" s="4">
        <v>963.09699999999998</v>
      </c>
      <c r="E55" s="3">
        <v>314</v>
      </c>
      <c r="F55" s="9">
        <v>3321.4319999999998</v>
      </c>
      <c r="O55" s="29" t="s">
        <v>57</v>
      </c>
      <c r="P55" s="29">
        <v>51.436</v>
      </c>
      <c r="R55" s="29" t="s">
        <v>57</v>
      </c>
      <c r="S55" s="29">
        <v>150.97999999999999</v>
      </c>
    </row>
    <row r="56" spans="1:19" ht="15.75" x14ac:dyDescent="0.25">
      <c r="A56" s="2" t="s">
        <v>110</v>
      </c>
      <c r="B56" s="2" t="s">
        <v>111</v>
      </c>
      <c r="C56" s="4"/>
      <c r="D56" s="4">
        <v>342.84399999999999</v>
      </c>
      <c r="E56" s="3"/>
      <c r="F56" s="9">
        <v>1333.4</v>
      </c>
      <c r="O56" s="29" t="s">
        <v>63</v>
      </c>
      <c r="P56" s="29">
        <v>86.56</v>
      </c>
      <c r="R56" s="29" t="s">
        <v>63</v>
      </c>
      <c r="S56" s="29">
        <v>338.75</v>
      </c>
    </row>
    <row r="57" spans="1:19" ht="15.75" x14ac:dyDescent="0.25">
      <c r="A57" s="2" t="s">
        <v>64</v>
      </c>
      <c r="B57" s="2" t="s">
        <v>65</v>
      </c>
      <c r="C57" s="4">
        <v>1085.5999999999999</v>
      </c>
      <c r="D57" s="4">
        <v>602.81399999999996</v>
      </c>
      <c r="E57" s="3">
        <v>3600.87</v>
      </c>
      <c r="F57" s="9">
        <v>1827.078</v>
      </c>
      <c r="O57" s="29" t="s">
        <v>21</v>
      </c>
      <c r="P57" s="29">
        <v>44.764000000000003</v>
      </c>
      <c r="R57" s="29" t="s">
        <v>21</v>
      </c>
      <c r="S57" s="29">
        <v>179.16</v>
      </c>
    </row>
    <row r="58" spans="1:19" ht="15.75" x14ac:dyDescent="0.25">
      <c r="A58" s="2" t="s">
        <v>60</v>
      </c>
      <c r="B58" s="2" t="s">
        <v>61</v>
      </c>
      <c r="C58" s="4">
        <v>188.2</v>
      </c>
      <c r="D58" s="4">
        <v>238.917</v>
      </c>
      <c r="E58" s="3">
        <v>520.28</v>
      </c>
      <c r="F58" s="9">
        <v>711.57</v>
      </c>
      <c r="O58" s="29" t="s">
        <v>71</v>
      </c>
      <c r="P58" s="29">
        <v>5.258</v>
      </c>
      <c r="R58" s="29" t="s">
        <v>71</v>
      </c>
      <c r="S58" s="29">
        <v>14.93</v>
      </c>
    </row>
    <row r="59" spans="1:19" ht="15.75" x14ac:dyDescent="0.25">
      <c r="A59" s="2" t="s">
        <v>54</v>
      </c>
      <c r="B59" s="2" t="s">
        <v>55</v>
      </c>
      <c r="C59" s="4">
        <v>20.92</v>
      </c>
      <c r="D59" s="4">
        <v>748.64800000000002</v>
      </c>
      <c r="E59" s="3">
        <v>36</v>
      </c>
      <c r="F59" s="9">
        <v>2516.15</v>
      </c>
      <c r="O59" s="29" t="s">
        <v>99</v>
      </c>
      <c r="P59" s="29">
        <v>0.59499999999999997</v>
      </c>
      <c r="R59" s="29" t="s">
        <v>99</v>
      </c>
      <c r="S59" s="29">
        <v>3.0649999999999999</v>
      </c>
    </row>
    <row r="60" spans="1:19" ht="15.75" x14ac:dyDescent="0.25">
      <c r="A60" s="2" t="s">
        <v>10</v>
      </c>
      <c r="B60" s="2" t="s">
        <v>11</v>
      </c>
      <c r="C60" s="4">
        <v>18.04</v>
      </c>
      <c r="D60" s="4">
        <v>266.46800000000002</v>
      </c>
      <c r="E60" s="3">
        <v>69</v>
      </c>
      <c r="F60" s="9">
        <v>966.95</v>
      </c>
      <c r="O60" s="29" t="s">
        <v>101</v>
      </c>
      <c r="P60" s="29">
        <v>47.712000000000003</v>
      </c>
      <c r="R60" s="29" t="s">
        <v>101</v>
      </c>
      <c r="S60" s="29">
        <v>160.41800000000001</v>
      </c>
    </row>
    <row r="61" spans="1:19" ht="15.75" x14ac:dyDescent="0.25">
      <c r="A61" s="2" t="s">
        <v>104</v>
      </c>
      <c r="B61" s="2" t="s">
        <v>105</v>
      </c>
      <c r="C61" s="4"/>
      <c r="D61" s="4">
        <v>25.702999999999999</v>
      </c>
      <c r="E61" s="3"/>
      <c r="F61" s="9">
        <v>94.55</v>
      </c>
      <c r="O61" s="29" t="s">
        <v>129</v>
      </c>
      <c r="P61" s="29">
        <v>2.25</v>
      </c>
      <c r="R61" s="29" t="s">
        <v>129</v>
      </c>
      <c r="S61" s="29">
        <v>11.52</v>
      </c>
    </row>
    <row r="62" spans="1:19" ht="15.75" x14ac:dyDescent="0.25">
      <c r="A62" s="2" t="s">
        <v>162</v>
      </c>
      <c r="B62" s="2" t="s">
        <v>163</v>
      </c>
      <c r="C62" s="4"/>
      <c r="D62" s="4"/>
      <c r="E62" s="3"/>
      <c r="F62" s="9"/>
      <c r="O62" s="29" t="s">
        <v>103</v>
      </c>
      <c r="P62" s="29">
        <v>190.76000000000002</v>
      </c>
      <c r="R62" s="29" t="s">
        <v>103</v>
      </c>
      <c r="S62" s="29">
        <v>762.72</v>
      </c>
    </row>
    <row r="63" spans="1:19" ht="15.75" x14ac:dyDescent="0.25">
      <c r="A63" s="2" t="s">
        <v>30</v>
      </c>
      <c r="B63" s="2" t="s">
        <v>31</v>
      </c>
      <c r="C63" s="4">
        <v>15.36</v>
      </c>
      <c r="D63" s="30">
        <v>133.51140000000001</v>
      </c>
      <c r="E63" s="3">
        <v>48</v>
      </c>
      <c r="F63" s="9">
        <v>474.221</v>
      </c>
      <c r="O63" s="29" t="s">
        <v>47</v>
      </c>
      <c r="P63" s="29">
        <v>672</v>
      </c>
      <c r="R63" s="29" t="s">
        <v>47</v>
      </c>
      <c r="S63" s="29">
        <v>2516</v>
      </c>
    </row>
    <row r="64" spans="1:19" ht="15.75" x14ac:dyDescent="0.25">
      <c r="A64" s="2" t="s">
        <v>14</v>
      </c>
      <c r="B64" s="2" t="s">
        <v>15</v>
      </c>
      <c r="C64" s="4">
        <v>2.76</v>
      </c>
      <c r="D64" s="4">
        <v>20.135999999999999</v>
      </c>
      <c r="E64" s="3">
        <v>12</v>
      </c>
      <c r="F64" s="9">
        <v>75.88</v>
      </c>
      <c r="O64" s="29" t="s">
        <v>39</v>
      </c>
      <c r="P64" s="29">
        <v>47.152999999999999</v>
      </c>
      <c r="R64" s="29" t="s">
        <v>39</v>
      </c>
      <c r="S64" s="29">
        <v>150.095</v>
      </c>
    </row>
    <row r="65" spans="1:19" ht="15.75" x14ac:dyDescent="0.25">
      <c r="A65" s="2" t="s">
        <v>134</v>
      </c>
      <c r="B65" s="2" t="s">
        <v>135</v>
      </c>
      <c r="C65" s="4"/>
      <c r="D65" s="4">
        <v>160.74799999999999</v>
      </c>
      <c r="E65" s="3"/>
      <c r="F65" s="9">
        <v>499.47800000000001</v>
      </c>
      <c r="O65" s="29" t="s">
        <v>59</v>
      </c>
      <c r="P65" s="29">
        <v>52</v>
      </c>
      <c r="R65" s="29" t="s">
        <v>59</v>
      </c>
      <c r="S65" s="29">
        <v>225.34</v>
      </c>
    </row>
    <row r="66" spans="1:19" ht="15.75" x14ac:dyDescent="0.25">
      <c r="A66" s="2" t="s">
        <v>78</v>
      </c>
      <c r="B66" s="2" t="s">
        <v>79</v>
      </c>
      <c r="C66" s="4">
        <v>0.83199999999999996</v>
      </c>
      <c r="D66" s="4">
        <v>63.844000000000001</v>
      </c>
      <c r="E66" s="3">
        <v>2.2000000000000002</v>
      </c>
      <c r="F66" s="9">
        <v>288.53500000000003</v>
      </c>
      <c r="O66" s="29" t="s">
        <v>123</v>
      </c>
      <c r="P66" s="29">
        <v>344.48399999999998</v>
      </c>
      <c r="R66" s="29" t="s">
        <v>123</v>
      </c>
      <c r="S66" s="29">
        <v>1097.3000000000002</v>
      </c>
    </row>
    <row r="67" spans="1:19" ht="15.75" x14ac:dyDescent="0.25">
      <c r="A67" s="2" t="s">
        <v>28</v>
      </c>
      <c r="B67" s="2" t="s">
        <v>29</v>
      </c>
      <c r="C67" s="4">
        <v>1330</v>
      </c>
      <c r="D67" s="4">
        <v>933.78499999999997</v>
      </c>
      <c r="E67" s="3">
        <v>6600</v>
      </c>
      <c r="F67" s="9">
        <v>2324.7719999999999</v>
      </c>
    </row>
    <row r="68" spans="1:19" ht="15.75" x14ac:dyDescent="0.25">
      <c r="A68" s="2" t="s">
        <v>56</v>
      </c>
      <c r="B68" s="2" t="s">
        <v>57</v>
      </c>
      <c r="C68" s="4">
        <v>170</v>
      </c>
      <c r="D68" s="4">
        <v>51.436</v>
      </c>
      <c r="E68" s="3">
        <v>413</v>
      </c>
      <c r="F68" s="9">
        <v>150.97999999999999</v>
      </c>
    </row>
    <row r="69" spans="1:19" ht="15.75" x14ac:dyDescent="0.25">
      <c r="A69" s="2" t="s">
        <v>62</v>
      </c>
      <c r="B69" s="2" t="s">
        <v>63</v>
      </c>
      <c r="C69" s="4">
        <v>19.2</v>
      </c>
      <c r="D69" s="4">
        <v>86.56</v>
      </c>
      <c r="E69" s="3">
        <v>78</v>
      </c>
      <c r="F69" s="9">
        <v>338.75</v>
      </c>
    </row>
    <row r="70" spans="1:19" ht="15.75" x14ac:dyDescent="0.25">
      <c r="A70" s="2" t="s">
        <v>20</v>
      </c>
      <c r="B70" s="2" t="s">
        <v>21</v>
      </c>
      <c r="C70" s="4">
        <v>18.29</v>
      </c>
      <c r="D70" s="4">
        <v>44.764000000000003</v>
      </c>
      <c r="E70" s="3">
        <v>72.5</v>
      </c>
      <c r="F70" s="9">
        <v>179.16</v>
      </c>
    </row>
    <row r="71" spans="1:19" ht="15.75" x14ac:dyDescent="0.25">
      <c r="A71" s="2" t="s">
        <v>70</v>
      </c>
      <c r="B71" s="2" t="s">
        <v>71</v>
      </c>
      <c r="C71" s="4">
        <v>160</v>
      </c>
      <c r="D71" s="4">
        <v>5.258</v>
      </c>
      <c r="E71" s="3">
        <v>488</v>
      </c>
      <c r="F71" s="9">
        <v>14.93</v>
      </c>
    </row>
    <row r="72" spans="1:19" ht="15.75" x14ac:dyDescent="0.25">
      <c r="A72" s="2" t="s">
        <v>98</v>
      </c>
      <c r="B72" s="2" t="s">
        <v>99</v>
      </c>
      <c r="C72" s="4"/>
      <c r="D72" s="4">
        <v>0.59499999999999997</v>
      </c>
      <c r="E72" s="3"/>
      <c r="F72" s="9">
        <v>3.0649999999999999</v>
      </c>
    </row>
    <row r="73" spans="1:19" ht="15.75" x14ac:dyDescent="0.25">
      <c r="A73" s="2" t="s">
        <v>100</v>
      </c>
      <c r="B73" s="2" t="s">
        <v>101</v>
      </c>
      <c r="C73" s="4"/>
      <c r="D73" s="4">
        <v>47.712000000000003</v>
      </c>
      <c r="E73" s="3"/>
      <c r="F73" s="9">
        <v>160.41800000000001</v>
      </c>
    </row>
    <row r="74" spans="1:19" ht="15.75" x14ac:dyDescent="0.25">
      <c r="A74" s="2" t="s">
        <v>128</v>
      </c>
      <c r="B74" s="2" t="s">
        <v>129</v>
      </c>
      <c r="C74" s="4"/>
      <c r="D74" s="4">
        <v>2.25</v>
      </c>
      <c r="E74" s="3"/>
      <c r="F74" s="9">
        <v>11.52</v>
      </c>
    </row>
    <row r="75" spans="1:19" ht="15.75" x14ac:dyDescent="0.25">
      <c r="A75" s="2" t="s">
        <v>102</v>
      </c>
      <c r="B75" s="2" t="s">
        <v>103</v>
      </c>
      <c r="C75" s="4"/>
      <c r="D75" s="4">
        <v>190.76</v>
      </c>
      <c r="E75" s="3"/>
      <c r="F75" s="9">
        <v>762.72</v>
      </c>
    </row>
    <row r="76" spans="1:19" ht="15.75" x14ac:dyDescent="0.25">
      <c r="A76" s="2" t="s">
        <v>164</v>
      </c>
      <c r="B76" s="2" t="s">
        <v>165</v>
      </c>
      <c r="C76" s="4"/>
      <c r="D76" s="4"/>
      <c r="E76" s="3"/>
      <c r="F76" s="9"/>
    </row>
    <row r="77" spans="1:19" ht="15.75" x14ac:dyDescent="0.25">
      <c r="A77" s="2" t="s">
        <v>46</v>
      </c>
      <c r="B77" s="2" t="s">
        <v>47</v>
      </c>
      <c r="C77" s="4">
        <v>2456</v>
      </c>
      <c r="D77" s="4">
        <v>672</v>
      </c>
      <c r="E77" s="3">
        <v>9024</v>
      </c>
      <c r="F77" s="9">
        <v>2516</v>
      </c>
    </row>
    <row r="78" spans="1:19" ht="15.75" x14ac:dyDescent="0.25">
      <c r="A78" s="2" t="s">
        <v>38</v>
      </c>
      <c r="B78" s="2" t="s">
        <v>39</v>
      </c>
      <c r="C78" s="4">
        <v>2004.5</v>
      </c>
      <c r="D78" s="4">
        <v>47.152999999999999</v>
      </c>
      <c r="E78" s="3">
        <v>7798</v>
      </c>
      <c r="F78" s="9">
        <v>150.095</v>
      </c>
    </row>
    <row r="79" spans="1:19" ht="15.75" x14ac:dyDescent="0.25">
      <c r="A79" s="2" t="s">
        <v>18</v>
      </c>
      <c r="B79" s="2" t="s">
        <v>19</v>
      </c>
      <c r="C79" s="4">
        <v>4.9000000000000004</v>
      </c>
      <c r="D79" s="4"/>
      <c r="E79" s="3">
        <v>16.8</v>
      </c>
      <c r="F79" s="9"/>
    </row>
    <row r="80" spans="1:19" ht="15.75" x14ac:dyDescent="0.25">
      <c r="A80" s="2" t="s">
        <v>58</v>
      </c>
      <c r="B80" s="2" t="s">
        <v>59</v>
      </c>
      <c r="C80" s="4">
        <v>198</v>
      </c>
      <c r="D80" s="4">
        <v>52</v>
      </c>
      <c r="E80" s="3">
        <v>483</v>
      </c>
      <c r="F80" s="9">
        <v>225.34</v>
      </c>
    </row>
    <row r="81" spans="1:6" ht="15.75" x14ac:dyDescent="0.25">
      <c r="A81" s="2" t="s">
        <v>80</v>
      </c>
      <c r="B81" s="2" t="s">
        <v>81</v>
      </c>
      <c r="C81" s="4">
        <v>0.64</v>
      </c>
      <c r="D81" s="4"/>
      <c r="E81" s="3">
        <v>1.2</v>
      </c>
      <c r="F81" s="9"/>
    </row>
    <row r="82" spans="1:6" ht="16.5" thickBot="1" x14ac:dyDescent="0.3">
      <c r="A82" s="10" t="s">
        <v>122</v>
      </c>
      <c r="B82" s="10" t="s">
        <v>123</v>
      </c>
      <c r="C82" s="12"/>
      <c r="D82" s="12">
        <v>344.48399999999998</v>
      </c>
      <c r="E82" s="13"/>
      <c r="F82" s="14">
        <v>1097.3</v>
      </c>
    </row>
    <row r="83" spans="1:6" ht="15.75" x14ac:dyDescent="0.25">
      <c r="B83" s="16"/>
      <c r="C83" s="17"/>
      <c r="D83" s="17"/>
      <c r="E83" s="18"/>
      <c r="F83" s="18"/>
    </row>
    <row r="84" spans="1:6" x14ac:dyDescent="0.25">
      <c r="C84" s="15">
        <f>SUM(C2:C82)</f>
        <v>12424.312</v>
      </c>
      <c r="D84" s="15">
        <f t="shared" ref="D84:F84" si="0">SUM(D2:D82)</f>
        <v>14450.020799999995</v>
      </c>
      <c r="E84" s="15">
        <f t="shared" si="0"/>
        <v>44124.38</v>
      </c>
      <c r="F84" s="15">
        <f t="shared" si="0"/>
        <v>49700.090000000004</v>
      </c>
    </row>
  </sheetData>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2.4.3.Tablo</vt:lpstr>
      <vt:lpstr>Sayfa1</vt:lpstr>
      <vt:lpstr>'2.4.3.Tablo'!Yazdırma_Başlıkları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2017-12-12T12:38:00Z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