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0730" windowHeight="11160"/>
  </bookViews>
  <sheets>
    <sheet name="4.3.Tabl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F7" i="1"/>
  <c r="D7" i="1"/>
  <c r="H6" i="1"/>
  <c r="F6" i="1"/>
  <c r="D6" i="1"/>
</calcChain>
</file>

<file path=xl/sharedStrings.xml><?xml version="1.0" encoding="utf-8"?>
<sst xmlns="http://schemas.openxmlformats.org/spreadsheetml/2006/main" count="15" uniqueCount="10">
  <si>
    <t>Sulama Sistemlerine Göre  Sulama Alanı</t>
  </si>
  <si>
    <t>Klasik Sistem</t>
  </si>
  <si>
    <t>Kanaletli Sistem</t>
  </si>
  <si>
    <t>Borulu Sistem</t>
  </si>
  <si>
    <t>Sulama Alanı</t>
  </si>
  <si>
    <t>ha</t>
  </si>
  <si>
    <t>%</t>
  </si>
  <si>
    <t>YILLAR</t>
  </si>
  <si>
    <r>
      <rPr>
        <b/>
        <sz val="11"/>
        <color theme="1"/>
        <rFont val="Calibri"/>
        <family val="2"/>
        <charset val="162"/>
        <scheme val="minor"/>
      </rPr>
      <t xml:space="preserve">NOT: * </t>
    </r>
    <r>
      <rPr>
        <sz val="11"/>
        <color theme="1"/>
        <rFont val="Calibri"/>
        <family val="2"/>
        <scheme val="minor"/>
      </rPr>
      <t>DSİ'ce İşletilen tarifeli ( işletme ve bakım ücreti alınan ) sulamalar ve işletme- bakım yönetim sorumluluğu faydalananlara devredilmiş olan 1000 ha ve 1000 ha'dan daha büyük olan sulamalardaki sulama sistemleri ve uygulanan sulama yöntemleridir.</t>
    </r>
  </si>
  <si>
    <t>4.3.DSİ'ce Geliştirilen Sulamalarda Uygulanan Sulama Sistemleri, 2018-2019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</si>
</sst>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;[Red]#,##0.00"/>
    <numFmt numFmtId="165" formatCode="#,##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4"/>
      <name val="Arial Tur"/>
      <charset val="162"/>
    </font>
    <font>
      <b/>
      <sz val="11"/>
      <color theme="1"/>
      <name val="Calibri"/>
      <family val="2"/>
      <charset val="162"/>
      <scheme val="minor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3" fontId="6" fillId="2" borderId="2" xfId="0" applyNumberFormat="1" applyFont="1" applyFill="1" applyBorder="1" applyAlignment="1">
      <alignment horizontal="center"/>
    </xf>
    <xf numFmtId="3" fontId="6" fillId="2" borderId="3" xfId="0" applyNumberFormat="1" applyFont="1" applyFill="1" applyBorder="1" applyAlignment="1">
      <alignment horizontal="center"/>
    </xf>
    <xf numFmtId="164" fontId="4" fillId="2" borderId="8" xfId="0" applyNumberFormat="1" applyFont="1" applyFill="1" applyBorder="1" applyAlignment="1">
      <alignment vertical="center"/>
    </xf>
    <xf numFmtId="3" fontId="6" fillId="2" borderId="10" xfId="0" applyNumberFormat="1" applyFont="1" applyFill="1" applyBorder="1" applyAlignment="1">
      <alignment horizontal="center"/>
    </xf>
    <xf numFmtId="3" fontId="5" fillId="2" borderId="4" xfId="0" applyNumberFormat="1" applyFont="1" applyFill="1" applyBorder="1" applyAlignment="1">
      <alignment horizontal="center" vertical="center" wrapText="1"/>
    </xf>
    <xf numFmtId="3" fontId="5" fillId="2" borderId="5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 wrapText="1"/>
    </xf>
    <xf numFmtId="164" fontId="4" fillId="2" borderId="7" xfId="0" applyNumberFormat="1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2" borderId="8" xfId="0" applyNumberFormat="1" applyFont="1" applyFill="1" applyBorder="1" applyAlignment="1">
      <alignment horizontal="center" vertical="center" wrapText="1"/>
    </xf>
    <xf numFmtId="164" fontId="4" fillId="2" borderId="0" xfId="0" applyNumberFormat="1" applyFont="1" applyFill="1" applyBorder="1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65" fontId="5" fillId="2" borderId="4" xfId="0" applyNumberFormat="1" applyFont="1" applyFill="1" applyBorder="1" applyAlignment="1">
      <alignment horizontal="center" vertical="center" wrapText="1"/>
    </xf>
    <xf numFmtId="165" fontId="6" fillId="2" borderId="2" xfId="0" applyNumberFormat="1" applyFont="1" applyFill="1" applyBorder="1" applyAlignment="1">
      <alignment horizontal="center"/>
    </xf>
    <xf numFmtId="0" fontId="1" fillId="0" borderId="0" xfId="0" applyFont="1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7" fillId="0" borderId="0" xfId="0" applyFont="1" applyBorder="1" applyAlignment="1">
      <alignment horizontal="center" vertical="center"/>
    </xf>
    <xf numFmtId="3" fontId="6" fillId="2" borderId="0" xfId="0" applyNumberFormat="1" applyFont="1" applyFill="1" applyBorder="1" applyAlignment="1">
      <alignment horizontal="center"/>
    </xf>
    <xf numFmtId="165" fontId="6" fillId="2" borderId="0" xfId="0" applyNumberFormat="1" applyFont="1" applyFill="1" applyBorder="1" applyAlignment="1">
      <alignment horizontal="center"/>
    </xf>
    <xf numFmtId="164" fontId="4" fillId="2" borderId="15" xfId="0" applyNumberFormat="1" applyFont="1" applyFill="1" applyBorder="1" applyAlignment="1">
      <alignment horizontal="left" vertical="center" wrapText="1"/>
    </xf>
    <xf numFmtId="164" fontId="4" fillId="2" borderId="16" xfId="0" applyNumberFormat="1" applyFont="1" applyFill="1" applyBorder="1" applyAlignment="1">
      <alignment horizontal="left" vertical="center" wrapText="1"/>
    </xf>
    <xf numFmtId="164" fontId="4" fillId="2" borderId="17" xfId="0" applyNumberFormat="1" applyFont="1" applyFill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textRotation="90" wrapText="1"/>
    </xf>
    <xf numFmtId="0" fontId="7" fillId="0" borderId="12" xfId="0" applyFont="1" applyBorder="1" applyAlignment="1">
      <alignment horizontal="center" vertical="center" textRotation="90" wrapText="1"/>
    </xf>
    <xf numFmtId="0" fontId="7" fillId="0" borderId="13" xfId="0" applyFont="1" applyBorder="1" applyAlignment="1">
      <alignment horizontal="center" vertical="center" textRotation="90" wrapText="1"/>
    </xf>
    <xf numFmtId="0" fontId="1" fillId="0" borderId="0" xfId="0" applyFont="1" applyBorder="1" applyAlignment="1">
      <alignment horizontal="left" wrapText="1"/>
    </xf>
    <xf numFmtId="0" fontId="0" fillId="0" borderId="0" xfId="0" applyBorder="1" applyAlignment="1">
      <alignment horizontal="left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2" borderId="7" xfId="0" applyNumberFormat="1" applyFont="1" applyFill="1" applyBorder="1" applyAlignment="1">
      <alignment horizontal="center" vertical="center" wrapText="1"/>
    </xf>
    <xf numFmtId="164" fontId="4" fillId="2" borderId="8" xfId="0" applyNumberFormat="1" applyFont="1" applyFill="1" applyBorder="1" applyAlignment="1">
      <alignment horizontal="center" vertical="center" wrapText="1"/>
    </xf>
    <xf numFmtId="164" fontId="4" fillId="2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tr-TR"/>
              <a:t>4.3.DSİ'ce Geliştirilen Sulamalarda Uygulanan Sulama Sistemleri (ha), 2018-2019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5791500781503434E-2"/>
          <c:y val="0.33944557727096863"/>
          <c:w val="0.8847702969713056"/>
          <c:h val="0.5513203877403770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'4.3.Tablo'!$C$4</c:f>
              <c:strCache>
                <c:ptCount val="1"/>
                <c:pt idx="0">
                  <c:v>Klasik Sistem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12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numRef>
              <c:f>'4.3.Tablo'!$B$6:$B$7</c:f>
              <c:numCache>
                <c:formatCode>General</c:formatCode>
                <c:ptCount val="2"/>
                <c:pt idx="0">
                  <c:v>2018</c:v>
                </c:pt>
                <c:pt idx="1">
                  <c:v>2019</c:v>
                </c:pt>
              </c:numCache>
            </c:numRef>
          </c:cat>
          <c:val>
            <c:numRef>
              <c:f>'4.3.Tablo'!$C$6:$C$7</c:f>
              <c:numCache>
                <c:formatCode>#,##0</c:formatCode>
                <c:ptCount val="2"/>
                <c:pt idx="0">
                  <c:v>866106</c:v>
                </c:pt>
                <c:pt idx="1">
                  <c:v>872884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1D-4E56-8C04-6FE69FB8A120}"/>
            </c:ext>
          </c:extLst>
        </c:ser>
        <c:ser>
          <c:idx val="2"/>
          <c:order val="1"/>
          <c:tx>
            <c:strRef>
              <c:f>'4.3.Tablo'!$E$4</c:f>
              <c:strCache>
                <c:ptCount val="1"/>
                <c:pt idx="0">
                  <c:v>Kanaletli Sistem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1200"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numRef>
              <c:f>'4.3.Tablo'!$B$6:$B$7</c:f>
              <c:numCache>
                <c:formatCode>General</c:formatCode>
                <c:ptCount val="2"/>
                <c:pt idx="0">
                  <c:v>2018</c:v>
                </c:pt>
                <c:pt idx="1">
                  <c:v>2019</c:v>
                </c:pt>
              </c:numCache>
            </c:numRef>
          </c:cat>
          <c:val>
            <c:numRef>
              <c:f>'4.3.Tablo'!$E$6:$E$7</c:f>
              <c:numCache>
                <c:formatCode>#,##0</c:formatCode>
                <c:ptCount val="2"/>
                <c:pt idx="0">
                  <c:v>927768</c:v>
                </c:pt>
                <c:pt idx="1">
                  <c:v>923357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1D-4E56-8C04-6FE69FB8A120}"/>
            </c:ext>
          </c:extLst>
        </c:ser>
        <c:ser>
          <c:idx val="0"/>
          <c:order val="2"/>
          <c:tx>
            <c:strRef>
              <c:f>'4.3.Tablo'!$G$4</c:f>
              <c:strCache>
                <c:ptCount val="1"/>
                <c:pt idx="0">
                  <c:v>Borulu Sistem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1200"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val>
            <c:numRef>
              <c:f>'4.3.Tablo'!$G$6:$G$7</c:f>
              <c:numCache>
                <c:formatCode>#,##0</c:formatCode>
                <c:ptCount val="2"/>
                <c:pt idx="0">
                  <c:v>649729</c:v>
                </c:pt>
                <c:pt idx="1">
                  <c:v>708587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1D-4E56-8C04-6FE69FB8A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416500672"/>
        <c:axId val="416501232"/>
      </c:barChart>
      <c:catAx>
        <c:axId val="41650067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40000"/>
                  <a:lumOff val="60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200" b="1"/>
            </a:pPr>
            <a:endParaRPr lang="tr-TR"/>
          </a:p>
        </c:txPr>
        <c:crossAx val="416501232"/>
        <c:crosses val="autoZero"/>
        <c:auto val="1"/>
        <c:lblAlgn val="ctr"/>
        <c:lblOffset val="100"/>
        <c:noMultiLvlLbl val="0"/>
      </c:catAx>
      <c:valAx>
        <c:axId val="4165012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400" b="1"/>
            </a:pPr>
            <a:endParaRPr lang="tr-TR"/>
          </a:p>
        </c:txPr>
        <c:crossAx val="416500672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400">
                <a:solidFill>
                  <a:srgbClr val="C00000"/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400" b="1">
                <a:solidFill>
                  <a:srgbClr val="92D05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6.3776342563921076E-2"/>
          <c:y val="0.17516600265604251"/>
          <c:w val="0.88982799949661218"/>
          <c:h val="4.9186125933759241E-2"/>
        </c:manualLayout>
      </c:layout>
      <c:overlay val="0"/>
      <c:txPr>
        <a:bodyPr/>
        <a:lstStyle/>
        <a:p>
          <a:pPr>
            <a:defRPr sz="1400"/>
          </a:pPr>
          <a:endParaRPr lang="tr-TR"/>
        </a:p>
      </c:txPr>
    </c:legend>
    <c:plotVisOnly val="1"/>
    <c:dispBlanksAs val="gap"/>
    <c:showDLblsOverMax val="0"/>
  </c:chart>
  <c:spPr>
    <a:solidFill>
      <a:sysClr val="window" lastClr="FFFFFF"/>
    </a:solidFill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2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1</xdr:row>
      <xdr:rowOff>9525</xdr:rowOff>
    </xdr:from>
    <xdr:to>
      <xdr:col>9</xdr:col>
      <xdr:colOff>0</xdr:colOff>
      <xdr:row>1</xdr:row>
      <xdr:rowOff>295576</xdr:rowOff>
    </xdr:to>
    <xdr:pic>
      <xdr:nvPicPr>
        <xdr:cNvPr id="6" name="Resim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200025"/>
          <a:ext cx="381000" cy="286051"/>
        </a:xfrm>
        <a:prstGeom prst="rect">
          <a:avLst/>
        </a:prstGeom>
      </xdr:spPr>
    </xdr:pic>
    <xdr:clientData/>
  </xdr:twoCellAnchor>
  <xdr:twoCellAnchor>
    <xdr:from>
      <xdr:col>1</xdr:col>
      <xdr:colOff>30957</xdr:colOff>
      <xdr:row>9</xdr:row>
      <xdr:rowOff>152400</xdr:rowOff>
    </xdr:from>
    <xdr:to>
      <xdr:col>13</xdr:col>
      <xdr:colOff>176553</xdr:colOff>
      <xdr:row>39</xdr:row>
      <xdr:rowOff>114639</xdr:rowOff>
    </xdr:to>
    <xdr:graphicFrame macro="">
      <xdr:nvGraphicFramePr>
        <xdr:cNvPr id="1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0.07347</cdr:x>
      <cdr:y>0.08976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7"/>
  <sheetViews>
    <sheetView tabSelected="1" zoomScale="80" zoomScaleNormal="80" workbookViewId="0">
      <selection activeCell="L5" sqref="L5"/>
    </sheetView>
  </sheetViews>
  <sheetFormatPr defaultRowHeight="15" x14ac:dyDescent="0.25"/>
  <cols>
    <col min="1" max="1" width="2.5703125" customWidth="1"/>
    <col min="2" max="2" width="14.28515625" customWidth="1"/>
    <col min="3" max="9" width="14.5703125" customWidth="1"/>
  </cols>
  <sheetData>
    <row r="1" spans="2:10" s="1" customFormat="1" ht="15" customHeight="1" thickBot="1" x14ac:dyDescent="0.3">
      <c r="C1" s="16"/>
      <c r="D1" s="16"/>
      <c r="E1" s="16"/>
      <c r="F1" s="16"/>
      <c r="G1" s="16"/>
      <c r="H1" s="16"/>
      <c r="I1" s="16"/>
    </row>
    <row r="2" spans="2:10" s="1" customFormat="1" ht="24.75" customHeight="1" thickBot="1" x14ac:dyDescent="0.3">
      <c r="B2" s="26" t="s">
        <v>9</v>
      </c>
      <c r="C2" s="27"/>
      <c r="D2" s="27"/>
      <c r="E2" s="27"/>
      <c r="F2" s="27"/>
      <c r="G2" s="27"/>
      <c r="H2" s="27"/>
      <c r="I2" s="28"/>
    </row>
    <row r="3" spans="2:10" ht="15.75" customHeight="1" thickBot="1" x14ac:dyDescent="0.3">
      <c r="B3" s="29" t="s">
        <v>7</v>
      </c>
      <c r="C3" s="34" t="s">
        <v>0</v>
      </c>
      <c r="D3" s="35"/>
      <c r="E3" s="35"/>
      <c r="F3" s="35"/>
      <c r="G3" s="35"/>
      <c r="H3" s="35"/>
      <c r="I3" s="36"/>
    </row>
    <row r="4" spans="2:10" ht="48.75" customHeight="1" thickBot="1" x14ac:dyDescent="0.3">
      <c r="B4" s="30"/>
      <c r="C4" s="37" t="s">
        <v>1</v>
      </c>
      <c r="D4" s="35"/>
      <c r="E4" s="35" t="s">
        <v>2</v>
      </c>
      <c r="F4" s="35"/>
      <c r="G4" s="35" t="s">
        <v>3</v>
      </c>
      <c r="H4" s="35"/>
      <c r="I4" s="8" t="s">
        <v>4</v>
      </c>
    </row>
    <row r="5" spans="2:10" ht="19.5" customHeight="1" thickBot="1" x14ac:dyDescent="0.3">
      <c r="B5" s="31"/>
      <c r="C5" s="14" t="s">
        <v>5</v>
      </c>
      <c r="D5" s="13" t="s">
        <v>6</v>
      </c>
      <c r="E5" s="13" t="s">
        <v>5</v>
      </c>
      <c r="F5" s="13" t="s">
        <v>6</v>
      </c>
      <c r="G5" s="13" t="s">
        <v>5</v>
      </c>
      <c r="H5" s="13" t="s">
        <v>6</v>
      </c>
      <c r="I5" s="15" t="s">
        <v>5</v>
      </c>
    </row>
    <row r="6" spans="2:10" ht="22.5" customHeight="1" x14ac:dyDescent="0.25">
      <c r="B6" s="17">
        <v>2018</v>
      </c>
      <c r="C6" s="12">
        <v>866106</v>
      </c>
      <c r="D6" s="19">
        <f>+C6/I6*100</f>
        <v>35.443809816897428</v>
      </c>
      <c r="E6" s="10">
        <v>927768</v>
      </c>
      <c r="F6" s="19">
        <f>+E6/I6*100</f>
        <v>37.967214805350949</v>
      </c>
      <c r="G6" s="10">
        <v>649729</v>
      </c>
      <c r="H6" s="19">
        <f>+G6/I6*100</f>
        <v>26.588975377751623</v>
      </c>
      <c r="I6" s="11">
        <v>2443603</v>
      </c>
    </row>
    <row r="7" spans="2:10" ht="22.5" customHeight="1" thickBot="1" x14ac:dyDescent="0.3">
      <c r="B7" s="18">
        <v>2019</v>
      </c>
      <c r="C7" s="9">
        <v>872884</v>
      </c>
      <c r="D7" s="20">
        <f>+C7/I7*100</f>
        <v>34.848061423778397</v>
      </c>
      <c r="E7" s="6">
        <v>923357</v>
      </c>
      <c r="F7" s="20">
        <f>+E7/I7*100</f>
        <v>36.863090000590859</v>
      </c>
      <c r="G7" s="6">
        <v>708587</v>
      </c>
      <c r="H7" s="20">
        <f>+G7/I7*100</f>
        <v>28.288848575630745</v>
      </c>
      <c r="I7" s="7">
        <v>2504828</v>
      </c>
    </row>
    <row r="8" spans="2:10" ht="22.5" customHeight="1" x14ac:dyDescent="0.25">
      <c r="B8" s="23"/>
      <c r="C8" s="24"/>
      <c r="D8" s="25"/>
      <c r="E8" s="24"/>
      <c r="F8" s="25"/>
      <c r="G8" s="24"/>
      <c r="H8" s="25"/>
      <c r="I8" s="24"/>
    </row>
    <row r="9" spans="2:10" ht="51" customHeight="1" x14ac:dyDescent="0.25">
      <c r="B9" s="32" t="s">
        <v>8</v>
      </c>
      <c r="C9" s="33"/>
      <c r="D9" s="33"/>
      <c r="E9" s="33"/>
      <c r="F9" s="33"/>
      <c r="G9" s="33"/>
      <c r="H9" s="33"/>
      <c r="I9" s="33"/>
    </row>
    <row r="10" spans="2:10" ht="30.75" customHeight="1" x14ac:dyDescent="0.25">
      <c r="B10" s="21"/>
      <c r="C10" s="22"/>
      <c r="D10" s="22"/>
      <c r="E10" s="22"/>
      <c r="F10" s="22"/>
      <c r="G10" s="22"/>
      <c r="H10" s="22"/>
      <c r="I10" s="22"/>
    </row>
    <row r="15" spans="2:10" ht="15" customHeight="1" x14ac:dyDescent="0.25">
      <c r="D15" s="4"/>
      <c r="E15" s="4"/>
      <c r="F15" s="4"/>
      <c r="G15" s="4"/>
      <c r="H15" s="4"/>
      <c r="I15" s="4"/>
      <c r="J15" s="5"/>
    </row>
    <row r="16" spans="2:10" x14ac:dyDescent="0.25">
      <c r="C16" s="3"/>
      <c r="D16" s="3"/>
      <c r="E16" s="3"/>
      <c r="F16" s="3"/>
      <c r="G16" s="3"/>
      <c r="H16" s="3"/>
      <c r="I16" s="3"/>
    </row>
    <row r="17" spans="4:5" ht="18" x14ac:dyDescent="0.25">
      <c r="D17" s="2"/>
      <c r="E17" s="2"/>
    </row>
  </sheetData>
  <mergeCells count="7">
    <mergeCell ref="B2:I2"/>
    <mergeCell ref="B3:B5"/>
    <mergeCell ref="B9:I9"/>
    <mergeCell ref="C3:I3"/>
    <mergeCell ref="C4:D4"/>
    <mergeCell ref="E4:F4"/>
    <mergeCell ref="G4:H4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4.3.Tablo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2020-11-19T06:02:58Z</dcterms:modified>
</cp:coreProperties>
</file>