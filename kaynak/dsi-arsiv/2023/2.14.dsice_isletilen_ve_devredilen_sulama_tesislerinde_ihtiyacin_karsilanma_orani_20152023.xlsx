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theme/themeOverride2.xml" ContentType="application/vnd.openxmlformats-officedocument.themeOverride+xml"/>
  <Override PartName="/xl/drawings/drawing3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filterPrivacy="1"/>
  <xr:revisionPtr revIDLastSave="0" documentId="13_ncr:1_{CF4F93F3-23A4-453B-886F-0A575995C4D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2.14.Tablo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6" i="1" l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5" i="1"/>
</calcChain>
</file>

<file path=xl/sharedStrings.xml><?xml version="1.0" encoding="utf-8"?>
<sst xmlns="http://schemas.openxmlformats.org/spreadsheetml/2006/main" count="67" uniqueCount="67">
  <si>
    <t>01</t>
  </si>
  <si>
    <t>02</t>
  </si>
  <si>
    <t>03</t>
  </si>
  <si>
    <t>04</t>
  </si>
  <si>
    <t>05</t>
  </si>
  <si>
    <t>06</t>
  </si>
  <si>
    <t>07</t>
  </si>
  <si>
    <t>08</t>
  </si>
  <si>
    <t>09</t>
  </si>
  <si>
    <t>İhtiyacın Karşılanma Oranı Değişimi</t>
  </si>
  <si>
    <t>DSİ 01. (Bursa) Bölge Müdürlüğü</t>
  </si>
  <si>
    <t>DSİ 02. (İzmir) Bölge Müdürlüğü</t>
  </si>
  <si>
    <t>DSİ 03. (Eskişehir) Bölge Müdürlüğü</t>
  </si>
  <si>
    <t>DSİ 04. (Konya) Bölge Müdürlüğü</t>
  </si>
  <si>
    <t>DSİ 05. (Ankara) Bölge Müdürlüğü</t>
  </si>
  <si>
    <t>DSİ 06. (Adana) Bölge Müdürlüğü</t>
  </si>
  <si>
    <t>DSİ 07. (Samsun) Bölge Müdürlüğü</t>
  </si>
  <si>
    <t>DSİ 08. (Erzurum) Bölge Müdürlüğü</t>
  </si>
  <si>
    <t>DSİ 09. (Elazığ) Bölge Müdürlüğü</t>
  </si>
  <si>
    <t>DSİ 10. (Diyarbakır) Bölge Müdürlüğü</t>
  </si>
  <si>
    <t>DSİ 11. (Edirne) Bölge Müdürlüğü</t>
  </si>
  <si>
    <t>DSİ 12. (Kayseri) Bölge Müdürlüğü</t>
  </si>
  <si>
    <t>DSİ 13. (Antalya) Bölge Müdürlüğü</t>
  </si>
  <si>
    <t>DSİ 14. (İstanbul) Bölge Müdürlüğü</t>
  </si>
  <si>
    <t>DSİ 15. (Şanlıurfa) Bölge Müdürlüğü</t>
  </si>
  <si>
    <t>DSİ 16. (Mardin) Ilısu Bölge Müdürlüğü</t>
  </si>
  <si>
    <t>DSİ 17. (Van) Bölge Müdürlüğü</t>
  </si>
  <si>
    <t>DSİ 18. (Isparta) Bölge Müdürlüğü</t>
  </si>
  <si>
    <t>DSİ 19. (Sivas) Bölge Müdürlüğü</t>
  </si>
  <si>
    <t>DSİ 20. (Kahramanmaraş) Bölge Müdürlüğü</t>
  </si>
  <si>
    <t>DSİ 21. (Aydın) Bölge Müdürlüğü</t>
  </si>
  <si>
    <t>DSİ 22. (Trabzon) Bölge Müdürlüğü</t>
  </si>
  <si>
    <t>DSİ 23. (Kastamonu) Bölge Müdürlüğü</t>
  </si>
  <si>
    <t>DSİ 24. (Kars) Bölge Müdürlüğü</t>
  </si>
  <si>
    <t>DSİ 25. (Balıkesir) Bölge Müdürlüğü</t>
  </si>
  <si>
    <t>DSİ 26. (Artvin) Çoruh Bölge Müdürlüğü</t>
  </si>
  <si>
    <t>Bölge No</t>
  </si>
  <si>
    <t>Bölge Adı</t>
  </si>
  <si>
    <t xml:space="preserve">DSİ 01. (Bursa) Bölge </t>
  </si>
  <si>
    <t xml:space="preserve">DSİ 02. (İzmir) Bölge </t>
  </si>
  <si>
    <t xml:space="preserve">DSİ 03. (Eskişehir) Bölge </t>
  </si>
  <si>
    <t xml:space="preserve">DSİ 04. (Konya) Bölge </t>
  </si>
  <si>
    <t xml:space="preserve">DSİ 05. (Ankara) Bölge </t>
  </si>
  <si>
    <t xml:space="preserve">DSİ 06. (Adana) Bölge </t>
  </si>
  <si>
    <t xml:space="preserve">DSİ 07. (Samsun) Bölge </t>
  </si>
  <si>
    <t xml:space="preserve">DSİ 08. (Erzurum) Bölge </t>
  </si>
  <si>
    <t xml:space="preserve">DSİ 09. (Elazığ) Bölge </t>
  </si>
  <si>
    <t xml:space="preserve">DSİ 10. (Diyarbakır) Bölge </t>
  </si>
  <si>
    <t xml:space="preserve">DSİ 11. (Edirne) Bölge </t>
  </si>
  <si>
    <t xml:space="preserve">DSİ 12. (Kayseri) Bölge </t>
  </si>
  <si>
    <t xml:space="preserve">DSİ 13. (Antalya) Bölge </t>
  </si>
  <si>
    <t xml:space="preserve">DSİ 14. (İstanbul) Bölge </t>
  </si>
  <si>
    <t xml:space="preserve">DSİ 15. (Şanlıurfa) Bölge </t>
  </si>
  <si>
    <t xml:space="preserve">DSİ 16. (Mardin) Ilısu Bölge </t>
  </si>
  <si>
    <t xml:space="preserve">DSİ 17. (Van) Bölge </t>
  </si>
  <si>
    <t xml:space="preserve">DSİ 18. (Isparta) Bölge </t>
  </si>
  <si>
    <t xml:space="preserve">DSİ 19. (Sivas) Bölge </t>
  </si>
  <si>
    <t xml:space="preserve">DSİ 20. (Kahramanmaraş) Bölge </t>
  </si>
  <si>
    <t xml:space="preserve">DSİ 21. (Aydın) Bölge </t>
  </si>
  <si>
    <t xml:space="preserve">DSİ 22. (Trabzon) Bölge </t>
  </si>
  <si>
    <t xml:space="preserve">DSİ 23. (Kastamonu) Bölge </t>
  </si>
  <si>
    <t xml:space="preserve">DSİ 24. (Kars) Bölge </t>
  </si>
  <si>
    <t xml:space="preserve">DSİ 25. (Balıkesir) Bölge </t>
  </si>
  <si>
    <t xml:space="preserve">DSİ 26. (Artvin) Çoruh Bölge </t>
  </si>
  <si>
    <t xml:space="preserve">İhtiyacın Karşılanma Oranı                                                                                                                                                               </t>
  </si>
  <si>
    <r>
      <rPr>
        <b/>
        <sz val="11"/>
        <color theme="1"/>
        <rFont val="Calibri"/>
        <family val="2"/>
        <charset val="162"/>
        <scheme val="minor"/>
      </rPr>
      <t>NOT:</t>
    </r>
    <r>
      <rPr>
        <sz val="11"/>
        <color theme="1"/>
        <rFont val="Calibri"/>
        <family val="2"/>
        <scheme val="minor"/>
      </rPr>
      <t xml:space="preserve"> Bölge Müdürlüklerinin kapsadığı iller Metaveriler kısmında verilmiştir.</t>
    </r>
  </si>
  <si>
    <t>2.14.DSİ'ce İşletilen ve Devredilen Sulama Tesislerinde İhtiyacın Karşılanma Oranı, 2015-2023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</si>
</sst>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;[Red]#,##0.00"/>
    <numFmt numFmtId="165" formatCode="#,##0.0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2"/>
      <scheme val="minor"/>
    </font>
    <font>
      <b/>
      <sz val="12"/>
      <name val="Times New Roman"/>
      <family val="1"/>
      <charset val="162"/>
    </font>
    <font>
      <sz val="12"/>
      <name val="Times New Roman"/>
      <family val="1"/>
      <charset val="162"/>
    </font>
    <font>
      <sz val="12"/>
      <color theme="1"/>
      <name val="Times New Roman"/>
      <family val="1"/>
      <charset val="162"/>
    </font>
    <font>
      <b/>
      <sz val="12"/>
      <color theme="1"/>
      <name val="Times New Roman"/>
      <family val="1"/>
      <charset val="162"/>
    </font>
    <font>
      <sz val="12"/>
      <color rgb="FFFF0000"/>
      <name val="Times New Roman"/>
      <family val="1"/>
      <charset val="162"/>
    </font>
    <font>
      <sz val="11"/>
      <color theme="0"/>
      <name val="Calibri"/>
      <family val="2"/>
      <scheme val="minor"/>
    </font>
    <font>
      <sz val="12"/>
      <color theme="0"/>
      <name val="Times New Roman"/>
      <family val="1"/>
      <charset val="162"/>
    </font>
    <font>
      <b/>
      <sz val="11"/>
      <color theme="1"/>
      <name val="Calibri"/>
      <family val="2"/>
      <charset val="16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0" fillId="2" borderId="0" xfId="0" applyFill="1"/>
    <xf numFmtId="0" fontId="0" fillId="0" borderId="0" xfId="0" applyAlignment="1">
      <alignment wrapText="1"/>
    </xf>
    <xf numFmtId="0" fontId="0" fillId="0" borderId="0" xfId="0" applyBorder="1" applyAlignment="1">
      <alignment wrapText="1"/>
    </xf>
    <xf numFmtId="0" fontId="0" fillId="0" borderId="0" xfId="0" applyBorder="1"/>
    <xf numFmtId="164" fontId="2" fillId="2" borderId="0" xfId="0" applyNumberFormat="1" applyFont="1" applyFill="1" applyBorder="1" applyAlignment="1">
      <alignment vertical="center"/>
    </xf>
    <xf numFmtId="165" fontId="6" fillId="2" borderId="1" xfId="0" applyNumberFormat="1" applyFont="1" applyFill="1" applyBorder="1" applyAlignment="1">
      <alignment horizontal="center"/>
    </xf>
    <xf numFmtId="3" fontId="6" fillId="2" borderId="1" xfId="0" applyNumberFormat="1" applyFont="1" applyFill="1" applyBorder="1" applyAlignment="1">
      <alignment horizontal="center"/>
    </xf>
    <xf numFmtId="3" fontId="6" fillId="2" borderId="2" xfId="0" applyNumberFormat="1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 vertical="center" wrapText="1"/>
    </xf>
    <xf numFmtId="0" fontId="5" fillId="3" borderId="13" xfId="0" quotePrefix="1" applyFont="1" applyFill="1" applyBorder="1" applyAlignment="1">
      <alignment horizontal="center" vertical="center"/>
    </xf>
    <xf numFmtId="0" fontId="4" fillId="3" borderId="13" xfId="0" applyFont="1" applyFill="1" applyBorder="1" applyAlignment="1">
      <alignment vertical="center"/>
    </xf>
    <xf numFmtId="0" fontId="5" fillId="3" borderId="15" xfId="0" quotePrefix="1" applyFont="1" applyFill="1" applyBorder="1" applyAlignment="1">
      <alignment horizontal="center" vertical="center"/>
    </xf>
    <xf numFmtId="0" fontId="4" fillId="3" borderId="15" xfId="0" applyFont="1" applyFill="1" applyBorder="1" applyAlignment="1">
      <alignment vertical="center"/>
    </xf>
    <xf numFmtId="0" fontId="5" fillId="3" borderId="15" xfId="0" applyFont="1" applyFill="1" applyBorder="1" applyAlignment="1">
      <alignment horizontal="center" vertical="center"/>
    </xf>
    <xf numFmtId="0" fontId="5" fillId="3" borderId="17" xfId="0" applyFont="1" applyFill="1" applyBorder="1" applyAlignment="1">
      <alignment horizontal="center" vertical="center"/>
    </xf>
    <xf numFmtId="0" fontId="4" fillId="3" borderId="17" xfId="0" applyFont="1" applyFill="1" applyBorder="1" applyAlignment="1">
      <alignment vertical="center"/>
    </xf>
    <xf numFmtId="165" fontId="6" fillId="2" borderId="18" xfId="0" applyNumberFormat="1" applyFont="1" applyFill="1" applyBorder="1" applyAlignment="1">
      <alignment horizontal="center"/>
    </xf>
    <xf numFmtId="0" fontId="7" fillId="2" borderId="0" xfId="0" applyFont="1" applyFill="1"/>
    <xf numFmtId="0" fontId="7" fillId="0" borderId="0" xfId="0" applyFont="1"/>
    <xf numFmtId="0" fontId="0" fillId="0" borderId="0" xfId="0" applyAlignment="1">
      <alignment horizontal="right"/>
    </xf>
    <xf numFmtId="0" fontId="8" fillId="3" borderId="0" xfId="0" applyFont="1" applyFill="1" applyBorder="1" applyAlignment="1">
      <alignment vertical="center"/>
    </xf>
    <xf numFmtId="0" fontId="5" fillId="3" borderId="0" xfId="0" applyFont="1" applyFill="1" applyBorder="1" applyAlignment="1">
      <alignment horizontal="center" vertical="center"/>
    </xf>
    <xf numFmtId="0" fontId="4" fillId="3" borderId="0" xfId="0" applyFont="1" applyFill="1" applyBorder="1" applyAlignment="1">
      <alignment vertical="center"/>
    </xf>
    <xf numFmtId="165" fontId="6" fillId="2" borderId="0" xfId="0" applyNumberFormat="1" applyFont="1" applyFill="1" applyBorder="1" applyAlignment="1">
      <alignment horizontal="center"/>
    </xf>
    <xf numFmtId="3" fontId="6" fillId="2" borderId="0" xfId="0" applyNumberFormat="1" applyFont="1" applyFill="1" applyBorder="1" applyAlignment="1">
      <alignment horizontal="center"/>
    </xf>
    <xf numFmtId="0" fontId="1" fillId="0" borderId="0" xfId="0" applyFont="1" applyAlignment="1">
      <alignment vertical="center"/>
    </xf>
    <xf numFmtId="2" fontId="3" fillId="2" borderId="9" xfId="0" applyNumberFormat="1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3" fontId="4" fillId="2" borderId="2" xfId="0" applyNumberFormat="1" applyFont="1" applyFill="1" applyBorder="1" applyAlignment="1">
      <alignment horizontal="center"/>
    </xf>
    <xf numFmtId="2" fontId="3" fillId="2" borderId="14" xfId="0" applyNumberFormat="1" applyFont="1" applyFill="1" applyBorder="1" applyAlignment="1">
      <alignment horizontal="center" vertical="center" wrapText="1"/>
    </xf>
    <xf numFmtId="2" fontId="3" fillId="2" borderId="10" xfId="0" applyNumberFormat="1" applyFont="1" applyFill="1" applyBorder="1" applyAlignment="1">
      <alignment horizontal="center" vertical="center" wrapText="1"/>
    </xf>
    <xf numFmtId="2" fontId="3" fillId="2" borderId="11" xfId="0" applyNumberFormat="1" applyFont="1" applyFill="1" applyBorder="1" applyAlignment="1">
      <alignment horizontal="center" vertical="center" wrapText="1"/>
    </xf>
    <xf numFmtId="2" fontId="4" fillId="2" borderId="11" xfId="0" applyNumberFormat="1" applyFont="1" applyFill="1" applyBorder="1" applyAlignment="1">
      <alignment horizontal="center" vertical="center" wrapText="1"/>
    </xf>
    <xf numFmtId="2" fontId="3" fillId="2" borderId="16" xfId="0" applyNumberFormat="1" applyFont="1" applyFill="1" applyBorder="1" applyAlignment="1">
      <alignment horizontal="center" vertical="center" wrapText="1"/>
    </xf>
    <xf numFmtId="2" fontId="3" fillId="2" borderId="12" xfId="0" applyNumberFormat="1" applyFont="1" applyFill="1" applyBorder="1" applyAlignment="1">
      <alignment horizontal="center" vertical="center" wrapText="1"/>
    </xf>
    <xf numFmtId="2" fontId="4" fillId="2" borderId="12" xfId="0" applyNumberFormat="1" applyFont="1" applyFill="1" applyBorder="1" applyAlignment="1">
      <alignment horizontal="center" vertical="center" wrapText="1"/>
    </xf>
    <xf numFmtId="2" fontId="4" fillId="2" borderId="16" xfId="0" applyNumberFormat="1" applyFont="1" applyFill="1" applyBorder="1" applyAlignment="1">
      <alignment horizontal="center"/>
    </xf>
    <xf numFmtId="2" fontId="4" fillId="2" borderId="9" xfId="0" applyNumberFormat="1" applyFont="1" applyFill="1" applyBorder="1" applyAlignment="1">
      <alignment horizontal="center"/>
    </xf>
    <xf numFmtId="2" fontId="4" fillId="2" borderId="12" xfId="0" applyNumberFormat="1" applyFont="1" applyFill="1" applyBorder="1" applyAlignment="1">
      <alignment horizontal="center"/>
    </xf>
    <xf numFmtId="2" fontId="3" fillId="2" borderId="12" xfId="0" applyNumberFormat="1" applyFont="1" applyFill="1" applyBorder="1" applyAlignment="1">
      <alignment horizontal="center"/>
    </xf>
    <xf numFmtId="3" fontId="3" fillId="2" borderId="2" xfId="0" applyNumberFormat="1" applyFont="1" applyFill="1" applyBorder="1" applyAlignment="1">
      <alignment horizontal="center"/>
    </xf>
    <xf numFmtId="3" fontId="3" fillId="2" borderId="0" xfId="0" applyNumberFormat="1" applyFont="1" applyFill="1" applyBorder="1" applyAlignment="1">
      <alignment horizontal="center"/>
    </xf>
    <xf numFmtId="0" fontId="10" fillId="0" borderId="0" xfId="0" applyFont="1"/>
    <xf numFmtId="0" fontId="10" fillId="0" borderId="0" xfId="0" applyFont="1" applyBorder="1" applyAlignment="1">
      <alignment wrapText="1"/>
    </xf>
    <xf numFmtId="0" fontId="10" fillId="0" borderId="0" xfId="0" applyFont="1" applyAlignment="1">
      <alignment wrapText="1"/>
    </xf>
    <xf numFmtId="164" fontId="2" fillId="2" borderId="3" xfId="0" applyNumberFormat="1" applyFont="1" applyFill="1" applyBorder="1" applyAlignment="1">
      <alignment horizontal="left" vertical="center" wrapText="1"/>
    </xf>
    <xf numFmtId="164" fontId="2" fillId="2" borderId="4" xfId="0" applyNumberFormat="1" applyFont="1" applyFill="1" applyBorder="1" applyAlignment="1">
      <alignment horizontal="left" vertical="center" wrapText="1"/>
    </xf>
    <xf numFmtId="164" fontId="2" fillId="2" borderId="5" xfId="0" applyNumberFormat="1" applyFont="1" applyFill="1" applyBorder="1" applyAlignment="1">
      <alignment horizontal="left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1" fontId="7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openxmlformats.org/officeDocument/2006/relationships/chartUserShapes" Target="../drawings/drawing2.xml"/><Relationship Id="rId1" Type="http://schemas.openxmlformats.org/officeDocument/2006/relationships/themeOverride" Target="../theme/themeOverride1.xml"/></Relationships>
</file>

<file path=xl/charts/_rels/chart2.xml.rels><?xml version="1.0" encoding="UTF-8" standalone="yes"?>
<Relationships xmlns="http://schemas.openxmlformats.org/package/2006/relationships"><Relationship Id="rId2" Type="http://schemas.openxmlformats.org/officeDocument/2006/relationships/chartUserShapes" Target="../drawings/drawing3.xml"/><Relationship Id="rId1" Type="http://schemas.openxmlformats.org/officeDocument/2006/relationships/themeOverride" Target="../theme/themeOverrid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>
              <a:defRPr/>
            </a:pPr>
            <a:r>
              <a:rPr lang="tr-TR"/>
              <a:t>2.14.DSİ'ce İşletilen ve Devredilen Sulama Tesislerde İhtiyacın Karşılanma Oranı Değişimi, (%), 2022-2023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6.9496514522173924E-2"/>
          <c:y val="0.25087359250514879"/>
          <c:w val="0.89819227127116641"/>
          <c:h val="0.47321130654463989"/>
        </c:manualLayout>
      </c:layout>
      <c:barChart>
        <c:barDir val="col"/>
        <c:grouping val="clustered"/>
        <c:varyColors val="0"/>
        <c:ser>
          <c:idx val="1"/>
          <c:order val="0"/>
          <c:tx>
            <c:strRef>
              <c:f>'2.14.Tablo'!$N$4</c:f>
              <c:strCache>
                <c:ptCount val="1"/>
                <c:pt idx="0">
                  <c:v>İhtiyacın Karşılanma Oranı Değişimi</c:v>
                </c:pt>
              </c:strCache>
            </c:strRef>
          </c:tx>
          <c:invertIfNegative val="0"/>
          <c:dLbls>
            <c:dLbl>
              <c:idx val="0"/>
              <c:layout>
                <c:manualLayout>
                  <c:x val="0"/>
                  <c:y val="4.371585887441002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24F3-4717-BD76-4EB95A095DBF}"/>
                </c:ext>
              </c:extLst>
            </c:dLbl>
            <c:dLbl>
              <c:idx val="2"/>
              <c:layout>
                <c:manualLayout>
                  <c:x val="7.432343425767189E-4"/>
                  <c:y val="6.9025040328016532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B853-44E3-961B-BE0A5448D14E}"/>
                </c:ext>
              </c:extLst>
            </c:dLbl>
            <c:dLbl>
              <c:idx val="5"/>
              <c:layout>
                <c:manualLayout>
                  <c:x val="7.4324262518497028E-4"/>
                  <c:y val="4.7385907436032937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B853-44E3-961B-BE0A5448D14E}"/>
                </c:ext>
              </c:extLst>
            </c:dLbl>
            <c:dLbl>
              <c:idx val="7"/>
              <c:layout>
                <c:manualLayout>
                  <c:x val="0"/>
                  <c:y val="3.8182378149278939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24F3-4717-BD76-4EB95A095DBF}"/>
                </c:ext>
              </c:extLst>
            </c:dLbl>
            <c:dLbl>
              <c:idx val="8"/>
              <c:layout>
                <c:manualLayout>
                  <c:x val="0"/>
                  <c:y val="0.1035375604920236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24F3-4717-BD76-4EB95A095DBF}"/>
                </c:ext>
              </c:extLst>
            </c:dLbl>
            <c:dLbl>
              <c:idx val="9"/>
              <c:layout>
                <c:manualLayout>
                  <c:x val="7.4324262518497028E-4"/>
                  <c:y val="8.6842316710165096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7D7D-4231-BE7F-3B8291FF2397}"/>
                </c:ext>
              </c:extLst>
            </c:dLbl>
            <c:dLbl>
              <c:idx val="10"/>
              <c:layout>
                <c:manualLayout>
                  <c:x val="0"/>
                  <c:y val="0.11964340323522728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24F3-4717-BD76-4EB95A095DBF}"/>
                </c:ext>
              </c:extLst>
            </c:dLbl>
            <c:dLbl>
              <c:idx val="12"/>
              <c:layout>
                <c:manualLayout>
                  <c:x val="-1.0270656895484715E-16"/>
                  <c:y val="7.3626709683216815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24F3-4717-BD76-4EB95A095DBF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24F3-4717-BD76-4EB95A095DBF}"/>
                </c:ext>
              </c:extLst>
            </c:dLbl>
            <c:dLbl>
              <c:idx val="14"/>
              <c:layout>
                <c:manualLayout>
                  <c:x val="-1.0270656895484715E-16"/>
                  <c:y val="9.6635056459221963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24F3-4717-BD76-4EB95A095DBF}"/>
                </c:ext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24F3-4717-BD76-4EB95A095DBF}"/>
                </c:ext>
              </c:extLst>
            </c:dLbl>
            <c:dLbl>
              <c:idx val="16"/>
              <c:layout>
                <c:manualLayout>
                  <c:x val="0"/>
                  <c:y val="8.2830048393618905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24F3-4717-BD76-4EB95A095DBF}"/>
                </c:ext>
              </c:extLst>
            </c:dLbl>
            <c:dLbl>
              <c:idx val="17"/>
              <c:layout>
                <c:manualLayout>
                  <c:x val="0"/>
                  <c:y val="0.10123708815059279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E35B-4050-9E91-714C55DB2FE0}"/>
                </c:ext>
              </c:extLst>
            </c:dLbl>
            <c:dLbl>
              <c:idx val="18"/>
              <c:layout>
                <c:manualLayout>
                  <c:x val="0"/>
                  <c:y val="4.9344377506788481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24F3-4717-BD76-4EB95A095DBF}"/>
                </c:ext>
              </c:extLst>
            </c:dLbl>
            <c:dLbl>
              <c:idx val="21"/>
              <c:layout>
                <c:manualLayout>
                  <c:x val="0"/>
                  <c:y val="0.1242450725904283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24F3-4717-BD76-4EB95A095DBF}"/>
                </c:ext>
              </c:extLst>
            </c:dLbl>
            <c:dLbl>
              <c:idx val="24"/>
              <c:layout>
                <c:manualLayout>
                  <c:x val="0"/>
                  <c:y val="6.6724205650415161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24F3-4717-BD76-4EB95A095DBF}"/>
                </c:ext>
              </c:extLst>
            </c:dLbl>
            <c:dLbl>
              <c:idx val="2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24F3-4717-BD76-4EB95A095DBF}"/>
                </c:ext>
              </c:extLst>
            </c:dLbl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'2.14.Tablo'!$Q$5:$Q$30</c:f>
              <c:strCache>
                <c:ptCount val="26"/>
                <c:pt idx="0">
                  <c:v>DSİ 01. (Bursa) Bölge </c:v>
                </c:pt>
                <c:pt idx="1">
                  <c:v>DSİ 02. (İzmir) Bölge </c:v>
                </c:pt>
                <c:pt idx="2">
                  <c:v>DSİ 03. (Eskişehir) Bölge </c:v>
                </c:pt>
                <c:pt idx="3">
                  <c:v>DSİ 04. (Konya) Bölge </c:v>
                </c:pt>
                <c:pt idx="4">
                  <c:v>DSİ 05. (Ankara) Bölge </c:v>
                </c:pt>
                <c:pt idx="5">
                  <c:v>DSİ 06. (Adana) Bölge </c:v>
                </c:pt>
                <c:pt idx="6">
                  <c:v>DSİ 07. (Samsun) Bölge </c:v>
                </c:pt>
                <c:pt idx="7">
                  <c:v>DSİ 08. (Erzurum) Bölge </c:v>
                </c:pt>
                <c:pt idx="8">
                  <c:v>DSİ 09. (Elazığ) Bölge </c:v>
                </c:pt>
                <c:pt idx="9">
                  <c:v>DSİ 10. (Diyarbakır) Bölge </c:v>
                </c:pt>
                <c:pt idx="10">
                  <c:v>DSİ 11. (Edirne) Bölge </c:v>
                </c:pt>
                <c:pt idx="11">
                  <c:v>DSİ 12. (Kayseri) Bölge </c:v>
                </c:pt>
                <c:pt idx="12">
                  <c:v>DSİ 13. (Antalya) Bölge </c:v>
                </c:pt>
                <c:pt idx="13">
                  <c:v>DSİ 14. (İstanbul) Bölge </c:v>
                </c:pt>
                <c:pt idx="14">
                  <c:v>DSİ 15. (Şanlıurfa) Bölge </c:v>
                </c:pt>
                <c:pt idx="15">
                  <c:v>DSİ 16. (Mardin) Ilısu Bölge </c:v>
                </c:pt>
                <c:pt idx="16">
                  <c:v>DSİ 17. (Van) Bölge </c:v>
                </c:pt>
                <c:pt idx="17">
                  <c:v>DSİ 18. (Isparta) Bölge </c:v>
                </c:pt>
                <c:pt idx="18">
                  <c:v>DSİ 19. (Sivas) Bölge </c:v>
                </c:pt>
                <c:pt idx="19">
                  <c:v>DSİ 20. (Kahramanmaraş) Bölge </c:v>
                </c:pt>
                <c:pt idx="20">
                  <c:v>DSİ 21. (Aydın) Bölge </c:v>
                </c:pt>
                <c:pt idx="21">
                  <c:v>DSİ 22. (Trabzon) Bölge </c:v>
                </c:pt>
                <c:pt idx="22">
                  <c:v>DSİ 23. (Kastamonu) Bölge </c:v>
                </c:pt>
                <c:pt idx="23">
                  <c:v>DSİ 24. (Kars) Bölge </c:v>
                </c:pt>
                <c:pt idx="24">
                  <c:v>DSİ 25. (Balıkesir) Bölge </c:v>
                </c:pt>
                <c:pt idx="25">
                  <c:v>DSİ 26. (Artvin) Çoruh Bölge </c:v>
                </c:pt>
              </c:strCache>
            </c:strRef>
          </c:cat>
          <c:val>
            <c:numRef>
              <c:f>'2.14.Tablo'!$N$5:$N$30</c:f>
              <c:numCache>
                <c:formatCode>0</c:formatCode>
                <c:ptCount val="26"/>
                <c:pt idx="0">
                  <c:v>-1.1494252873563229</c:v>
                </c:pt>
                <c:pt idx="1">
                  <c:v>17.543859649122822</c:v>
                </c:pt>
                <c:pt idx="2">
                  <c:v>1.0416666666666676</c:v>
                </c:pt>
                <c:pt idx="3">
                  <c:v>98.245614035087712</c:v>
                </c:pt>
                <c:pt idx="4">
                  <c:v>33.783783783783782</c:v>
                </c:pt>
                <c:pt idx="5">
                  <c:v>-5.1470588235294157</c:v>
                </c:pt>
                <c:pt idx="6">
                  <c:v>9.6491228070175534</c:v>
                </c:pt>
                <c:pt idx="7">
                  <c:v>-1.7543859649122824</c:v>
                </c:pt>
                <c:pt idx="8">
                  <c:v>-21.969696969696972</c:v>
                </c:pt>
                <c:pt idx="9">
                  <c:v>-18.918918918918923</c:v>
                </c:pt>
                <c:pt idx="10">
                  <c:v>-27.2</c:v>
                </c:pt>
                <c:pt idx="11">
                  <c:v>30.693069306930699</c:v>
                </c:pt>
                <c:pt idx="12">
                  <c:v>-12.5</c:v>
                </c:pt>
                <c:pt idx="13">
                  <c:v>0</c:v>
                </c:pt>
                <c:pt idx="14">
                  <c:v>-20.359281437125741</c:v>
                </c:pt>
                <c:pt idx="15">
                  <c:v>0</c:v>
                </c:pt>
                <c:pt idx="16">
                  <c:v>-15.463917525773198</c:v>
                </c:pt>
                <c:pt idx="17">
                  <c:v>-22.61904761904761</c:v>
                </c:pt>
                <c:pt idx="18">
                  <c:v>-5.7971014492753516</c:v>
                </c:pt>
                <c:pt idx="19">
                  <c:v>3.3333333333333366</c:v>
                </c:pt>
                <c:pt idx="20">
                  <c:v>18.96551724137931</c:v>
                </c:pt>
                <c:pt idx="21">
                  <c:v>-29.545454545454543</c:v>
                </c:pt>
                <c:pt idx="22">
                  <c:v>30.081300813008141</c:v>
                </c:pt>
                <c:pt idx="23">
                  <c:v>116.03053435114504</c:v>
                </c:pt>
                <c:pt idx="24">
                  <c:v>-10.204081632653059</c:v>
                </c:pt>
                <c:pt idx="2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A1D-4C75-B207-5CB43DD162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23"/>
        <c:overlap val="-23"/>
        <c:axId val="416500672"/>
        <c:axId val="416501232"/>
        <c:extLst>
          <c:ext xmlns:c15="http://schemas.microsoft.com/office/drawing/2012/chart" uri="{02D57815-91ED-43cb-92C2-25804820EDAC}">
            <c15:filteredBarSeries>
              <c15:ser>
                <c:idx val="2"/>
                <c:order val="1"/>
                <c:tx>
                  <c:strRef>
                    <c:extLst>
                      <c:ext uri="{02D57815-91ED-43cb-92C2-25804820EDAC}">
                        <c15:formulaRef>
                          <c15:sqref>'2.14.Tablo'!$E$3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wrap="square" lIns="38100" tIns="19050" rIns="38100" bIns="19050" anchor="ctr">
                      <a:spAutoFit/>
                    </a:bodyPr>
                    <a:lstStyle/>
                    <a:p>
                      <a:pPr>
                        <a:defRPr sz="1200">
                          <a:latin typeface="Times New Roman" panose="02020603050405020304" pitchFamily="18" charset="0"/>
                          <a:cs typeface="Times New Roman" panose="02020603050405020304" pitchFamily="18" charset="0"/>
                        </a:defRPr>
                      </a:pPr>
                      <a:endParaRPr lang="tr-TR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'2.14.Tablo'!$Q$5:$Q$30</c15:sqref>
                        </c15:formulaRef>
                      </c:ext>
                    </c:extLst>
                    <c:strCache>
                      <c:ptCount val="26"/>
                      <c:pt idx="0">
                        <c:v>DSİ 01. (Bursa) Bölge </c:v>
                      </c:pt>
                      <c:pt idx="1">
                        <c:v>DSİ 02. (İzmir) Bölge </c:v>
                      </c:pt>
                      <c:pt idx="2">
                        <c:v>DSİ 03. (Eskişehir) Bölge </c:v>
                      </c:pt>
                      <c:pt idx="3">
                        <c:v>DSİ 04. (Konya) Bölge </c:v>
                      </c:pt>
                      <c:pt idx="4">
                        <c:v>DSİ 05. (Ankara) Bölge </c:v>
                      </c:pt>
                      <c:pt idx="5">
                        <c:v>DSİ 06. (Adana) Bölge </c:v>
                      </c:pt>
                      <c:pt idx="6">
                        <c:v>DSİ 07. (Samsun) Bölge </c:v>
                      </c:pt>
                      <c:pt idx="7">
                        <c:v>DSİ 08. (Erzurum) Bölge </c:v>
                      </c:pt>
                      <c:pt idx="8">
                        <c:v>DSİ 09. (Elazığ) Bölge </c:v>
                      </c:pt>
                      <c:pt idx="9">
                        <c:v>DSİ 10. (Diyarbakır) Bölge </c:v>
                      </c:pt>
                      <c:pt idx="10">
                        <c:v>DSİ 11. (Edirne) Bölge </c:v>
                      </c:pt>
                      <c:pt idx="11">
                        <c:v>DSİ 12. (Kayseri) Bölge </c:v>
                      </c:pt>
                      <c:pt idx="12">
                        <c:v>DSİ 13. (Antalya) Bölge </c:v>
                      </c:pt>
                      <c:pt idx="13">
                        <c:v>DSİ 14. (İstanbul) Bölge </c:v>
                      </c:pt>
                      <c:pt idx="14">
                        <c:v>DSİ 15. (Şanlıurfa) Bölge </c:v>
                      </c:pt>
                      <c:pt idx="15">
                        <c:v>DSİ 16. (Mardin) Ilısu Bölge </c:v>
                      </c:pt>
                      <c:pt idx="16">
                        <c:v>DSİ 17. (Van) Bölge </c:v>
                      </c:pt>
                      <c:pt idx="17">
                        <c:v>DSİ 18. (Isparta) Bölge </c:v>
                      </c:pt>
                      <c:pt idx="18">
                        <c:v>DSİ 19. (Sivas) Bölge </c:v>
                      </c:pt>
                      <c:pt idx="19">
                        <c:v>DSİ 20. (Kahramanmaraş) Bölge </c:v>
                      </c:pt>
                      <c:pt idx="20">
                        <c:v>DSİ 21. (Aydın) Bölge </c:v>
                      </c:pt>
                      <c:pt idx="21">
                        <c:v>DSİ 22. (Trabzon) Bölge </c:v>
                      </c:pt>
                      <c:pt idx="22">
                        <c:v>DSİ 23. (Kastamonu) Bölge </c:v>
                      </c:pt>
                      <c:pt idx="23">
                        <c:v>DSİ 24. (Kars) Bölge </c:v>
                      </c:pt>
                      <c:pt idx="24">
                        <c:v>DSİ 25. (Balıkesir) Bölge </c:v>
                      </c:pt>
                      <c:pt idx="25">
                        <c:v>DSİ 26. (Artvin) Çoruh Bölge 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'2.14.Tablo'!$E$27:$E$29</c15:sqref>
                        </c15:formulaRef>
                      </c:ext>
                    </c:extLst>
                    <c:numCache>
                      <c:formatCode>0.00</c:formatCode>
                      <c:ptCount val="3"/>
                      <c:pt idx="0">
                        <c:v>1.61</c:v>
                      </c:pt>
                      <c:pt idx="1">
                        <c:v>1.69</c:v>
                      </c:pt>
                      <c:pt idx="2">
                        <c:v>1.48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5A1D-4C75-B207-5CB43DD1621D}"/>
                  </c:ext>
                </c:extLst>
              </c15:ser>
            </c15:filteredBarSeries>
            <c15:filteredBarSeries>
              <c15:ser>
                <c:idx val="0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'2.14.Tablo'!$G$3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wrap="square" lIns="38100" tIns="19050" rIns="38100" bIns="19050" anchor="ctr">
                      <a:spAutoFit/>
                    </a:bodyPr>
                    <a:lstStyle/>
                    <a:p>
                      <a:pPr>
                        <a:defRPr sz="1200">
                          <a:latin typeface="Times New Roman" panose="02020603050405020304" pitchFamily="18" charset="0"/>
                          <a:cs typeface="Times New Roman" panose="02020603050405020304" pitchFamily="18" charset="0"/>
                        </a:defRPr>
                      </a:pPr>
                      <a:endParaRPr lang="tr-TR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'2.14.Tablo'!$Q$5:$Q$30</c15:sqref>
                        </c15:formulaRef>
                      </c:ext>
                    </c:extLst>
                    <c:strCache>
                      <c:ptCount val="26"/>
                      <c:pt idx="0">
                        <c:v>DSİ 01. (Bursa) Bölge </c:v>
                      </c:pt>
                      <c:pt idx="1">
                        <c:v>DSİ 02. (İzmir) Bölge </c:v>
                      </c:pt>
                      <c:pt idx="2">
                        <c:v>DSİ 03. (Eskişehir) Bölge </c:v>
                      </c:pt>
                      <c:pt idx="3">
                        <c:v>DSİ 04. (Konya) Bölge </c:v>
                      </c:pt>
                      <c:pt idx="4">
                        <c:v>DSİ 05. (Ankara) Bölge </c:v>
                      </c:pt>
                      <c:pt idx="5">
                        <c:v>DSİ 06. (Adana) Bölge </c:v>
                      </c:pt>
                      <c:pt idx="6">
                        <c:v>DSİ 07. (Samsun) Bölge </c:v>
                      </c:pt>
                      <c:pt idx="7">
                        <c:v>DSİ 08. (Erzurum) Bölge </c:v>
                      </c:pt>
                      <c:pt idx="8">
                        <c:v>DSİ 09. (Elazığ) Bölge </c:v>
                      </c:pt>
                      <c:pt idx="9">
                        <c:v>DSİ 10. (Diyarbakır) Bölge </c:v>
                      </c:pt>
                      <c:pt idx="10">
                        <c:v>DSİ 11. (Edirne) Bölge </c:v>
                      </c:pt>
                      <c:pt idx="11">
                        <c:v>DSİ 12. (Kayseri) Bölge </c:v>
                      </c:pt>
                      <c:pt idx="12">
                        <c:v>DSİ 13. (Antalya) Bölge </c:v>
                      </c:pt>
                      <c:pt idx="13">
                        <c:v>DSİ 14. (İstanbul) Bölge </c:v>
                      </c:pt>
                      <c:pt idx="14">
                        <c:v>DSİ 15. (Şanlıurfa) Bölge </c:v>
                      </c:pt>
                      <c:pt idx="15">
                        <c:v>DSİ 16. (Mardin) Ilısu Bölge </c:v>
                      </c:pt>
                      <c:pt idx="16">
                        <c:v>DSİ 17. (Van) Bölge </c:v>
                      </c:pt>
                      <c:pt idx="17">
                        <c:v>DSİ 18. (Isparta) Bölge </c:v>
                      </c:pt>
                      <c:pt idx="18">
                        <c:v>DSİ 19. (Sivas) Bölge </c:v>
                      </c:pt>
                      <c:pt idx="19">
                        <c:v>DSİ 20. (Kahramanmaraş) Bölge </c:v>
                      </c:pt>
                      <c:pt idx="20">
                        <c:v>DSİ 21. (Aydın) Bölge </c:v>
                      </c:pt>
                      <c:pt idx="21">
                        <c:v>DSİ 22. (Trabzon) Bölge </c:v>
                      </c:pt>
                      <c:pt idx="22">
                        <c:v>DSİ 23. (Kastamonu) Bölge </c:v>
                      </c:pt>
                      <c:pt idx="23">
                        <c:v>DSİ 24. (Kars) Bölge </c:v>
                      </c:pt>
                      <c:pt idx="24">
                        <c:v>DSİ 25. (Balıkesir) Bölge </c:v>
                      </c:pt>
                      <c:pt idx="25">
                        <c:v>DSİ 26. (Artvin) Çoruh Bölge 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'2.14.Tablo'!$G$27:$G$29</c15:sqref>
                        </c15:formulaRef>
                      </c:ext>
                    </c:extLst>
                    <c:numCache>
                      <c:formatCode>0.00</c:formatCode>
                      <c:ptCount val="3"/>
                      <c:pt idx="0">
                        <c:v>1.43</c:v>
                      </c:pt>
                      <c:pt idx="1">
                        <c:v>1.67</c:v>
                      </c:pt>
                      <c:pt idx="2">
                        <c:v>1.2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5A1D-4C75-B207-5CB43DD1621D}"/>
                  </c:ext>
                </c:extLst>
              </c15:ser>
            </c15:filteredBarSeries>
          </c:ext>
        </c:extLst>
      </c:barChart>
      <c:catAx>
        <c:axId val="416500672"/>
        <c:scaling>
          <c:orientation val="minMax"/>
        </c:scaling>
        <c:delete val="0"/>
        <c:axPos val="b"/>
        <c:majorGridlines>
          <c:spPr>
            <a:ln>
              <a:noFill/>
            </a:ln>
          </c:spPr>
        </c:majorGridlines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 rot="-5400000" vert="horz"/>
          <a:lstStyle/>
          <a:p>
            <a:pPr>
              <a:defRPr sz="1000" b="1"/>
            </a:pPr>
            <a:endParaRPr lang="tr-TR"/>
          </a:p>
        </c:txPr>
        <c:crossAx val="416501232"/>
        <c:crosses val="autoZero"/>
        <c:auto val="1"/>
        <c:lblAlgn val="ctr"/>
        <c:lblOffset val="1000"/>
        <c:noMultiLvlLbl val="0"/>
      </c:catAx>
      <c:valAx>
        <c:axId val="416501232"/>
        <c:scaling>
          <c:orientation val="minMax"/>
        </c:scaling>
        <c:delete val="0"/>
        <c:axPos val="l"/>
        <c:majorGridlines>
          <c:spPr>
            <a:ln>
              <a:solidFill>
                <a:schemeClr val="accent1">
                  <a:lumMod val="20000"/>
                  <a:lumOff val="80000"/>
                </a:schemeClr>
              </a:solidFill>
            </a:ln>
          </c:spPr>
        </c:majorGridlines>
        <c:numFmt formatCode="#,##0" sourceLinked="0"/>
        <c:majorTickMark val="none"/>
        <c:minorTickMark val="none"/>
        <c:tickLblPos val="nextTo"/>
        <c:txPr>
          <a:bodyPr rot="0" vert="horz"/>
          <a:lstStyle/>
          <a:p>
            <a:pPr>
              <a:defRPr sz="1400" b="1"/>
            </a:pPr>
            <a:endParaRPr lang="tr-TR"/>
          </a:p>
        </c:txPr>
        <c:crossAx val="416500672"/>
        <c:crosses val="autoZero"/>
        <c:crossBetween val="between"/>
      </c:valAx>
      <c:spPr>
        <a:solidFill>
          <a:sysClr val="window" lastClr="FFFFFF"/>
        </a:solidFill>
        <a:ln>
          <a:noFill/>
        </a:ln>
      </c:spPr>
    </c:plotArea>
    <c:plotVisOnly val="1"/>
    <c:dispBlanksAs val="gap"/>
    <c:showDLblsOverMax val="0"/>
  </c:chart>
  <c:spPr>
    <a:solidFill>
      <a:sysClr val="window" lastClr="FFFFFF"/>
    </a:solidFill>
    <a:ln>
      <a:solidFill>
        <a:srgbClr val="00B050"/>
      </a:solidFill>
    </a:ln>
  </c:spPr>
  <c:printSettings>
    <c:headerFooter/>
    <c:pageMargins b="0.75" l="0.7" r="0.7" t="0.75" header="0.3" footer="0.3"/>
    <c:pageSetup/>
  </c:printSettings>
  <c:userShapes r:id="rId2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>
              <a:defRPr/>
            </a:pPr>
            <a:r>
              <a:rPr lang="tr-TR"/>
              <a:t>2.14.DSİ'ce İşletilen ve Devredilen Sulama Tesislerde İhtiyacın Karşılanma Oranı, (%), 2023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6.8658376320707176E-2"/>
          <c:y val="0.15423852253609258"/>
          <c:w val="0.8847702969713056"/>
          <c:h val="0.6031155954399976"/>
        </c:manualLayout>
      </c:layout>
      <c:barChart>
        <c:barDir val="col"/>
        <c:grouping val="clustered"/>
        <c:varyColors val="0"/>
        <c:ser>
          <c:idx val="1"/>
          <c:order val="0"/>
          <c:tx>
            <c:strRef>
              <c:f>'2.14.Tablo'!$D$3:$L$3</c:f>
              <c:strCache>
                <c:ptCount val="1"/>
                <c:pt idx="0">
                  <c:v>İhtiyacın Karşılanma Oranı                                                                                                                                                               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'2.14.Tablo'!$Q$5:$Q$30</c:f>
              <c:strCache>
                <c:ptCount val="26"/>
                <c:pt idx="0">
                  <c:v>DSİ 01. (Bursa) Bölge </c:v>
                </c:pt>
                <c:pt idx="1">
                  <c:v>DSİ 02. (İzmir) Bölge </c:v>
                </c:pt>
                <c:pt idx="2">
                  <c:v>DSİ 03. (Eskişehir) Bölge </c:v>
                </c:pt>
                <c:pt idx="3">
                  <c:v>DSİ 04. (Konya) Bölge </c:v>
                </c:pt>
                <c:pt idx="4">
                  <c:v>DSİ 05. (Ankara) Bölge </c:v>
                </c:pt>
                <c:pt idx="5">
                  <c:v>DSİ 06. (Adana) Bölge </c:v>
                </c:pt>
                <c:pt idx="6">
                  <c:v>DSİ 07. (Samsun) Bölge </c:v>
                </c:pt>
                <c:pt idx="7">
                  <c:v>DSİ 08. (Erzurum) Bölge </c:v>
                </c:pt>
                <c:pt idx="8">
                  <c:v>DSİ 09. (Elazığ) Bölge </c:v>
                </c:pt>
                <c:pt idx="9">
                  <c:v>DSİ 10. (Diyarbakır) Bölge </c:v>
                </c:pt>
                <c:pt idx="10">
                  <c:v>DSİ 11. (Edirne) Bölge </c:v>
                </c:pt>
                <c:pt idx="11">
                  <c:v>DSİ 12. (Kayseri) Bölge </c:v>
                </c:pt>
                <c:pt idx="12">
                  <c:v>DSİ 13. (Antalya) Bölge </c:v>
                </c:pt>
                <c:pt idx="13">
                  <c:v>DSİ 14. (İstanbul) Bölge </c:v>
                </c:pt>
                <c:pt idx="14">
                  <c:v>DSİ 15. (Şanlıurfa) Bölge </c:v>
                </c:pt>
                <c:pt idx="15">
                  <c:v>DSİ 16. (Mardin) Ilısu Bölge </c:v>
                </c:pt>
                <c:pt idx="16">
                  <c:v>DSİ 17. (Van) Bölge </c:v>
                </c:pt>
                <c:pt idx="17">
                  <c:v>DSİ 18. (Isparta) Bölge </c:v>
                </c:pt>
                <c:pt idx="18">
                  <c:v>DSİ 19. (Sivas) Bölge </c:v>
                </c:pt>
                <c:pt idx="19">
                  <c:v>DSİ 20. (Kahramanmaraş) Bölge </c:v>
                </c:pt>
                <c:pt idx="20">
                  <c:v>DSİ 21. (Aydın) Bölge </c:v>
                </c:pt>
                <c:pt idx="21">
                  <c:v>DSİ 22. (Trabzon) Bölge </c:v>
                </c:pt>
                <c:pt idx="22">
                  <c:v>DSİ 23. (Kastamonu) Bölge </c:v>
                </c:pt>
                <c:pt idx="23">
                  <c:v>DSİ 24. (Kars) Bölge </c:v>
                </c:pt>
                <c:pt idx="24">
                  <c:v>DSİ 25. (Balıkesir) Bölge </c:v>
                </c:pt>
                <c:pt idx="25">
                  <c:v>DSİ 26. (Artvin) Çoruh Bölge </c:v>
                </c:pt>
              </c:strCache>
            </c:strRef>
          </c:cat>
          <c:val>
            <c:numRef>
              <c:f>'2.14.Tablo'!$L$5:$L$30</c:f>
              <c:numCache>
                <c:formatCode>0.00</c:formatCode>
                <c:ptCount val="26"/>
                <c:pt idx="0">
                  <c:v>0.86</c:v>
                </c:pt>
                <c:pt idx="1">
                  <c:v>0.67</c:v>
                </c:pt>
                <c:pt idx="2">
                  <c:v>0.97</c:v>
                </c:pt>
                <c:pt idx="3">
                  <c:v>1.1299999999999999</c:v>
                </c:pt>
                <c:pt idx="4">
                  <c:v>1.98</c:v>
                </c:pt>
                <c:pt idx="5">
                  <c:v>1.29</c:v>
                </c:pt>
                <c:pt idx="6">
                  <c:v>1.25</c:v>
                </c:pt>
                <c:pt idx="7">
                  <c:v>1.68</c:v>
                </c:pt>
                <c:pt idx="8">
                  <c:v>1.03</c:v>
                </c:pt>
                <c:pt idx="9">
                  <c:v>1.5</c:v>
                </c:pt>
                <c:pt idx="10">
                  <c:v>0.91</c:v>
                </c:pt>
                <c:pt idx="11">
                  <c:v>1.32</c:v>
                </c:pt>
                <c:pt idx="12">
                  <c:v>0.91</c:v>
                </c:pt>
                <c:pt idx="14">
                  <c:v>1.33</c:v>
                </c:pt>
                <c:pt idx="16">
                  <c:v>1.64</c:v>
                </c:pt>
                <c:pt idx="17">
                  <c:v>0.65</c:v>
                </c:pt>
                <c:pt idx="18">
                  <c:v>1.3</c:v>
                </c:pt>
                <c:pt idx="19">
                  <c:v>1.24</c:v>
                </c:pt>
                <c:pt idx="20">
                  <c:v>0.69</c:v>
                </c:pt>
                <c:pt idx="21">
                  <c:v>0.93</c:v>
                </c:pt>
                <c:pt idx="22">
                  <c:v>1.6</c:v>
                </c:pt>
                <c:pt idx="23">
                  <c:v>2.83</c:v>
                </c:pt>
                <c:pt idx="24">
                  <c:v>0.88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391-466C-87C2-DDD06FFEC3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23"/>
        <c:overlap val="-23"/>
        <c:axId val="416500672"/>
        <c:axId val="416501232"/>
        <c:extLst>
          <c:ext xmlns:c15="http://schemas.microsoft.com/office/drawing/2012/chart" uri="{02D57815-91ED-43cb-92C2-25804820EDAC}">
            <c15:filteredBarSeries>
              <c15:ser>
                <c:idx val="2"/>
                <c:order val="1"/>
                <c:tx>
                  <c:strRef>
                    <c:extLst>
                      <c:ext uri="{02D57815-91ED-43cb-92C2-25804820EDAC}">
                        <c15:formulaRef>
                          <c15:sqref>'2.14.Tablo'!$E$3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wrap="square" lIns="38100" tIns="19050" rIns="38100" bIns="19050" anchor="ctr">
                      <a:spAutoFit/>
                    </a:bodyPr>
                    <a:lstStyle/>
                    <a:p>
                      <a:pPr>
                        <a:defRPr sz="1200">
                          <a:latin typeface="Times New Roman" panose="02020603050405020304" pitchFamily="18" charset="0"/>
                          <a:cs typeface="Times New Roman" panose="02020603050405020304" pitchFamily="18" charset="0"/>
                        </a:defRPr>
                      </a:pPr>
                      <a:endParaRPr lang="tr-TR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'2.14.Tablo'!$Q$5:$Q$30</c15:sqref>
                        </c15:formulaRef>
                      </c:ext>
                    </c:extLst>
                    <c:strCache>
                      <c:ptCount val="26"/>
                      <c:pt idx="0">
                        <c:v>DSİ 01. (Bursa) Bölge </c:v>
                      </c:pt>
                      <c:pt idx="1">
                        <c:v>DSİ 02. (İzmir) Bölge </c:v>
                      </c:pt>
                      <c:pt idx="2">
                        <c:v>DSİ 03. (Eskişehir) Bölge </c:v>
                      </c:pt>
                      <c:pt idx="3">
                        <c:v>DSİ 04. (Konya) Bölge </c:v>
                      </c:pt>
                      <c:pt idx="4">
                        <c:v>DSİ 05. (Ankara) Bölge </c:v>
                      </c:pt>
                      <c:pt idx="5">
                        <c:v>DSİ 06. (Adana) Bölge </c:v>
                      </c:pt>
                      <c:pt idx="6">
                        <c:v>DSİ 07. (Samsun) Bölge </c:v>
                      </c:pt>
                      <c:pt idx="7">
                        <c:v>DSİ 08. (Erzurum) Bölge </c:v>
                      </c:pt>
                      <c:pt idx="8">
                        <c:v>DSİ 09. (Elazığ) Bölge </c:v>
                      </c:pt>
                      <c:pt idx="9">
                        <c:v>DSİ 10. (Diyarbakır) Bölge </c:v>
                      </c:pt>
                      <c:pt idx="10">
                        <c:v>DSİ 11. (Edirne) Bölge </c:v>
                      </c:pt>
                      <c:pt idx="11">
                        <c:v>DSİ 12. (Kayseri) Bölge </c:v>
                      </c:pt>
                      <c:pt idx="12">
                        <c:v>DSİ 13. (Antalya) Bölge </c:v>
                      </c:pt>
                      <c:pt idx="13">
                        <c:v>DSİ 14. (İstanbul) Bölge </c:v>
                      </c:pt>
                      <c:pt idx="14">
                        <c:v>DSİ 15. (Şanlıurfa) Bölge </c:v>
                      </c:pt>
                      <c:pt idx="15">
                        <c:v>DSİ 16. (Mardin) Ilısu Bölge </c:v>
                      </c:pt>
                      <c:pt idx="16">
                        <c:v>DSİ 17. (Van) Bölge </c:v>
                      </c:pt>
                      <c:pt idx="17">
                        <c:v>DSİ 18. (Isparta) Bölge </c:v>
                      </c:pt>
                      <c:pt idx="18">
                        <c:v>DSİ 19. (Sivas) Bölge </c:v>
                      </c:pt>
                      <c:pt idx="19">
                        <c:v>DSİ 20. (Kahramanmaraş) Bölge </c:v>
                      </c:pt>
                      <c:pt idx="20">
                        <c:v>DSİ 21. (Aydın) Bölge </c:v>
                      </c:pt>
                      <c:pt idx="21">
                        <c:v>DSİ 22. (Trabzon) Bölge </c:v>
                      </c:pt>
                      <c:pt idx="22">
                        <c:v>DSİ 23. (Kastamonu) Bölge </c:v>
                      </c:pt>
                      <c:pt idx="23">
                        <c:v>DSİ 24. (Kars) Bölge </c:v>
                      </c:pt>
                      <c:pt idx="24">
                        <c:v>DSİ 25. (Balıkesir) Bölge </c:v>
                      </c:pt>
                      <c:pt idx="25">
                        <c:v>DSİ 26. (Artvin) Çoruh Bölge 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'2.14.Tablo'!$E$27:$E$29</c15:sqref>
                        </c15:formulaRef>
                      </c:ext>
                    </c:extLst>
                    <c:numCache>
                      <c:formatCode>0.00</c:formatCode>
                      <c:ptCount val="3"/>
                      <c:pt idx="0">
                        <c:v>1.61</c:v>
                      </c:pt>
                      <c:pt idx="1">
                        <c:v>1.69</c:v>
                      </c:pt>
                      <c:pt idx="2">
                        <c:v>1.48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9391-466C-87C2-DDD06FFEC3B8}"/>
                  </c:ext>
                </c:extLst>
              </c15:ser>
            </c15:filteredBarSeries>
            <c15:filteredBarSeries>
              <c15:ser>
                <c:idx val="0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'2.14.Tablo'!$G$3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wrap="square" lIns="38100" tIns="19050" rIns="38100" bIns="19050" anchor="ctr">
                      <a:spAutoFit/>
                    </a:bodyPr>
                    <a:lstStyle/>
                    <a:p>
                      <a:pPr>
                        <a:defRPr sz="1200">
                          <a:latin typeface="Times New Roman" panose="02020603050405020304" pitchFamily="18" charset="0"/>
                          <a:cs typeface="Times New Roman" panose="02020603050405020304" pitchFamily="18" charset="0"/>
                        </a:defRPr>
                      </a:pPr>
                      <a:endParaRPr lang="tr-TR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'2.14.Tablo'!$Q$5:$Q$30</c15:sqref>
                        </c15:formulaRef>
                      </c:ext>
                    </c:extLst>
                    <c:strCache>
                      <c:ptCount val="26"/>
                      <c:pt idx="0">
                        <c:v>DSİ 01. (Bursa) Bölge </c:v>
                      </c:pt>
                      <c:pt idx="1">
                        <c:v>DSİ 02. (İzmir) Bölge </c:v>
                      </c:pt>
                      <c:pt idx="2">
                        <c:v>DSİ 03. (Eskişehir) Bölge </c:v>
                      </c:pt>
                      <c:pt idx="3">
                        <c:v>DSİ 04. (Konya) Bölge </c:v>
                      </c:pt>
                      <c:pt idx="4">
                        <c:v>DSİ 05. (Ankara) Bölge </c:v>
                      </c:pt>
                      <c:pt idx="5">
                        <c:v>DSİ 06. (Adana) Bölge </c:v>
                      </c:pt>
                      <c:pt idx="6">
                        <c:v>DSİ 07. (Samsun) Bölge </c:v>
                      </c:pt>
                      <c:pt idx="7">
                        <c:v>DSİ 08. (Erzurum) Bölge </c:v>
                      </c:pt>
                      <c:pt idx="8">
                        <c:v>DSİ 09. (Elazığ) Bölge </c:v>
                      </c:pt>
                      <c:pt idx="9">
                        <c:v>DSİ 10. (Diyarbakır) Bölge </c:v>
                      </c:pt>
                      <c:pt idx="10">
                        <c:v>DSİ 11. (Edirne) Bölge </c:v>
                      </c:pt>
                      <c:pt idx="11">
                        <c:v>DSİ 12. (Kayseri) Bölge </c:v>
                      </c:pt>
                      <c:pt idx="12">
                        <c:v>DSİ 13. (Antalya) Bölge </c:v>
                      </c:pt>
                      <c:pt idx="13">
                        <c:v>DSİ 14. (İstanbul) Bölge </c:v>
                      </c:pt>
                      <c:pt idx="14">
                        <c:v>DSİ 15. (Şanlıurfa) Bölge </c:v>
                      </c:pt>
                      <c:pt idx="15">
                        <c:v>DSİ 16. (Mardin) Ilısu Bölge </c:v>
                      </c:pt>
                      <c:pt idx="16">
                        <c:v>DSİ 17. (Van) Bölge </c:v>
                      </c:pt>
                      <c:pt idx="17">
                        <c:v>DSİ 18. (Isparta) Bölge </c:v>
                      </c:pt>
                      <c:pt idx="18">
                        <c:v>DSİ 19. (Sivas) Bölge </c:v>
                      </c:pt>
                      <c:pt idx="19">
                        <c:v>DSİ 20. (Kahramanmaraş) Bölge </c:v>
                      </c:pt>
                      <c:pt idx="20">
                        <c:v>DSİ 21. (Aydın) Bölge </c:v>
                      </c:pt>
                      <c:pt idx="21">
                        <c:v>DSİ 22. (Trabzon) Bölge </c:v>
                      </c:pt>
                      <c:pt idx="22">
                        <c:v>DSİ 23. (Kastamonu) Bölge </c:v>
                      </c:pt>
                      <c:pt idx="23">
                        <c:v>DSİ 24. (Kars) Bölge </c:v>
                      </c:pt>
                      <c:pt idx="24">
                        <c:v>DSİ 25. (Balıkesir) Bölge </c:v>
                      </c:pt>
                      <c:pt idx="25">
                        <c:v>DSİ 26. (Artvin) Çoruh Bölge 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'2.14.Tablo'!$G$27:$G$29</c15:sqref>
                        </c15:formulaRef>
                      </c:ext>
                    </c:extLst>
                    <c:numCache>
                      <c:formatCode>0.00</c:formatCode>
                      <c:ptCount val="3"/>
                      <c:pt idx="0">
                        <c:v>1.43</c:v>
                      </c:pt>
                      <c:pt idx="1">
                        <c:v>1.67</c:v>
                      </c:pt>
                      <c:pt idx="2">
                        <c:v>1.2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9391-466C-87C2-DDD06FFEC3B8}"/>
                  </c:ext>
                </c:extLst>
              </c15:ser>
            </c15:filteredBarSeries>
          </c:ext>
        </c:extLst>
      </c:barChart>
      <c:catAx>
        <c:axId val="416500672"/>
        <c:scaling>
          <c:orientation val="minMax"/>
        </c:scaling>
        <c:delete val="0"/>
        <c:axPos val="b"/>
        <c:majorGridlines>
          <c:spPr>
            <a:ln>
              <a:noFill/>
            </a:ln>
          </c:spPr>
        </c:majorGridlines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 rot="-5400000" vert="horz"/>
          <a:lstStyle/>
          <a:p>
            <a:pPr>
              <a:defRPr sz="1000" b="1"/>
            </a:pPr>
            <a:endParaRPr lang="tr-TR"/>
          </a:p>
        </c:txPr>
        <c:crossAx val="416501232"/>
        <c:crosses val="autoZero"/>
        <c:auto val="1"/>
        <c:lblAlgn val="ctr"/>
        <c:lblOffset val="100"/>
        <c:noMultiLvlLbl val="0"/>
      </c:catAx>
      <c:valAx>
        <c:axId val="416501232"/>
        <c:scaling>
          <c:orientation val="minMax"/>
        </c:scaling>
        <c:delete val="0"/>
        <c:axPos val="l"/>
        <c:majorGridlines>
          <c:spPr>
            <a:ln>
              <a:solidFill>
                <a:schemeClr val="accent1">
                  <a:lumMod val="20000"/>
                  <a:lumOff val="80000"/>
                </a:schemeClr>
              </a:solidFill>
            </a:ln>
          </c:spPr>
        </c:majorGridlines>
        <c:numFmt formatCode="#,##0" sourceLinked="0"/>
        <c:majorTickMark val="none"/>
        <c:minorTickMark val="none"/>
        <c:tickLblPos val="nextTo"/>
        <c:txPr>
          <a:bodyPr rot="0" vert="horz"/>
          <a:lstStyle/>
          <a:p>
            <a:pPr>
              <a:defRPr sz="1400" b="1"/>
            </a:pPr>
            <a:endParaRPr lang="tr-TR"/>
          </a:p>
        </c:txPr>
        <c:crossAx val="416500672"/>
        <c:crosses val="autoZero"/>
        <c:crossBetween val="between"/>
      </c:valAx>
      <c:spPr>
        <a:solidFill>
          <a:sysClr val="window" lastClr="FFFFFF"/>
        </a:solidFill>
        <a:ln>
          <a:noFill/>
        </a:ln>
      </c:spPr>
    </c:plotArea>
    <c:plotVisOnly val="1"/>
    <c:dispBlanksAs val="gap"/>
    <c:showDLblsOverMax val="0"/>
  </c:chart>
  <c:spPr>
    <a:solidFill>
      <a:sysClr val="window" lastClr="FFFFFF"/>
    </a:solidFill>
    <a:ln>
      <a:solidFill>
        <a:srgbClr val="00B050"/>
      </a:solidFill>
    </a:ln>
  </c:spPr>
  <c:printSettings>
    <c:headerFooter/>
    <c:pageMargins b="0.75" l="0.7" r="0.7" t="0.75" header="0.3" footer="0.3"/>
    <c:pageSetup/>
  </c:printSettings>
  <c:userShapes r:id="rId2"/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609600</xdr:colOff>
      <xdr:row>1</xdr:row>
      <xdr:rowOff>9525</xdr:rowOff>
    </xdr:from>
    <xdr:to>
      <xdr:col>11</xdr:col>
      <xdr:colOff>990600</xdr:colOff>
      <xdr:row>1</xdr:row>
      <xdr:rowOff>295576</xdr:rowOff>
    </xdr:to>
    <xdr:pic>
      <xdr:nvPicPr>
        <xdr:cNvPr id="6" name="Resim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296775" y="200025"/>
          <a:ext cx="381000" cy="286051"/>
        </a:xfrm>
        <a:prstGeom prst="rect">
          <a:avLst/>
        </a:prstGeom>
      </xdr:spPr>
    </xdr:pic>
    <xdr:clientData/>
  </xdr:twoCellAnchor>
  <xdr:twoCellAnchor>
    <xdr:from>
      <xdr:col>1</xdr:col>
      <xdr:colOff>57149</xdr:colOff>
      <xdr:row>67</xdr:row>
      <xdr:rowOff>183356</xdr:rowOff>
    </xdr:from>
    <xdr:to>
      <xdr:col>20</xdr:col>
      <xdr:colOff>380999</xdr:colOff>
      <xdr:row>101</xdr:row>
      <xdr:rowOff>190499</xdr:rowOff>
    </xdr:to>
    <xdr:graphicFrame macro="">
      <xdr:nvGraphicFramePr>
        <xdr:cNvPr id="15" name="Grafik 3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71436</xdr:colOff>
      <xdr:row>32</xdr:row>
      <xdr:rowOff>35720</xdr:rowOff>
    </xdr:from>
    <xdr:to>
      <xdr:col>20</xdr:col>
      <xdr:colOff>383379</xdr:colOff>
      <xdr:row>67</xdr:row>
      <xdr:rowOff>95249</xdr:rowOff>
    </xdr:to>
    <xdr:graphicFrame macro="">
      <xdr:nvGraphicFramePr>
        <xdr:cNvPr id="4" name="Grafik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0.00864</cdr:x>
      <cdr:y>0.01354</cdr:y>
    </cdr:from>
    <cdr:to>
      <cdr:x>0.07347</cdr:x>
      <cdr:y>0.08976</cdr:y>
    </cdr:to>
    <cdr:pic>
      <cdr:nvPicPr>
        <cdr:cNvPr id="2" name="Resim 1">
          <a:extLst xmlns:a="http://schemas.openxmlformats.org/drawingml/2006/main">
            <a:ext uri="{FF2B5EF4-FFF2-40B4-BE49-F238E27FC236}">
              <a16:creationId xmlns:a16="http://schemas.microsoft.com/office/drawing/2014/main" id="{7052A5EB-C803-42CD-9106-068152A0A4E1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 xmlns:a="http://schemas.openxmlformats.org/drawingml/2006/main">
          <a:fillRect/>
        </a:stretch>
      </cdr:blipFill>
      <cdr:spPr>
        <a:xfrm xmlns:a="http://schemas.openxmlformats.org/drawingml/2006/main">
          <a:off x="50800" y="50800"/>
          <a:ext cx="381000" cy="286051"/>
        </a:xfrm>
        <a:prstGeom xmlns:a="http://schemas.openxmlformats.org/drawingml/2006/main" prst="rect">
          <a:avLst/>
        </a:prstGeom>
      </cdr:spPr>
    </cdr:pic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0.00864</cdr:x>
      <cdr:y>0.01354</cdr:y>
    </cdr:from>
    <cdr:to>
      <cdr:x>0.07347</cdr:x>
      <cdr:y>0.08976</cdr:y>
    </cdr:to>
    <cdr:pic>
      <cdr:nvPicPr>
        <cdr:cNvPr id="2" name="Resim 1">
          <a:extLst xmlns:a="http://schemas.openxmlformats.org/drawingml/2006/main">
            <a:ext uri="{FF2B5EF4-FFF2-40B4-BE49-F238E27FC236}">
              <a16:creationId xmlns:a16="http://schemas.microsoft.com/office/drawing/2014/main" id="{62D87CFB-2C15-4B75-9459-360438B256F0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 xmlns:a="http://schemas.openxmlformats.org/drawingml/2006/main">
          <a:fillRect/>
        </a:stretch>
      </cdr:blipFill>
      <cdr:spPr>
        <a:xfrm xmlns:a="http://schemas.openxmlformats.org/drawingml/2006/main">
          <a:off x="50800" y="50800"/>
          <a:ext cx="381000" cy="286051"/>
        </a:xfrm>
        <a:prstGeom xmlns:a="http://schemas.openxmlformats.org/drawingml/2006/main" prst="rect">
          <a:avLst/>
        </a:prstGeom>
      </cdr:spPr>
    </cdr:pic>
  </cdr:relSizeAnchor>
</c:userShape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Q38"/>
  <sheetViews>
    <sheetView tabSelected="1" zoomScale="80" zoomScaleNormal="80" workbookViewId="0">
      <selection activeCell="S13" sqref="S13"/>
    </sheetView>
  </sheetViews>
  <sheetFormatPr defaultRowHeight="15" x14ac:dyDescent="0.25"/>
  <cols>
    <col min="1" max="1" width="2.5703125" customWidth="1"/>
    <col min="3" max="3" width="43.85546875" bestFit="1" customWidth="1"/>
    <col min="4" max="11" width="15.7109375" customWidth="1"/>
    <col min="12" max="12" width="15.7109375" style="43" customWidth="1"/>
    <col min="14" max="14" width="9.140625" style="19"/>
    <col min="17" max="17" width="9.140625" style="19"/>
  </cols>
  <sheetData>
    <row r="1" spans="2:17" s="1" customFormat="1" ht="15" customHeight="1" thickBot="1" x14ac:dyDescent="0.3">
      <c r="C1" s="5"/>
      <c r="D1" s="5"/>
      <c r="E1" s="5"/>
      <c r="F1" s="5"/>
      <c r="G1" s="5"/>
      <c r="H1" s="5"/>
      <c r="I1" s="5"/>
      <c r="J1" s="5"/>
      <c r="K1" s="5"/>
      <c r="L1" s="5"/>
      <c r="N1" s="18"/>
      <c r="Q1" s="18"/>
    </row>
    <row r="2" spans="2:17" s="1" customFormat="1" ht="24.75" customHeight="1" thickBot="1" x14ac:dyDescent="0.3">
      <c r="B2" s="46" t="s">
        <v>66</v>
      </c>
      <c r="C2" s="47"/>
      <c r="D2" s="47"/>
      <c r="E2" s="47"/>
      <c r="F2" s="47"/>
      <c r="G2" s="47"/>
      <c r="H2" s="47"/>
      <c r="I2" s="47"/>
      <c r="J2" s="47"/>
      <c r="K2" s="47"/>
      <c r="L2" s="48"/>
      <c r="N2" s="18"/>
      <c r="Q2" s="18"/>
    </row>
    <row r="3" spans="2:17" ht="48.75" customHeight="1" thickBot="1" x14ac:dyDescent="0.3">
      <c r="B3" s="49" t="s">
        <v>36</v>
      </c>
      <c r="C3" s="49" t="s">
        <v>37</v>
      </c>
      <c r="D3" s="51" t="s">
        <v>64</v>
      </c>
      <c r="E3" s="52"/>
      <c r="F3" s="52"/>
      <c r="G3" s="52"/>
      <c r="H3" s="52"/>
      <c r="I3" s="52"/>
      <c r="J3" s="52"/>
      <c r="K3" s="52"/>
      <c r="L3" s="53"/>
    </row>
    <row r="4" spans="2:17" ht="22.5" customHeight="1" thickBot="1" x14ac:dyDescent="0.3">
      <c r="B4" s="50"/>
      <c r="C4" s="50"/>
      <c r="D4" s="9">
        <v>2015</v>
      </c>
      <c r="E4" s="9">
        <v>2016</v>
      </c>
      <c r="F4" s="9">
        <v>2017</v>
      </c>
      <c r="G4" s="9">
        <v>2018</v>
      </c>
      <c r="H4" s="9">
        <v>2019</v>
      </c>
      <c r="I4" s="9">
        <v>2020</v>
      </c>
      <c r="J4" s="28">
        <v>2021</v>
      </c>
      <c r="K4" s="9">
        <v>2022</v>
      </c>
      <c r="L4" s="9">
        <v>2023</v>
      </c>
      <c r="N4" s="19" t="s">
        <v>9</v>
      </c>
    </row>
    <row r="5" spans="2:17" ht="22.5" customHeight="1" x14ac:dyDescent="0.25">
      <c r="B5" s="10" t="s">
        <v>0</v>
      </c>
      <c r="C5" s="11" t="s">
        <v>10</v>
      </c>
      <c r="D5" s="30">
        <v>0.84</v>
      </c>
      <c r="E5" s="31">
        <v>0.97</v>
      </c>
      <c r="F5" s="31">
        <v>0.87</v>
      </c>
      <c r="G5" s="31">
        <v>0.79</v>
      </c>
      <c r="H5" s="31">
        <v>0.87</v>
      </c>
      <c r="I5" s="32">
        <v>0.94</v>
      </c>
      <c r="J5" s="33">
        <v>0.87</v>
      </c>
      <c r="K5" s="32">
        <v>0.93</v>
      </c>
      <c r="L5" s="32">
        <v>0.86</v>
      </c>
      <c r="N5" s="54">
        <f>+(L5-J5)*100/J5</f>
        <v>-1.1494252873563229</v>
      </c>
      <c r="P5" s="20"/>
      <c r="Q5" s="21" t="s">
        <v>38</v>
      </c>
    </row>
    <row r="6" spans="2:17" ht="22.5" customHeight="1" x14ac:dyDescent="0.25">
      <c r="B6" s="12" t="s">
        <v>1</v>
      </c>
      <c r="C6" s="13" t="s">
        <v>11</v>
      </c>
      <c r="D6" s="34">
        <v>0.98</v>
      </c>
      <c r="E6" s="27">
        <v>0.96</v>
      </c>
      <c r="F6" s="27">
        <v>0.81</v>
      </c>
      <c r="G6" s="27">
        <v>0.93</v>
      </c>
      <c r="H6" s="27">
        <v>0.94</v>
      </c>
      <c r="I6" s="35">
        <v>0.67</v>
      </c>
      <c r="J6" s="36">
        <v>0.56999999999999995</v>
      </c>
      <c r="K6" s="35">
        <v>0.57999999999999996</v>
      </c>
      <c r="L6" s="35">
        <v>0.67</v>
      </c>
      <c r="N6" s="54">
        <f t="shared" ref="N6:N30" si="0">+(L6-J6)*100/J6</f>
        <v>17.543859649122822</v>
      </c>
      <c r="Q6" s="21" t="s">
        <v>39</v>
      </c>
    </row>
    <row r="7" spans="2:17" ht="22.5" customHeight="1" x14ac:dyDescent="0.25">
      <c r="B7" s="12" t="s">
        <v>2</v>
      </c>
      <c r="C7" s="13" t="s">
        <v>12</v>
      </c>
      <c r="D7" s="34">
        <v>1.21</v>
      </c>
      <c r="E7" s="27">
        <v>1.43</v>
      </c>
      <c r="F7" s="27">
        <v>1.28</v>
      </c>
      <c r="G7" s="27">
        <v>1.21</v>
      </c>
      <c r="H7" s="27">
        <v>0.96</v>
      </c>
      <c r="I7" s="35">
        <v>1.1499999999999999</v>
      </c>
      <c r="J7" s="36">
        <v>0.96</v>
      </c>
      <c r="K7" s="35">
        <v>0.78</v>
      </c>
      <c r="L7" s="35">
        <v>0.97</v>
      </c>
      <c r="N7" s="54">
        <f t="shared" si="0"/>
        <v>1.0416666666666676</v>
      </c>
      <c r="Q7" s="21" t="s">
        <v>40</v>
      </c>
    </row>
    <row r="8" spans="2:17" ht="22.5" customHeight="1" x14ac:dyDescent="0.25">
      <c r="B8" s="12" t="s">
        <v>3</v>
      </c>
      <c r="C8" s="13" t="s">
        <v>13</v>
      </c>
      <c r="D8" s="34">
        <v>1.01</v>
      </c>
      <c r="E8" s="27">
        <v>0.94</v>
      </c>
      <c r="F8" s="27">
        <v>0.88</v>
      </c>
      <c r="G8" s="27">
        <v>0.87</v>
      </c>
      <c r="H8" s="27">
        <v>0.94</v>
      </c>
      <c r="I8" s="35">
        <v>0.99</v>
      </c>
      <c r="J8" s="36">
        <v>0.56999999999999995</v>
      </c>
      <c r="K8" s="35">
        <v>0.86</v>
      </c>
      <c r="L8" s="35">
        <v>1.1299999999999999</v>
      </c>
      <c r="N8" s="54">
        <f t="shared" si="0"/>
        <v>98.245614035087712</v>
      </c>
      <c r="Q8" s="21" t="s">
        <v>41</v>
      </c>
    </row>
    <row r="9" spans="2:17" ht="22.5" customHeight="1" x14ac:dyDescent="0.25">
      <c r="B9" s="12" t="s">
        <v>4</v>
      </c>
      <c r="C9" s="13" t="s">
        <v>14</v>
      </c>
      <c r="D9" s="34">
        <v>1.66</v>
      </c>
      <c r="E9" s="27">
        <v>2.11</v>
      </c>
      <c r="F9" s="27">
        <v>2.2000000000000002</v>
      </c>
      <c r="G9" s="27">
        <v>2.5299999999999998</v>
      </c>
      <c r="H9" s="27">
        <v>1.86</v>
      </c>
      <c r="I9" s="35">
        <v>1.71</v>
      </c>
      <c r="J9" s="36">
        <v>1.48</v>
      </c>
      <c r="K9" s="35">
        <v>1.52</v>
      </c>
      <c r="L9" s="35">
        <v>1.98</v>
      </c>
      <c r="N9" s="54">
        <f t="shared" si="0"/>
        <v>33.783783783783782</v>
      </c>
      <c r="Q9" s="21" t="s">
        <v>42</v>
      </c>
    </row>
    <row r="10" spans="2:17" ht="22.5" customHeight="1" x14ac:dyDescent="0.25">
      <c r="B10" s="12" t="s">
        <v>5</v>
      </c>
      <c r="C10" s="13" t="s">
        <v>15</v>
      </c>
      <c r="D10" s="34">
        <v>1.26</v>
      </c>
      <c r="E10" s="27">
        <v>1.1200000000000001</v>
      </c>
      <c r="F10" s="27">
        <v>1.02</v>
      </c>
      <c r="G10" s="27">
        <v>1.3</v>
      </c>
      <c r="H10" s="27">
        <v>1.22</v>
      </c>
      <c r="I10" s="35">
        <v>1.71</v>
      </c>
      <c r="J10" s="36">
        <v>1.36</v>
      </c>
      <c r="K10" s="35">
        <v>1.22</v>
      </c>
      <c r="L10" s="35">
        <v>1.29</v>
      </c>
      <c r="N10" s="54">
        <f t="shared" si="0"/>
        <v>-5.1470588235294157</v>
      </c>
      <c r="Q10" s="21" t="s">
        <v>43</v>
      </c>
    </row>
    <row r="11" spans="2:17" ht="22.5" customHeight="1" x14ac:dyDescent="0.25">
      <c r="B11" s="12" t="s">
        <v>6</v>
      </c>
      <c r="C11" s="13" t="s">
        <v>16</v>
      </c>
      <c r="D11" s="34">
        <v>0.88</v>
      </c>
      <c r="E11" s="27">
        <v>1.1299999999999999</v>
      </c>
      <c r="F11" s="27">
        <v>1.25</v>
      </c>
      <c r="G11" s="27">
        <v>1.24</v>
      </c>
      <c r="H11" s="27">
        <v>1.26</v>
      </c>
      <c r="I11" s="35">
        <v>1.33</v>
      </c>
      <c r="J11" s="36">
        <v>1.1399999999999999</v>
      </c>
      <c r="K11" s="35">
        <v>1.3</v>
      </c>
      <c r="L11" s="35">
        <v>1.25</v>
      </c>
      <c r="N11" s="54">
        <f t="shared" si="0"/>
        <v>9.6491228070175534</v>
      </c>
      <c r="Q11" s="21" t="s">
        <v>44</v>
      </c>
    </row>
    <row r="12" spans="2:17" ht="22.5" customHeight="1" x14ac:dyDescent="0.25">
      <c r="B12" s="12" t="s">
        <v>7</v>
      </c>
      <c r="C12" s="13" t="s">
        <v>17</v>
      </c>
      <c r="D12" s="34">
        <v>1.89</v>
      </c>
      <c r="E12" s="27">
        <v>1.98</v>
      </c>
      <c r="F12" s="27">
        <v>1.69</v>
      </c>
      <c r="G12" s="27">
        <v>1.46</v>
      </c>
      <c r="H12" s="27">
        <v>1.54</v>
      </c>
      <c r="I12" s="35">
        <v>2.27</v>
      </c>
      <c r="J12" s="36">
        <v>1.71</v>
      </c>
      <c r="K12" s="35">
        <v>1.77</v>
      </c>
      <c r="L12" s="35">
        <v>1.68</v>
      </c>
      <c r="N12" s="54">
        <f t="shared" si="0"/>
        <v>-1.7543859649122824</v>
      </c>
      <c r="Q12" s="21" t="s">
        <v>45</v>
      </c>
    </row>
    <row r="13" spans="2:17" ht="22.5" customHeight="1" x14ac:dyDescent="0.25">
      <c r="B13" s="12" t="s">
        <v>8</v>
      </c>
      <c r="C13" s="13" t="s">
        <v>18</v>
      </c>
      <c r="D13" s="34">
        <v>1.38</v>
      </c>
      <c r="E13" s="27">
        <v>1.36</v>
      </c>
      <c r="F13" s="27">
        <v>1.06</v>
      </c>
      <c r="G13" s="27">
        <v>1.21</v>
      </c>
      <c r="H13" s="27">
        <v>1.42</v>
      </c>
      <c r="I13" s="35">
        <v>1.4</v>
      </c>
      <c r="J13" s="36">
        <v>1.32</v>
      </c>
      <c r="K13" s="35">
        <v>1.35</v>
      </c>
      <c r="L13" s="35">
        <v>1.03</v>
      </c>
      <c r="N13" s="54">
        <f t="shared" si="0"/>
        <v>-21.969696969696972</v>
      </c>
      <c r="Q13" s="21" t="s">
        <v>46</v>
      </c>
    </row>
    <row r="14" spans="2:17" ht="22.5" customHeight="1" x14ac:dyDescent="0.25">
      <c r="B14" s="14">
        <v>10</v>
      </c>
      <c r="C14" s="13" t="s">
        <v>19</v>
      </c>
      <c r="D14" s="34">
        <v>1.54</v>
      </c>
      <c r="E14" s="27">
        <v>1.93</v>
      </c>
      <c r="F14" s="27">
        <v>1.81</v>
      </c>
      <c r="G14" s="27">
        <v>1.46</v>
      </c>
      <c r="H14" s="27">
        <v>1.59</v>
      </c>
      <c r="I14" s="35">
        <v>1.85</v>
      </c>
      <c r="J14" s="36">
        <v>1.85</v>
      </c>
      <c r="K14" s="35">
        <v>1.49</v>
      </c>
      <c r="L14" s="35">
        <v>1.5</v>
      </c>
      <c r="N14" s="54">
        <f t="shared" si="0"/>
        <v>-18.918918918918923</v>
      </c>
      <c r="Q14" s="21" t="s">
        <v>47</v>
      </c>
    </row>
    <row r="15" spans="2:17" ht="22.5" customHeight="1" x14ac:dyDescent="0.25">
      <c r="B15" s="14">
        <v>11</v>
      </c>
      <c r="C15" s="13" t="s">
        <v>20</v>
      </c>
      <c r="D15" s="34">
        <v>1</v>
      </c>
      <c r="E15" s="27">
        <v>1.1200000000000001</v>
      </c>
      <c r="F15" s="27">
        <v>0.98</v>
      </c>
      <c r="G15" s="27">
        <v>1.22</v>
      </c>
      <c r="H15" s="27">
        <v>1.1100000000000001</v>
      </c>
      <c r="I15" s="35">
        <v>1.3</v>
      </c>
      <c r="J15" s="36">
        <v>1.25</v>
      </c>
      <c r="K15" s="35">
        <v>1.28</v>
      </c>
      <c r="L15" s="35">
        <v>0.91</v>
      </c>
      <c r="N15" s="54">
        <f t="shared" si="0"/>
        <v>-27.2</v>
      </c>
      <c r="Q15" s="21" t="s">
        <v>48</v>
      </c>
    </row>
    <row r="16" spans="2:17" ht="22.5" customHeight="1" x14ac:dyDescent="0.25">
      <c r="B16" s="14">
        <v>12</v>
      </c>
      <c r="C16" s="13" t="s">
        <v>21</v>
      </c>
      <c r="D16" s="34">
        <v>1.22</v>
      </c>
      <c r="E16" s="27">
        <v>1.0900000000000001</v>
      </c>
      <c r="F16" s="27">
        <v>1.1200000000000001</v>
      </c>
      <c r="G16" s="27">
        <v>1.1100000000000001</v>
      </c>
      <c r="H16" s="27">
        <v>0.96</v>
      </c>
      <c r="I16" s="35">
        <v>1.1100000000000001</v>
      </c>
      <c r="J16" s="36">
        <v>1.01</v>
      </c>
      <c r="K16" s="35">
        <v>1.04</v>
      </c>
      <c r="L16" s="35">
        <v>1.32</v>
      </c>
      <c r="N16" s="54">
        <f t="shared" si="0"/>
        <v>30.693069306930699</v>
      </c>
      <c r="Q16" s="21" t="s">
        <v>49</v>
      </c>
    </row>
    <row r="17" spans="2:17" ht="22.5" customHeight="1" x14ac:dyDescent="0.25">
      <c r="B17" s="14">
        <v>13</v>
      </c>
      <c r="C17" s="13" t="s">
        <v>22</v>
      </c>
      <c r="D17" s="34">
        <v>1.1399999999999999</v>
      </c>
      <c r="E17" s="27">
        <v>1.1100000000000001</v>
      </c>
      <c r="F17" s="27">
        <v>1.23</v>
      </c>
      <c r="G17" s="27">
        <v>1.1000000000000001</v>
      </c>
      <c r="H17" s="27">
        <v>0.96</v>
      </c>
      <c r="I17" s="35">
        <v>1.01</v>
      </c>
      <c r="J17" s="36">
        <v>1.04</v>
      </c>
      <c r="K17" s="35">
        <v>1.38</v>
      </c>
      <c r="L17" s="35">
        <v>0.91</v>
      </c>
      <c r="N17" s="54">
        <f t="shared" si="0"/>
        <v>-12.5</v>
      </c>
      <c r="Q17" s="21" t="s">
        <v>50</v>
      </c>
    </row>
    <row r="18" spans="2:17" ht="22.5" customHeight="1" x14ac:dyDescent="0.25">
      <c r="B18" s="14">
        <v>14</v>
      </c>
      <c r="C18" s="13" t="s">
        <v>23</v>
      </c>
      <c r="D18" s="34"/>
      <c r="E18" s="27"/>
      <c r="F18" s="27"/>
      <c r="G18" s="27"/>
      <c r="H18" s="27"/>
      <c r="I18" s="35"/>
      <c r="J18" s="36"/>
      <c r="K18" s="35"/>
      <c r="L18" s="35"/>
      <c r="N18" s="54" t="e">
        <f t="shared" si="0"/>
        <v>#DIV/0!</v>
      </c>
      <c r="Q18" s="21" t="s">
        <v>51</v>
      </c>
    </row>
    <row r="19" spans="2:17" ht="22.5" customHeight="1" x14ac:dyDescent="0.25">
      <c r="B19" s="14">
        <v>15</v>
      </c>
      <c r="C19" s="13" t="s">
        <v>24</v>
      </c>
      <c r="D19" s="34">
        <v>1.28</v>
      </c>
      <c r="E19" s="27">
        <v>1.19</v>
      </c>
      <c r="F19" s="27">
        <v>1.43</v>
      </c>
      <c r="G19" s="27">
        <v>1.29</v>
      </c>
      <c r="H19" s="27">
        <v>1.4</v>
      </c>
      <c r="I19" s="35">
        <v>1.1100000000000001</v>
      </c>
      <c r="J19" s="36">
        <v>1.67</v>
      </c>
      <c r="K19" s="35">
        <v>1.58</v>
      </c>
      <c r="L19" s="35">
        <v>1.33</v>
      </c>
      <c r="N19" s="54">
        <f t="shared" si="0"/>
        <v>-20.359281437125741</v>
      </c>
      <c r="Q19" s="21" t="s">
        <v>52</v>
      </c>
    </row>
    <row r="20" spans="2:17" ht="22.5" customHeight="1" x14ac:dyDescent="0.25">
      <c r="B20" s="14">
        <v>16</v>
      </c>
      <c r="C20" s="13" t="s">
        <v>25</v>
      </c>
      <c r="D20" s="34"/>
      <c r="E20" s="27"/>
      <c r="F20" s="27"/>
      <c r="G20" s="27"/>
      <c r="H20" s="27"/>
      <c r="I20" s="35"/>
      <c r="J20" s="36"/>
      <c r="K20" s="35"/>
      <c r="L20" s="35"/>
      <c r="N20" s="54" t="e">
        <f t="shared" si="0"/>
        <v>#DIV/0!</v>
      </c>
      <c r="Q20" s="21" t="s">
        <v>53</v>
      </c>
    </row>
    <row r="21" spans="2:17" ht="22.5" customHeight="1" x14ac:dyDescent="0.25">
      <c r="B21" s="14">
        <v>17</v>
      </c>
      <c r="C21" s="13" t="s">
        <v>26</v>
      </c>
      <c r="D21" s="34">
        <v>2.95</v>
      </c>
      <c r="E21" s="27">
        <v>2.54</v>
      </c>
      <c r="F21" s="27">
        <v>2.87</v>
      </c>
      <c r="G21" s="27">
        <v>3.84</v>
      </c>
      <c r="H21" s="27">
        <v>3.02</v>
      </c>
      <c r="I21" s="35">
        <v>2.0499999999999998</v>
      </c>
      <c r="J21" s="36">
        <v>1.94</v>
      </c>
      <c r="K21" s="35">
        <v>1.84</v>
      </c>
      <c r="L21" s="35">
        <v>1.64</v>
      </c>
      <c r="N21" s="54">
        <f t="shared" si="0"/>
        <v>-15.463917525773198</v>
      </c>
      <c r="Q21" s="21" t="s">
        <v>54</v>
      </c>
    </row>
    <row r="22" spans="2:17" ht="22.5" customHeight="1" x14ac:dyDescent="0.25">
      <c r="B22" s="14">
        <v>18</v>
      </c>
      <c r="C22" s="13" t="s">
        <v>27</v>
      </c>
      <c r="D22" s="34">
        <v>1.1499999999999999</v>
      </c>
      <c r="E22" s="27">
        <v>1.3</v>
      </c>
      <c r="F22" s="27">
        <v>1.22</v>
      </c>
      <c r="G22" s="27">
        <v>1.04</v>
      </c>
      <c r="H22" s="27">
        <v>1.06</v>
      </c>
      <c r="I22" s="35">
        <v>0.95</v>
      </c>
      <c r="J22" s="36">
        <v>0.84</v>
      </c>
      <c r="K22" s="35">
        <v>0.78</v>
      </c>
      <c r="L22" s="35">
        <v>0.65</v>
      </c>
      <c r="N22" s="54">
        <f t="shared" si="0"/>
        <v>-22.61904761904761</v>
      </c>
      <c r="Q22" s="21" t="s">
        <v>55</v>
      </c>
    </row>
    <row r="23" spans="2:17" ht="22.5" customHeight="1" x14ac:dyDescent="0.25">
      <c r="B23" s="14">
        <v>19</v>
      </c>
      <c r="C23" s="13" t="s">
        <v>28</v>
      </c>
      <c r="D23" s="34">
        <v>2</v>
      </c>
      <c r="E23" s="27">
        <v>1.22</v>
      </c>
      <c r="F23" s="27">
        <v>1.24</v>
      </c>
      <c r="G23" s="27">
        <v>1.85</v>
      </c>
      <c r="H23" s="27">
        <v>1.85</v>
      </c>
      <c r="I23" s="35">
        <v>1.92</v>
      </c>
      <c r="J23" s="36">
        <v>1.38</v>
      </c>
      <c r="K23" s="35">
        <v>1.32</v>
      </c>
      <c r="L23" s="35">
        <v>1.3</v>
      </c>
      <c r="N23" s="54">
        <f t="shared" si="0"/>
        <v>-5.7971014492753516</v>
      </c>
      <c r="Q23" s="21" t="s">
        <v>56</v>
      </c>
    </row>
    <row r="24" spans="2:17" ht="22.5" customHeight="1" x14ac:dyDescent="0.25">
      <c r="B24" s="14">
        <v>20</v>
      </c>
      <c r="C24" s="13" t="s">
        <v>29</v>
      </c>
      <c r="D24" s="34">
        <v>1.1399999999999999</v>
      </c>
      <c r="E24" s="27">
        <v>1.1000000000000001</v>
      </c>
      <c r="F24" s="27">
        <v>1.1000000000000001</v>
      </c>
      <c r="G24" s="27">
        <v>1.08</v>
      </c>
      <c r="H24" s="27">
        <v>1.1100000000000001</v>
      </c>
      <c r="I24" s="35">
        <v>1.1299999999999999</v>
      </c>
      <c r="J24" s="36">
        <v>1.2</v>
      </c>
      <c r="K24" s="35">
        <v>1.29</v>
      </c>
      <c r="L24" s="35">
        <v>1.24</v>
      </c>
      <c r="N24" s="54">
        <f t="shared" si="0"/>
        <v>3.3333333333333366</v>
      </c>
      <c r="Q24" s="21" t="s">
        <v>57</v>
      </c>
    </row>
    <row r="25" spans="2:17" ht="22.5" customHeight="1" x14ac:dyDescent="0.25">
      <c r="B25" s="14">
        <v>21</v>
      </c>
      <c r="C25" s="13" t="s">
        <v>30</v>
      </c>
      <c r="D25" s="34">
        <v>1.1299999999999999</v>
      </c>
      <c r="E25" s="27">
        <v>1.1399999999999999</v>
      </c>
      <c r="F25" s="27">
        <v>0.94</v>
      </c>
      <c r="G25" s="27">
        <v>0.78</v>
      </c>
      <c r="H25" s="27">
        <v>0.9</v>
      </c>
      <c r="I25" s="35">
        <v>0.81</v>
      </c>
      <c r="J25" s="36">
        <v>0.57999999999999996</v>
      </c>
      <c r="K25" s="35">
        <v>0.8</v>
      </c>
      <c r="L25" s="35">
        <v>0.69</v>
      </c>
      <c r="N25" s="54">
        <f t="shared" si="0"/>
        <v>18.96551724137931</v>
      </c>
      <c r="Q25" s="21" t="s">
        <v>58</v>
      </c>
    </row>
    <row r="26" spans="2:17" ht="22.5" customHeight="1" x14ac:dyDescent="0.25">
      <c r="B26" s="14">
        <v>22</v>
      </c>
      <c r="C26" s="13" t="s">
        <v>31</v>
      </c>
      <c r="D26" s="34">
        <v>1.89</v>
      </c>
      <c r="E26" s="27">
        <v>1.75</v>
      </c>
      <c r="F26" s="27">
        <v>1.98</v>
      </c>
      <c r="G26" s="27">
        <v>2.7</v>
      </c>
      <c r="H26" s="27">
        <v>1.25</v>
      </c>
      <c r="I26" s="35">
        <v>2.95</v>
      </c>
      <c r="J26" s="36">
        <v>1.32</v>
      </c>
      <c r="K26" s="35">
        <v>1.4</v>
      </c>
      <c r="L26" s="35">
        <v>0.93</v>
      </c>
      <c r="N26" s="54">
        <f t="shared" si="0"/>
        <v>-29.545454545454543</v>
      </c>
      <c r="Q26" s="19" t="s">
        <v>59</v>
      </c>
    </row>
    <row r="27" spans="2:17" ht="22.5" customHeight="1" x14ac:dyDescent="0.25">
      <c r="B27" s="14">
        <v>23</v>
      </c>
      <c r="C27" s="13" t="s">
        <v>32</v>
      </c>
      <c r="D27" s="34">
        <v>1.39</v>
      </c>
      <c r="E27" s="27">
        <v>1.61</v>
      </c>
      <c r="F27" s="27">
        <v>1.39</v>
      </c>
      <c r="G27" s="27">
        <v>1.43</v>
      </c>
      <c r="H27" s="27">
        <v>1.45</v>
      </c>
      <c r="I27" s="35">
        <v>1.73</v>
      </c>
      <c r="J27" s="36">
        <v>1.23</v>
      </c>
      <c r="K27" s="35">
        <v>1.63</v>
      </c>
      <c r="L27" s="35">
        <v>1.6</v>
      </c>
      <c r="N27" s="54">
        <f t="shared" si="0"/>
        <v>30.081300813008141</v>
      </c>
      <c r="Q27" s="21" t="s">
        <v>60</v>
      </c>
    </row>
    <row r="28" spans="2:17" ht="22.5" customHeight="1" x14ac:dyDescent="0.25">
      <c r="B28" s="14">
        <v>24</v>
      </c>
      <c r="C28" s="13" t="s">
        <v>33</v>
      </c>
      <c r="D28" s="34">
        <v>1.88</v>
      </c>
      <c r="E28" s="27">
        <v>1.69</v>
      </c>
      <c r="F28" s="27">
        <v>1.58</v>
      </c>
      <c r="G28" s="27">
        <v>1.67</v>
      </c>
      <c r="H28" s="27">
        <v>1.56</v>
      </c>
      <c r="I28" s="35">
        <v>1.6</v>
      </c>
      <c r="J28" s="36">
        <v>1.31</v>
      </c>
      <c r="K28" s="35">
        <v>1.83</v>
      </c>
      <c r="L28" s="35">
        <v>2.83</v>
      </c>
      <c r="N28" s="54">
        <f t="shared" si="0"/>
        <v>116.03053435114504</v>
      </c>
      <c r="Q28" s="21" t="s">
        <v>61</v>
      </c>
    </row>
    <row r="29" spans="2:17" ht="22.5" customHeight="1" x14ac:dyDescent="0.25">
      <c r="B29" s="14">
        <v>25</v>
      </c>
      <c r="C29" s="13" t="s">
        <v>34</v>
      </c>
      <c r="D29" s="37">
        <v>1.02</v>
      </c>
      <c r="E29" s="38">
        <v>1.48</v>
      </c>
      <c r="F29" s="38">
        <v>1.37</v>
      </c>
      <c r="G29" s="38">
        <v>1.2</v>
      </c>
      <c r="H29" s="38">
        <v>1.18</v>
      </c>
      <c r="I29" s="39">
        <v>1.27</v>
      </c>
      <c r="J29" s="39">
        <v>0.98</v>
      </c>
      <c r="K29" s="40">
        <v>1.07</v>
      </c>
      <c r="L29" s="40">
        <v>0.88</v>
      </c>
      <c r="N29" s="54">
        <f t="shared" si="0"/>
        <v>-10.204081632653059</v>
      </c>
      <c r="Q29" s="21" t="s">
        <v>62</v>
      </c>
    </row>
    <row r="30" spans="2:17" ht="16.5" thickBot="1" x14ac:dyDescent="0.3">
      <c r="B30" s="15">
        <v>26</v>
      </c>
      <c r="C30" s="16" t="s">
        <v>35</v>
      </c>
      <c r="D30" s="17"/>
      <c r="E30" s="7"/>
      <c r="F30" s="6"/>
      <c r="G30" s="7"/>
      <c r="H30" s="6"/>
      <c r="I30" s="8"/>
      <c r="J30" s="29"/>
      <c r="K30" s="41"/>
      <c r="L30" s="41"/>
      <c r="N30" s="54" t="e">
        <f t="shared" si="0"/>
        <v>#DIV/0!</v>
      </c>
      <c r="Q30" s="21" t="s">
        <v>63</v>
      </c>
    </row>
    <row r="31" spans="2:17" ht="15.75" x14ac:dyDescent="0.25">
      <c r="B31" s="22"/>
      <c r="C31" s="23"/>
      <c r="D31" s="24"/>
      <c r="E31" s="25"/>
      <c r="F31" s="24"/>
      <c r="G31" s="25"/>
      <c r="H31" s="24"/>
      <c r="I31" s="24"/>
      <c r="J31" s="24"/>
      <c r="K31" s="24"/>
      <c r="L31" s="42"/>
      <c r="N31" s="54"/>
      <c r="Q31" s="21"/>
    </row>
    <row r="32" spans="2:17" ht="21" customHeight="1" x14ac:dyDescent="0.25">
      <c r="B32" s="26" t="s">
        <v>65</v>
      </c>
    </row>
    <row r="37" spans="3:13" ht="15" customHeight="1" x14ac:dyDescent="0.25">
      <c r="C37" s="3"/>
      <c r="D37" s="3"/>
      <c r="E37" s="3"/>
      <c r="F37" s="3"/>
      <c r="G37" s="3"/>
      <c r="H37" s="3"/>
      <c r="I37" s="3"/>
      <c r="J37" s="3"/>
      <c r="K37" s="3"/>
      <c r="L37" s="44"/>
      <c r="M37" s="4"/>
    </row>
    <row r="38" spans="3:13" x14ac:dyDescent="0.25">
      <c r="C38" s="2"/>
      <c r="D38" s="2"/>
      <c r="E38" s="2"/>
      <c r="F38" s="2"/>
      <c r="G38" s="2"/>
      <c r="H38" s="2"/>
      <c r="I38" s="2"/>
      <c r="J38" s="2"/>
      <c r="K38" s="2"/>
      <c r="L38" s="45"/>
    </row>
  </sheetData>
  <mergeCells count="4">
    <mergeCell ref="B2:L2"/>
    <mergeCell ref="B3:B4"/>
    <mergeCell ref="C3:C4"/>
    <mergeCell ref="D3:L3"/>
  </mergeCells>
  <pageMargins left="0.39370078740157483" right="0.39370078740157483" top="0" bottom="0" header="0.31496062992125984" footer="0.31496062992125984"/>
  <pageSetup paperSize="9" scale="34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2.14.Tablo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2024-10-31T13:19:54Z</dcterms:modified>
</cp:coreProperties>
</file>