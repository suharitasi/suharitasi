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11BEB48-286B-43A5-80DA-A21D1970B0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11.Tab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5" i="1"/>
</calcChain>
</file>

<file path=xl/sharedStrings.xml><?xml version="1.0" encoding="utf-8"?>
<sst xmlns="http://schemas.openxmlformats.org/spreadsheetml/2006/main" count="67" uniqueCount="67">
  <si>
    <t>01</t>
  </si>
  <si>
    <t>02</t>
  </si>
  <si>
    <t>03</t>
  </si>
  <si>
    <t>04</t>
  </si>
  <si>
    <t>05</t>
  </si>
  <si>
    <t>06</t>
  </si>
  <si>
    <t>07</t>
  </si>
  <si>
    <t>08</t>
  </si>
  <si>
    <t>09</t>
  </si>
  <si>
    <t>Sulama Randıman Değişimi</t>
  </si>
  <si>
    <t>Bölge No</t>
  </si>
  <si>
    <t>BölgeAdı</t>
  </si>
  <si>
    <t>DSİ 01. (Bursa) Bölge Müdürlüğü</t>
  </si>
  <si>
    <t>DSİ 02. (İzmir) Bölge Müdürlüğü</t>
  </si>
  <si>
    <t>DSİ 03. (Eskişehir) Bölge Müdürlüğü</t>
  </si>
  <si>
    <t>DSİ 04. (Konya) Bölge Müdürlüğü</t>
  </si>
  <si>
    <t>DSİ 05. (Ankara) Bölge Müdürlüğü</t>
  </si>
  <si>
    <t>DSİ 06. (Adana) Bölge Müdürlüğü</t>
  </si>
  <si>
    <t>DSİ 07. (Samsun) Bölge Müdürlüğü</t>
  </si>
  <si>
    <t>DSİ 08. (Erzurum) Bölge Müdürlüğü</t>
  </si>
  <si>
    <t>DSİ 09. (Elazığ) Bölge Müdürlüğü</t>
  </si>
  <si>
    <t>DSİ 10. (Diyarbakır) Bölge Müdürlüğü</t>
  </si>
  <si>
    <t>DSİ 11. (Edirne) Bölge Müdürlüğü</t>
  </si>
  <si>
    <t>DSİ 12. (Kayseri) Bölge Müdürlüğü</t>
  </si>
  <si>
    <t>DSİ 13. (Antalya) Bölge Müdürlüğü</t>
  </si>
  <si>
    <t>DSİ 14. (İstanbul) Bölge Müdürlüğü</t>
  </si>
  <si>
    <t>DSİ 15. (Şanlıurfa) Bölge Müdürlüğü</t>
  </si>
  <si>
    <t>DSİ 16. (Mardin) Ilısu Bölge Müdürlüğü</t>
  </si>
  <si>
    <t>DSİ 17. (Van) Bölge Müdürlüğü</t>
  </si>
  <si>
    <t>DSİ 18. (Isparta) Bölge Müdürlüğü</t>
  </si>
  <si>
    <t>DSİ 19. (Sivas) Bölge Müdürlüğü</t>
  </si>
  <si>
    <t>DSİ 20. (Kahramanmaraş) Bölge Müdürlüğü</t>
  </si>
  <si>
    <t>DSİ 21. (Aydın) Bölge Müdürlüğü</t>
  </si>
  <si>
    <t>DSİ 22. (Trabzon) Bölge Müdürlüğü</t>
  </si>
  <si>
    <t>DSİ 23. (Kastamonu) Bölge Müdürlüğü</t>
  </si>
  <si>
    <t>DSİ 24. (Kars) Bölge Müdürlüğü</t>
  </si>
  <si>
    <t>DSİ 25. (Balıkesir) Bölge Müdürlüğü</t>
  </si>
  <si>
    <t>DSİ 26. (Artvin) Çoruh Bölge Müdürlüğü</t>
  </si>
  <si>
    <t xml:space="preserve">DSİ 01. (Bursa) Bölge </t>
  </si>
  <si>
    <t xml:space="preserve">DSİ 02. (İzmir) Bölge </t>
  </si>
  <si>
    <t xml:space="preserve">DSİ 03. (Eskişehir) Bölge </t>
  </si>
  <si>
    <t xml:space="preserve">DSİ 04. (Konya) Bölge </t>
  </si>
  <si>
    <t xml:space="preserve">DSİ 05. (Ankara) Bölge </t>
  </si>
  <si>
    <t xml:space="preserve">DSİ 06. (Adana) Bölge </t>
  </si>
  <si>
    <t xml:space="preserve">DSİ 07. (Samsun) Bölge </t>
  </si>
  <si>
    <t xml:space="preserve">DSİ 08. (Erzurum) Bölge </t>
  </si>
  <si>
    <t xml:space="preserve">DSİ 09. (Elazığ) Bölge </t>
  </si>
  <si>
    <t xml:space="preserve">DSİ 10. (Diyarbakır) Bölge </t>
  </si>
  <si>
    <t xml:space="preserve">DSİ 11. (Edirne) Bölge </t>
  </si>
  <si>
    <t xml:space="preserve">DSİ 12. (Kayseri) Bölge </t>
  </si>
  <si>
    <t xml:space="preserve">DSİ 13. (Antalya) Bölge </t>
  </si>
  <si>
    <t xml:space="preserve">DSİ 14. (İstanbul) Bölge </t>
  </si>
  <si>
    <t xml:space="preserve">DSİ 15. (Şanlıurfa) Bölge </t>
  </si>
  <si>
    <t xml:space="preserve">DSİ 16. (Mardin) Ilısu Bölge </t>
  </si>
  <si>
    <t xml:space="preserve">DSİ 17. (Van) Bölge </t>
  </si>
  <si>
    <t xml:space="preserve">DSİ 18. (Isparta) Bölge </t>
  </si>
  <si>
    <t xml:space="preserve">DSİ 19. (Sivas) Bölge </t>
  </si>
  <si>
    <t xml:space="preserve">DSİ 20. (Kahramanmaraş) Bölge </t>
  </si>
  <si>
    <t xml:space="preserve">DSİ 21. (Aydın) Bölge </t>
  </si>
  <si>
    <t xml:space="preserve">DSİ 22. (Trabzon) Bölge </t>
  </si>
  <si>
    <t xml:space="preserve">DSİ 23. (Kastamonu) Bölge </t>
  </si>
  <si>
    <t xml:space="preserve">DSİ 24. (Kars) Bölge </t>
  </si>
  <si>
    <t xml:space="preserve">DSİ 25. (Balıkesir) Bölge </t>
  </si>
  <si>
    <t xml:space="preserve">DSİ 26. (Artvin) Çoruh Bölge </t>
  </si>
  <si>
    <r>
      <rPr>
        <b/>
        <sz val="11"/>
        <color theme="1"/>
        <rFont val="Calibri"/>
        <family val="2"/>
        <charset val="162"/>
        <scheme val="minor"/>
      </rPr>
      <t>NOT</t>
    </r>
    <r>
      <rPr>
        <sz val="11"/>
        <color theme="1"/>
        <rFont val="Calibri"/>
        <family val="2"/>
        <scheme val="minor"/>
      </rPr>
      <t>: Bölge Müdürlüklerinin kapsadığı iller Metaveriler kısmında verilmiştir.</t>
    </r>
  </si>
  <si>
    <t xml:space="preserve">                    Sulama Randımanı (%)                                                                                                                         </t>
  </si>
  <si>
    <t>2.11.DSİ'ce İşletilen ve Devredilen Sulama Tesislerinin Sulama Randımanı, 2015-2023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</si>
</sst>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0"/>
      <name val="Arial"/>
      <family val="2"/>
      <charset val="162"/>
    </font>
    <font>
      <sz val="12"/>
      <color theme="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Alignment="0"/>
  </cellStyleXfs>
  <cellXfs count="6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2" fillId="2" borderId="0" xfId="0" applyNumberFormat="1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165" fontId="3" fillId="2" borderId="7" xfId="0" applyNumberFormat="1" applyFont="1" applyFill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center" vertical="center" wrapText="1"/>
    </xf>
    <xf numFmtId="165" fontId="4" fillId="2" borderId="7" xfId="0" applyNumberFormat="1" applyFont="1" applyFill="1" applyBorder="1" applyAlignment="1">
      <alignment horizontal="center"/>
    </xf>
    <xf numFmtId="3" fontId="4" fillId="2" borderId="7" xfId="0" applyNumberFormat="1" applyFont="1" applyFill="1" applyBorder="1" applyAlignment="1">
      <alignment horizontal="center"/>
    </xf>
    <xf numFmtId="0" fontId="5" fillId="3" borderId="9" xfId="0" quotePrefix="1" applyFont="1" applyFill="1" applyBorder="1" applyAlignment="1">
      <alignment horizontal="center" vertical="center"/>
    </xf>
    <xf numFmtId="0" fontId="5" fillId="3" borderId="10" xfId="0" quotePrefix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0" fillId="0" borderId="0" xfId="0" applyFont="1"/>
    <xf numFmtId="0" fontId="5" fillId="2" borderId="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165" fontId="3" fillId="2" borderId="16" xfId="0" applyNumberFormat="1" applyFont="1" applyFill="1" applyBorder="1" applyAlignment="1">
      <alignment horizontal="center" vertical="center" wrapText="1"/>
    </xf>
    <xf numFmtId="165" fontId="4" fillId="2" borderId="16" xfId="0" applyNumberFormat="1" applyFont="1" applyFill="1" applyBorder="1" applyAlignment="1">
      <alignment horizontal="center"/>
    </xf>
    <xf numFmtId="165" fontId="6" fillId="2" borderId="17" xfId="0" applyNumberFormat="1" applyFont="1" applyFill="1" applyBorder="1" applyAlignment="1">
      <alignment horizontal="center"/>
    </xf>
    <xf numFmtId="3" fontId="3" fillId="2" borderId="0" xfId="0" applyNumberFormat="1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Border="1" applyAlignment="1">
      <alignment wrapText="1"/>
    </xf>
    <xf numFmtId="0" fontId="11" fillId="0" borderId="0" xfId="0" applyFont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6" fillId="2" borderId="20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3" fontId="3" fillId="2" borderId="19" xfId="0" applyNumberFormat="1" applyFont="1" applyFill="1" applyBorder="1" applyAlignment="1">
      <alignment horizontal="center" vertical="center" wrapText="1"/>
    </xf>
    <xf numFmtId="3" fontId="3" fillId="2" borderId="19" xfId="0" applyNumberFormat="1" applyFont="1" applyFill="1" applyBorder="1" applyAlignment="1">
      <alignment horizontal="center"/>
    </xf>
    <xf numFmtId="0" fontId="12" fillId="2" borderId="0" xfId="0" applyFont="1" applyFill="1"/>
    <xf numFmtId="0" fontId="12" fillId="0" borderId="0" xfId="0" applyFont="1"/>
    <xf numFmtId="1" fontId="12" fillId="0" borderId="0" xfId="0" applyNumberFormat="1" applyFont="1"/>
    <xf numFmtId="164" fontId="2" fillId="2" borderId="2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2.11.DSİ'ce İşletilen ve Devredilen Sulama Tesislerinin Sulama Randımanı Değişimi, (%), 2022-2023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407272135940804E-2"/>
          <c:y val="0.13546750885252176"/>
          <c:w val="0.90255936544700233"/>
          <c:h val="0.844482725619676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'2.11.Tablo'!$N$4</c:f>
              <c:strCache>
                <c:ptCount val="1"/>
                <c:pt idx="0">
                  <c:v>Sulama Randıman Değişimi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9.38498483718121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8F-4751-9BDD-20CC96987333}"/>
                </c:ext>
              </c:extLst>
            </c:dLbl>
            <c:dLbl>
              <c:idx val="1"/>
              <c:layout>
                <c:manualLayout>
                  <c:x val="-1.2779591200975251E-17"/>
                  <c:y val="0.150168810375528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88-45A4-9D2E-07A92CFE78F0}"/>
                </c:ext>
              </c:extLst>
            </c:dLbl>
            <c:dLbl>
              <c:idx val="2"/>
              <c:layout>
                <c:manualLayout>
                  <c:x val="0"/>
                  <c:y val="0.171286642862870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8F-4751-9BDD-20CC96987333}"/>
                </c:ext>
              </c:extLst>
            </c:dLbl>
            <c:dLbl>
              <c:idx val="3"/>
              <c:layout>
                <c:manualLayout>
                  <c:x val="4.2538142854913938E-5"/>
                  <c:y val="0.17128701237228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8F-4751-9BDD-20CC96987333}"/>
                </c:ext>
              </c:extLst>
            </c:dLbl>
            <c:dLbl>
              <c:idx val="4"/>
              <c:layout>
                <c:manualLayout>
                  <c:x val="-1.3941533271167269E-3"/>
                  <c:y val="0.110280453949704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BC-488C-951C-D8ECA793D375}"/>
                </c:ext>
              </c:extLst>
            </c:dLbl>
            <c:dLbl>
              <c:idx val="5"/>
              <c:layout>
                <c:manualLayout>
                  <c:x val="-6.9707666355841452E-4"/>
                  <c:y val="7.2738297544499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8F-4751-9BDD-20CC96987333}"/>
                </c:ext>
              </c:extLst>
            </c:dLbl>
            <c:dLbl>
              <c:idx val="6"/>
              <c:layout>
                <c:manualLayout>
                  <c:x val="0"/>
                  <c:y val="-2.3462000206186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16-4BF0-B939-6AC8A3B2AB1C}"/>
                </c:ext>
              </c:extLst>
            </c:dLbl>
            <c:dLbl>
              <c:idx val="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5020923260621197E-2"/>
                      <c:h val="3.56768728861752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A8F-4751-9BDD-20CC96987333}"/>
                </c:ext>
              </c:extLst>
            </c:dLbl>
            <c:dLbl>
              <c:idx val="8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71-4CC2-B62C-2060AAAF74C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8F-4751-9BDD-20CC96987333}"/>
                </c:ext>
              </c:extLst>
            </c:dLbl>
            <c:dLbl>
              <c:idx val="10"/>
              <c:layout>
                <c:manualLayout>
                  <c:x val="-6.2119856909379483E-17"/>
                  <c:y val="4.69295430535740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8F-4751-9BDD-20CC96987333}"/>
                </c:ext>
              </c:extLst>
            </c:dLbl>
            <c:dLbl>
              <c:idx val="11"/>
              <c:layout>
                <c:manualLayout>
                  <c:x val="0"/>
                  <c:y val="1.1732108631333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8F-4751-9BDD-20CC96987333}"/>
                </c:ext>
              </c:extLst>
            </c:dLbl>
            <c:dLbl>
              <c:idx val="12"/>
              <c:layout>
                <c:manualLayout>
                  <c:x val="-6.9707666355846559E-4"/>
                  <c:y val="-2.34620002061871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16-4BF0-B939-6AC8A3B2AB1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88-45A4-9D2E-07A92CFE78F0}"/>
                </c:ext>
              </c:extLst>
            </c:dLbl>
            <c:dLbl>
              <c:idx val="14"/>
              <c:layout>
                <c:manualLayout>
                  <c:x val="6.9707666355836345E-4"/>
                  <c:y val="8.4470221421125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71-4CC2-B62C-2060AAAF74C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88-45A4-9D2E-07A92CFE78F0}"/>
                </c:ext>
              </c:extLst>
            </c:dLbl>
            <c:dLbl>
              <c:idx val="19"/>
              <c:layout>
                <c:manualLayout>
                  <c:x val="0"/>
                  <c:y val="-2.34601526591190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71-4CC2-B62C-2060AAAF74CF}"/>
                </c:ext>
              </c:extLst>
            </c:dLbl>
            <c:dLbl>
              <c:idx val="20"/>
              <c:layout>
                <c:manualLayout>
                  <c:x val="-7.3961480641340511E-4"/>
                  <c:y val="-4.69258479594396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16-4BF0-B939-6AC8A3B2AB1C}"/>
                </c:ext>
              </c:extLst>
            </c:dLbl>
            <c:dLbl>
              <c:idx val="21"/>
              <c:layout>
                <c:manualLayout>
                  <c:x val="-2.0447345921560401E-16"/>
                  <c:y val="3.6950941341555375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8F-4751-9BDD-20CC96987333}"/>
                </c:ext>
              </c:extLst>
            </c:dLbl>
            <c:dLbl>
              <c:idx val="22"/>
              <c:layout>
                <c:manualLayout>
                  <c:x val="0"/>
                  <c:y val="-2.34583051120518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8F-4751-9BDD-20CC96987333}"/>
                </c:ext>
              </c:extLst>
            </c:dLbl>
            <c:dLbl>
              <c:idx val="23"/>
              <c:layout>
                <c:manualLayout>
                  <c:x val="-1.0223672960780201E-16"/>
                  <c:y val="0.321455453238398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8F-4751-9BDD-20CC96987333}"/>
                </c:ext>
              </c:extLst>
            </c:dLbl>
            <c:dLbl>
              <c:idx val="24"/>
              <c:layout>
                <c:manualLayout>
                  <c:x val="0"/>
                  <c:y val="-2.3462000206186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16-4BF0-B939-6AC8A3B2AB1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88-45A4-9D2E-07A92CFE78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'2.11.Tablo'!$P$5:$P$30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'2.11.Tablo'!$N$5:$N$30</c:f>
              <c:numCache>
                <c:formatCode>0</c:formatCode>
                <c:ptCount val="26"/>
                <c:pt idx="0">
                  <c:v>8.9552238805970141</c:v>
                </c:pt>
                <c:pt idx="1">
                  <c:v>-13.888888888888889</c:v>
                </c:pt>
                <c:pt idx="2">
                  <c:v>-16.216216216216218</c:v>
                </c:pt>
                <c:pt idx="3">
                  <c:v>-16.666666666666668</c:v>
                </c:pt>
                <c:pt idx="4">
                  <c:v>-9.0909090909090917</c:v>
                </c:pt>
                <c:pt idx="5">
                  <c:v>-4.2553191489361701</c:v>
                </c:pt>
                <c:pt idx="6">
                  <c:v>4.4444444444444446</c:v>
                </c:pt>
                <c:pt idx="7">
                  <c:v>3.225806451612903</c:v>
                </c:pt>
                <c:pt idx="8">
                  <c:v>32.608695652173914</c:v>
                </c:pt>
                <c:pt idx="9">
                  <c:v>0</c:v>
                </c:pt>
                <c:pt idx="10">
                  <c:v>4.166666666666667</c:v>
                </c:pt>
                <c:pt idx="11">
                  <c:v>11.666666666666666</c:v>
                </c:pt>
                <c:pt idx="12">
                  <c:v>4.6511627906976747</c:v>
                </c:pt>
                <c:pt idx="13">
                  <c:v>0</c:v>
                </c:pt>
                <c:pt idx="14">
                  <c:v>-5.2631578947368425</c:v>
                </c:pt>
                <c:pt idx="15">
                  <c:v>0</c:v>
                </c:pt>
                <c:pt idx="16">
                  <c:v>13.793103448275861</c:v>
                </c:pt>
                <c:pt idx="17">
                  <c:v>17.333333333333332</c:v>
                </c:pt>
                <c:pt idx="18">
                  <c:v>3.8461538461538463</c:v>
                </c:pt>
                <c:pt idx="19">
                  <c:v>11.764705882352942</c:v>
                </c:pt>
                <c:pt idx="20">
                  <c:v>15.277777777777779</c:v>
                </c:pt>
                <c:pt idx="21">
                  <c:v>51.92307692307692</c:v>
                </c:pt>
                <c:pt idx="22">
                  <c:v>2.4390243902439024</c:v>
                </c:pt>
                <c:pt idx="23">
                  <c:v>-34.482758620689658</c:v>
                </c:pt>
                <c:pt idx="24">
                  <c:v>19.402985074626866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'2.11.Tablo'!$E$3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'2.11.Tablo'!$P$5:$P$30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'2.11.Tablo'!$E$27:$E$29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33</c:v>
                      </c:pt>
                      <c:pt idx="1">
                        <c:v>32</c:v>
                      </c:pt>
                      <c:pt idx="2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'2.11.Tablo'!$P$5:$P$30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'2.11.Tablo'!$G$27:$G$29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40</c:v>
                      </c:pt>
                      <c:pt idx="1">
                        <c:v>32</c:v>
                      </c:pt>
                      <c:pt idx="2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 anchor="ctr" anchorCtr="1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2.11.DSİ'ce İşletilen ve Devredilen Sulama Tesislerinin Sulama Randımanı, (%), 2023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5029067560357161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'2.11.Tablo'!$N$4</c:f>
              <c:strCache>
                <c:ptCount val="1"/>
                <c:pt idx="0">
                  <c:v>Sulama Randıman Değişimi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'2.11.Tablo'!$P$5:$P$30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'2.11.Tablo'!$L$5:$L$30</c:f>
              <c:numCache>
                <c:formatCode>General</c:formatCode>
                <c:ptCount val="26"/>
                <c:pt idx="0">
                  <c:v>73</c:v>
                </c:pt>
                <c:pt idx="1">
                  <c:v>93</c:v>
                </c:pt>
                <c:pt idx="2">
                  <c:v>62</c:v>
                </c:pt>
                <c:pt idx="3">
                  <c:v>55</c:v>
                </c:pt>
                <c:pt idx="4">
                  <c:v>40</c:v>
                </c:pt>
                <c:pt idx="5">
                  <c:v>45</c:v>
                </c:pt>
                <c:pt idx="6">
                  <c:v>47</c:v>
                </c:pt>
                <c:pt idx="7">
                  <c:v>32</c:v>
                </c:pt>
                <c:pt idx="8">
                  <c:v>61</c:v>
                </c:pt>
                <c:pt idx="9">
                  <c:v>42</c:v>
                </c:pt>
                <c:pt idx="10">
                  <c:v>50</c:v>
                </c:pt>
                <c:pt idx="11">
                  <c:v>67</c:v>
                </c:pt>
                <c:pt idx="12">
                  <c:v>45</c:v>
                </c:pt>
                <c:pt idx="14">
                  <c:v>36</c:v>
                </c:pt>
                <c:pt idx="16">
                  <c:v>33</c:v>
                </c:pt>
                <c:pt idx="17">
                  <c:v>88</c:v>
                </c:pt>
                <c:pt idx="18">
                  <c:v>54</c:v>
                </c:pt>
                <c:pt idx="19">
                  <c:v>57</c:v>
                </c:pt>
                <c:pt idx="20">
                  <c:v>83</c:v>
                </c:pt>
                <c:pt idx="21">
                  <c:v>79</c:v>
                </c:pt>
                <c:pt idx="22">
                  <c:v>42</c:v>
                </c:pt>
                <c:pt idx="23" formatCode="#,##0">
                  <c:v>19</c:v>
                </c:pt>
                <c:pt idx="24" formatCode="#,##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'2.11.Tablo'!$E$3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'2.11.Tablo'!$P$5:$P$30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'2.11.Tablo'!$E$27:$E$29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33</c:v>
                      </c:pt>
                      <c:pt idx="1">
                        <c:v>32</c:v>
                      </c:pt>
                      <c:pt idx="2">
                        <c:v>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391-466C-87C2-DDD06FFEC3B8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'2.11.Tablo'!$P$5:$P$30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'2.11.Tablo'!$G$27:$G$29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 formatCode="General">
                        <c:v>40</c:v>
                      </c:pt>
                      <c:pt idx="1">
                        <c:v>32</c:v>
                      </c:pt>
                      <c:pt idx="2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91-466C-87C2-DDD06FFEC3B8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609600</xdr:colOff>
      <xdr:row>1</xdr:row>
      <xdr:rowOff>9525</xdr:rowOff>
    </xdr:from>
    <xdr:to>
      <xdr:col>11</xdr:col>
      <xdr:colOff>990600</xdr:colOff>
      <xdr:row>1</xdr:row>
      <xdr:rowOff>295576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6775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57151</xdr:colOff>
      <xdr:row>62</xdr:row>
      <xdr:rowOff>147638</xdr:rowOff>
    </xdr:from>
    <xdr:to>
      <xdr:col>20</xdr:col>
      <xdr:colOff>369094</xdr:colOff>
      <xdr:row>91</xdr:row>
      <xdr:rowOff>35720</xdr:rowOff>
    </xdr:to>
    <xdr:graphicFrame macro="">
      <xdr:nvGraphicFramePr>
        <xdr:cNvPr id="15" name="Grafik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20</xdr:col>
      <xdr:colOff>383379</xdr:colOff>
      <xdr:row>62</xdr:row>
      <xdr:rowOff>23813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91ED7BBA-FE6D-4EFD-9CF6-04DFA2D5491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C837B068-218E-49A7-BA91-F3785B551AE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38"/>
  <sheetViews>
    <sheetView tabSelected="1" zoomScale="80" zoomScaleNormal="80" workbookViewId="0">
      <selection activeCell="P13" sqref="P13"/>
    </sheetView>
  </sheetViews>
  <sheetFormatPr defaultRowHeight="15" x14ac:dyDescent="0.25"/>
  <cols>
    <col min="1" max="1" width="2.5703125" customWidth="1"/>
    <col min="3" max="3" width="43.85546875" bestFit="1" customWidth="1"/>
    <col min="4" max="11" width="15.7109375" customWidth="1"/>
    <col min="12" max="12" width="15.7109375" style="41" customWidth="1"/>
    <col min="14" max="14" width="10.28515625" style="54" customWidth="1"/>
    <col min="15" max="15" width="9.140625" style="27"/>
  </cols>
  <sheetData>
    <row r="1" spans="2:16" s="1" customFormat="1" ht="15" customHeight="1" thickBot="1" x14ac:dyDescent="0.3">
      <c r="C1" s="5"/>
      <c r="D1" s="5"/>
      <c r="E1" s="5"/>
      <c r="F1" s="5"/>
      <c r="G1" s="5"/>
      <c r="H1" s="5"/>
      <c r="I1" s="5"/>
      <c r="J1" s="5"/>
      <c r="K1" s="5"/>
      <c r="L1" s="5"/>
      <c r="N1" s="53"/>
      <c r="O1" s="26"/>
    </row>
    <row r="2" spans="2:16" s="1" customFormat="1" ht="24.75" customHeight="1" thickBot="1" x14ac:dyDescent="0.3">
      <c r="B2" s="56" t="s">
        <v>66</v>
      </c>
      <c r="C2" s="57"/>
      <c r="D2" s="57"/>
      <c r="E2" s="57"/>
      <c r="F2" s="57"/>
      <c r="G2" s="57"/>
      <c r="H2" s="57"/>
      <c r="I2" s="57"/>
      <c r="J2" s="57"/>
      <c r="K2" s="57"/>
      <c r="L2" s="58"/>
      <c r="N2" s="53"/>
      <c r="O2" s="26"/>
    </row>
    <row r="3" spans="2:16" ht="48.75" customHeight="1" thickBot="1" x14ac:dyDescent="0.3">
      <c r="B3" s="59" t="s">
        <v>10</v>
      </c>
      <c r="C3" s="59" t="s">
        <v>11</v>
      </c>
      <c r="D3" s="61" t="s">
        <v>65</v>
      </c>
      <c r="E3" s="62"/>
      <c r="F3" s="62"/>
      <c r="G3" s="62"/>
      <c r="H3" s="62"/>
      <c r="I3" s="62"/>
      <c r="J3" s="62"/>
      <c r="K3" s="62"/>
      <c r="L3" s="63"/>
    </row>
    <row r="4" spans="2:16" ht="22.5" customHeight="1" thickBot="1" x14ac:dyDescent="0.3">
      <c r="B4" s="60"/>
      <c r="C4" s="60"/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25">
        <v>2020</v>
      </c>
      <c r="J4" s="28">
        <v>2021</v>
      </c>
      <c r="K4" s="44">
        <v>2022</v>
      </c>
      <c r="L4" s="48">
        <v>2023</v>
      </c>
      <c r="N4" s="54" t="s">
        <v>9</v>
      </c>
    </row>
    <row r="5" spans="2:16" ht="22.5" customHeight="1" x14ac:dyDescent="0.25">
      <c r="B5" s="13" t="s">
        <v>0</v>
      </c>
      <c r="C5" s="29" t="s">
        <v>12</v>
      </c>
      <c r="D5" s="34">
        <v>66</v>
      </c>
      <c r="E5" s="17">
        <v>57</v>
      </c>
      <c r="F5" s="17">
        <v>63</v>
      </c>
      <c r="G5" s="17">
        <v>74</v>
      </c>
      <c r="H5" s="17">
        <v>68</v>
      </c>
      <c r="I5" s="17">
        <v>66</v>
      </c>
      <c r="J5" s="35">
        <v>72</v>
      </c>
      <c r="K5" s="17">
        <v>67</v>
      </c>
      <c r="L5" s="49">
        <v>73</v>
      </c>
      <c r="N5" s="55">
        <f>+(L5-K5)*100/K5</f>
        <v>8.9552238805970141</v>
      </c>
      <c r="P5" s="19" t="s">
        <v>38</v>
      </c>
    </row>
    <row r="6" spans="2:16" ht="22.5" customHeight="1" x14ac:dyDescent="0.25">
      <c r="B6" s="14" t="s">
        <v>1</v>
      </c>
      <c r="C6" s="30" t="s">
        <v>13</v>
      </c>
      <c r="D6" s="36">
        <v>55</v>
      </c>
      <c r="E6" s="18">
        <v>57</v>
      </c>
      <c r="F6" s="18">
        <v>67</v>
      </c>
      <c r="G6" s="18">
        <v>63</v>
      </c>
      <c r="H6" s="18">
        <v>63</v>
      </c>
      <c r="I6" s="18">
        <v>91</v>
      </c>
      <c r="J6" s="32">
        <v>110</v>
      </c>
      <c r="K6" s="18">
        <v>108</v>
      </c>
      <c r="L6" s="50">
        <v>93</v>
      </c>
      <c r="N6" s="55">
        <f t="shared" ref="N6:N30" si="0">+(L6-K6)*100/K6</f>
        <v>-13.888888888888889</v>
      </c>
      <c r="P6" s="19" t="s">
        <v>39</v>
      </c>
    </row>
    <row r="7" spans="2:16" ht="22.5" customHeight="1" x14ac:dyDescent="0.25">
      <c r="B7" s="14" t="s">
        <v>2</v>
      </c>
      <c r="C7" s="30" t="s">
        <v>14</v>
      </c>
      <c r="D7" s="36">
        <v>44</v>
      </c>
      <c r="E7" s="18">
        <v>38</v>
      </c>
      <c r="F7" s="18">
        <v>42</v>
      </c>
      <c r="G7" s="18">
        <v>45</v>
      </c>
      <c r="H7" s="18">
        <v>57</v>
      </c>
      <c r="I7" s="18">
        <v>50</v>
      </c>
      <c r="J7" s="32">
        <v>60</v>
      </c>
      <c r="K7" s="18">
        <v>74</v>
      </c>
      <c r="L7" s="50">
        <v>62</v>
      </c>
      <c r="N7" s="55">
        <f t="shared" si="0"/>
        <v>-16.216216216216218</v>
      </c>
      <c r="P7" s="19" t="s">
        <v>40</v>
      </c>
    </row>
    <row r="8" spans="2:16" ht="22.5" customHeight="1" x14ac:dyDescent="0.25">
      <c r="B8" s="14" t="s">
        <v>3</v>
      </c>
      <c r="C8" s="30" t="s">
        <v>15</v>
      </c>
      <c r="D8" s="36">
        <v>53</v>
      </c>
      <c r="E8" s="18">
        <v>58</v>
      </c>
      <c r="F8" s="18">
        <v>62</v>
      </c>
      <c r="G8" s="18">
        <v>62</v>
      </c>
      <c r="H8" s="18">
        <v>58</v>
      </c>
      <c r="I8" s="18">
        <v>57</v>
      </c>
      <c r="J8" s="32">
        <v>99</v>
      </c>
      <c r="K8" s="18">
        <v>66</v>
      </c>
      <c r="L8" s="50">
        <v>55</v>
      </c>
      <c r="N8" s="55">
        <f t="shared" si="0"/>
        <v>-16.666666666666668</v>
      </c>
      <c r="P8" s="19" t="s">
        <v>41</v>
      </c>
    </row>
    <row r="9" spans="2:16" ht="22.5" customHeight="1" x14ac:dyDescent="0.25">
      <c r="B9" s="14" t="s">
        <v>4</v>
      </c>
      <c r="C9" s="30" t="s">
        <v>16</v>
      </c>
      <c r="D9" s="36">
        <v>32</v>
      </c>
      <c r="E9" s="18">
        <v>25</v>
      </c>
      <c r="F9" s="18">
        <v>25</v>
      </c>
      <c r="G9" s="18">
        <v>24</v>
      </c>
      <c r="H9" s="18">
        <v>35</v>
      </c>
      <c r="I9" s="18">
        <v>39</v>
      </c>
      <c r="J9" s="32">
        <v>46</v>
      </c>
      <c r="K9" s="18">
        <v>44</v>
      </c>
      <c r="L9" s="50">
        <v>40</v>
      </c>
      <c r="N9" s="55">
        <f t="shared" si="0"/>
        <v>-9.0909090909090917</v>
      </c>
      <c r="P9" s="19" t="s">
        <v>42</v>
      </c>
    </row>
    <row r="10" spans="2:16" ht="22.5" customHeight="1" x14ac:dyDescent="0.25">
      <c r="B10" s="14" t="s">
        <v>5</v>
      </c>
      <c r="C10" s="30" t="s">
        <v>17</v>
      </c>
      <c r="D10" s="36">
        <v>43</v>
      </c>
      <c r="E10" s="18">
        <v>48</v>
      </c>
      <c r="F10" s="18">
        <v>53</v>
      </c>
      <c r="G10" s="18">
        <v>42</v>
      </c>
      <c r="H10" s="18">
        <v>44</v>
      </c>
      <c r="I10" s="18">
        <v>37</v>
      </c>
      <c r="J10" s="32">
        <v>45</v>
      </c>
      <c r="K10" s="18">
        <v>47</v>
      </c>
      <c r="L10" s="50">
        <v>45</v>
      </c>
      <c r="N10" s="55">
        <f t="shared" si="0"/>
        <v>-4.2553191489361701</v>
      </c>
      <c r="P10" s="19" t="s">
        <v>43</v>
      </c>
    </row>
    <row r="11" spans="2:16" ht="22.5" customHeight="1" x14ac:dyDescent="0.25">
      <c r="B11" s="14" t="s">
        <v>6</v>
      </c>
      <c r="C11" s="30" t="s">
        <v>18</v>
      </c>
      <c r="D11" s="36">
        <v>61</v>
      </c>
      <c r="E11" s="18">
        <v>48</v>
      </c>
      <c r="F11" s="18">
        <v>43</v>
      </c>
      <c r="G11" s="18">
        <v>44</v>
      </c>
      <c r="H11" s="18">
        <v>43</v>
      </c>
      <c r="I11" s="18">
        <v>43</v>
      </c>
      <c r="J11" s="32">
        <v>51</v>
      </c>
      <c r="K11" s="18">
        <v>45</v>
      </c>
      <c r="L11" s="50">
        <v>47</v>
      </c>
      <c r="N11" s="55">
        <f t="shared" si="0"/>
        <v>4.4444444444444446</v>
      </c>
      <c r="P11" s="19" t="s">
        <v>44</v>
      </c>
    </row>
    <row r="12" spans="2:16" ht="22.5" customHeight="1" x14ac:dyDescent="0.25">
      <c r="B12" s="14" t="s">
        <v>7</v>
      </c>
      <c r="C12" s="30" t="s">
        <v>19</v>
      </c>
      <c r="D12" s="36">
        <v>29</v>
      </c>
      <c r="E12" s="18">
        <v>27</v>
      </c>
      <c r="F12" s="18">
        <v>32</v>
      </c>
      <c r="G12" s="18">
        <v>37</v>
      </c>
      <c r="H12" s="18">
        <v>35</v>
      </c>
      <c r="I12" s="18">
        <v>30</v>
      </c>
      <c r="J12" s="32">
        <v>32</v>
      </c>
      <c r="K12" s="18">
        <v>31</v>
      </c>
      <c r="L12" s="50">
        <v>32</v>
      </c>
      <c r="N12" s="55">
        <f t="shared" si="0"/>
        <v>3.225806451612903</v>
      </c>
      <c r="P12" s="19" t="s">
        <v>45</v>
      </c>
    </row>
    <row r="13" spans="2:16" ht="22.5" customHeight="1" x14ac:dyDescent="0.25">
      <c r="B13" s="14" t="s">
        <v>8</v>
      </c>
      <c r="C13" s="30" t="s">
        <v>20</v>
      </c>
      <c r="D13" s="36">
        <v>39</v>
      </c>
      <c r="E13" s="18">
        <v>40</v>
      </c>
      <c r="F13" s="18">
        <v>51</v>
      </c>
      <c r="G13" s="18">
        <v>45</v>
      </c>
      <c r="H13" s="18">
        <v>40</v>
      </c>
      <c r="I13" s="18">
        <v>44</v>
      </c>
      <c r="J13" s="32">
        <v>47</v>
      </c>
      <c r="K13" s="18">
        <v>46</v>
      </c>
      <c r="L13" s="50">
        <v>61</v>
      </c>
      <c r="N13" s="55">
        <f t="shared" si="0"/>
        <v>32.608695652173914</v>
      </c>
      <c r="P13" s="19" t="s">
        <v>46</v>
      </c>
    </row>
    <row r="14" spans="2:16" ht="22.5" customHeight="1" x14ac:dyDescent="0.25">
      <c r="B14" s="15">
        <v>10</v>
      </c>
      <c r="C14" s="30" t="s">
        <v>21</v>
      </c>
      <c r="D14" s="36">
        <v>36</v>
      </c>
      <c r="E14" s="18">
        <v>29</v>
      </c>
      <c r="F14" s="18">
        <v>30</v>
      </c>
      <c r="G14" s="18">
        <v>38</v>
      </c>
      <c r="H14" s="18">
        <v>35</v>
      </c>
      <c r="I14" s="18">
        <v>33</v>
      </c>
      <c r="J14" s="32">
        <v>33</v>
      </c>
      <c r="K14" s="18">
        <v>42</v>
      </c>
      <c r="L14" s="50">
        <v>42</v>
      </c>
      <c r="N14" s="55">
        <f t="shared" si="0"/>
        <v>0</v>
      </c>
      <c r="P14" s="19" t="s">
        <v>47</v>
      </c>
    </row>
    <row r="15" spans="2:16" ht="22.5" customHeight="1" x14ac:dyDescent="0.25">
      <c r="B15" s="15">
        <v>11</v>
      </c>
      <c r="C15" s="30" t="s">
        <v>22</v>
      </c>
      <c r="D15" s="36">
        <v>54</v>
      </c>
      <c r="E15" s="18">
        <v>48</v>
      </c>
      <c r="F15" s="18">
        <v>55</v>
      </c>
      <c r="G15" s="18">
        <v>44</v>
      </c>
      <c r="H15" s="18">
        <v>49</v>
      </c>
      <c r="I15" s="18">
        <v>47</v>
      </c>
      <c r="J15" s="32">
        <v>49</v>
      </c>
      <c r="K15" s="18">
        <v>48</v>
      </c>
      <c r="L15" s="50">
        <v>50</v>
      </c>
      <c r="N15" s="55">
        <f t="shared" si="0"/>
        <v>4.166666666666667</v>
      </c>
      <c r="P15" s="19" t="s">
        <v>48</v>
      </c>
    </row>
    <row r="16" spans="2:16" ht="22.5" customHeight="1" x14ac:dyDescent="0.25">
      <c r="B16" s="15">
        <v>12</v>
      </c>
      <c r="C16" s="30" t="s">
        <v>23</v>
      </c>
      <c r="D16" s="36">
        <v>45</v>
      </c>
      <c r="E16" s="18">
        <v>50</v>
      </c>
      <c r="F16" s="18">
        <v>51</v>
      </c>
      <c r="G16" s="18">
        <v>52</v>
      </c>
      <c r="H16" s="18">
        <v>61</v>
      </c>
      <c r="I16" s="18">
        <v>56</v>
      </c>
      <c r="J16" s="32">
        <v>62</v>
      </c>
      <c r="K16" s="18">
        <v>60</v>
      </c>
      <c r="L16" s="50">
        <v>67</v>
      </c>
      <c r="N16" s="55">
        <f t="shared" si="0"/>
        <v>11.666666666666666</v>
      </c>
      <c r="P16" s="19" t="s">
        <v>49</v>
      </c>
    </row>
    <row r="17" spans="2:16" ht="22.5" customHeight="1" x14ac:dyDescent="0.25">
      <c r="B17" s="15">
        <v>13</v>
      </c>
      <c r="C17" s="30" t="s">
        <v>24</v>
      </c>
      <c r="D17" s="36">
        <v>48</v>
      </c>
      <c r="E17" s="18">
        <v>49</v>
      </c>
      <c r="F17" s="18">
        <v>44</v>
      </c>
      <c r="G17" s="18">
        <v>49</v>
      </c>
      <c r="H17" s="18">
        <v>56</v>
      </c>
      <c r="I17" s="18">
        <v>57</v>
      </c>
      <c r="J17" s="32">
        <v>57</v>
      </c>
      <c r="K17" s="18">
        <v>43</v>
      </c>
      <c r="L17" s="50">
        <v>45</v>
      </c>
      <c r="N17" s="55">
        <f t="shared" si="0"/>
        <v>4.6511627906976747</v>
      </c>
      <c r="P17" s="19" t="s">
        <v>50</v>
      </c>
    </row>
    <row r="18" spans="2:16" ht="22.5" customHeight="1" x14ac:dyDescent="0.25">
      <c r="B18" s="15">
        <v>14</v>
      </c>
      <c r="C18" s="30" t="s">
        <v>25</v>
      </c>
      <c r="D18" s="36"/>
      <c r="E18" s="18"/>
      <c r="F18" s="18"/>
      <c r="G18" s="18"/>
      <c r="H18" s="18"/>
      <c r="I18" s="18"/>
      <c r="J18" s="32"/>
      <c r="K18" s="18"/>
      <c r="L18" s="50"/>
      <c r="N18" s="55" t="e">
        <f t="shared" si="0"/>
        <v>#DIV/0!</v>
      </c>
      <c r="P18" s="19" t="s">
        <v>51</v>
      </c>
    </row>
    <row r="19" spans="2:16" ht="22.5" customHeight="1" x14ac:dyDescent="0.25">
      <c r="B19" s="15">
        <v>15</v>
      </c>
      <c r="C19" s="30" t="s">
        <v>26</v>
      </c>
      <c r="D19" s="36">
        <v>42</v>
      </c>
      <c r="E19" s="18">
        <v>48</v>
      </c>
      <c r="F19" s="18">
        <v>40</v>
      </c>
      <c r="G19" s="18">
        <v>45</v>
      </c>
      <c r="H19" s="18">
        <v>41</v>
      </c>
      <c r="I19" s="18">
        <v>55</v>
      </c>
      <c r="J19" s="32">
        <v>36</v>
      </c>
      <c r="K19" s="18">
        <v>38</v>
      </c>
      <c r="L19" s="50">
        <v>36</v>
      </c>
      <c r="N19" s="55">
        <f t="shared" si="0"/>
        <v>-5.2631578947368425</v>
      </c>
      <c r="P19" s="19" t="s">
        <v>52</v>
      </c>
    </row>
    <row r="20" spans="2:16" ht="22.5" customHeight="1" x14ac:dyDescent="0.25">
      <c r="B20" s="15">
        <v>16</v>
      </c>
      <c r="C20" s="30" t="s">
        <v>27</v>
      </c>
      <c r="D20" s="36"/>
      <c r="E20" s="18"/>
      <c r="F20" s="18"/>
      <c r="G20" s="18"/>
      <c r="H20" s="18"/>
      <c r="I20" s="18"/>
      <c r="J20" s="32"/>
      <c r="K20" s="18"/>
      <c r="L20" s="50"/>
      <c r="N20" s="55" t="e">
        <f t="shared" si="0"/>
        <v>#DIV/0!</v>
      </c>
      <c r="P20" s="19" t="s">
        <v>53</v>
      </c>
    </row>
    <row r="21" spans="2:16" ht="22.5" customHeight="1" x14ac:dyDescent="0.25">
      <c r="B21" s="15">
        <v>17</v>
      </c>
      <c r="C21" s="30" t="s">
        <v>28</v>
      </c>
      <c r="D21" s="36">
        <v>18</v>
      </c>
      <c r="E21" s="18">
        <v>20</v>
      </c>
      <c r="F21" s="18">
        <v>19</v>
      </c>
      <c r="G21" s="18">
        <v>14</v>
      </c>
      <c r="H21" s="18">
        <v>41</v>
      </c>
      <c r="I21" s="18">
        <v>26</v>
      </c>
      <c r="J21" s="32">
        <v>28</v>
      </c>
      <c r="K21" s="18">
        <v>29</v>
      </c>
      <c r="L21" s="50">
        <v>33</v>
      </c>
      <c r="N21" s="55">
        <f t="shared" si="0"/>
        <v>13.793103448275861</v>
      </c>
      <c r="P21" s="19" t="s">
        <v>54</v>
      </c>
    </row>
    <row r="22" spans="2:16" ht="22.5" customHeight="1" x14ac:dyDescent="0.25">
      <c r="B22" s="15">
        <v>18</v>
      </c>
      <c r="C22" s="30" t="s">
        <v>29</v>
      </c>
      <c r="D22" s="36">
        <v>48</v>
      </c>
      <c r="E22" s="18">
        <v>43</v>
      </c>
      <c r="F22" s="18">
        <v>46</v>
      </c>
      <c r="G22" s="18">
        <v>54</v>
      </c>
      <c r="H22" s="18">
        <v>53</v>
      </c>
      <c r="I22" s="18">
        <v>60</v>
      </c>
      <c r="J22" s="32">
        <v>68</v>
      </c>
      <c r="K22" s="18">
        <v>75</v>
      </c>
      <c r="L22" s="50">
        <v>88</v>
      </c>
      <c r="N22" s="55">
        <f t="shared" si="0"/>
        <v>17.333333333333332</v>
      </c>
      <c r="P22" s="19" t="s">
        <v>55</v>
      </c>
    </row>
    <row r="23" spans="2:16" ht="22.5" customHeight="1" x14ac:dyDescent="0.25">
      <c r="B23" s="15">
        <v>19</v>
      </c>
      <c r="C23" s="30" t="s">
        <v>30</v>
      </c>
      <c r="D23" s="36">
        <v>27</v>
      </c>
      <c r="E23" s="18">
        <v>44</v>
      </c>
      <c r="F23" s="18">
        <v>45</v>
      </c>
      <c r="G23" s="18">
        <v>30</v>
      </c>
      <c r="H23" s="18">
        <v>32</v>
      </c>
      <c r="I23" s="18">
        <v>32</v>
      </c>
      <c r="J23" s="32">
        <v>48</v>
      </c>
      <c r="K23" s="18">
        <v>52</v>
      </c>
      <c r="L23" s="50">
        <v>54</v>
      </c>
      <c r="N23" s="55">
        <f t="shared" si="0"/>
        <v>3.8461538461538463</v>
      </c>
      <c r="P23" s="19" t="s">
        <v>56</v>
      </c>
    </row>
    <row r="24" spans="2:16" ht="22.5" customHeight="1" x14ac:dyDescent="0.25">
      <c r="B24" s="15">
        <v>20</v>
      </c>
      <c r="C24" s="30" t="s">
        <v>31</v>
      </c>
      <c r="D24" s="36">
        <v>47</v>
      </c>
      <c r="E24" s="18">
        <v>52</v>
      </c>
      <c r="F24" s="18">
        <v>50</v>
      </c>
      <c r="G24" s="18">
        <v>52</v>
      </c>
      <c r="H24" s="18">
        <v>50</v>
      </c>
      <c r="I24" s="18">
        <v>57</v>
      </c>
      <c r="J24" s="32">
        <v>56</v>
      </c>
      <c r="K24" s="18">
        <v>51</v>
      </c>
      <c r="L24" s="50">
        <v>57</v>
      </c>
      <c r="N24" s="55">
        <f t="shared" si="0"/>
        <v>11.764705882352942</v>
      </c>
      <c r="P24" s="19" t="s">
        <v>57</v>
      </c>
    </row>
    <row r="25" spans="2:16" ht="22.5" customHeight="1" x14ac:dyDescent="0.25">
      <c r="B25" s="15">
        <v>21</v>
      </c>
      <c r="C25" s="30" t="s">
        <v>32</v>
      </c>
      <c r="D25" s="36">
        <v>48</v>
      </c>
      <c r="E25" s="18">
        <v>47</v>
      </c>
      <c r="F25" s="18">
        <v>58</v>
      </c>
      <c r="G25" s="18">
        <v>70</v>
      </c>
      <c r="H25" s="18">
        <v>61</v>
      </c>
      <c r="I25" s="18">
        <v>68</v>
      </c>
      <c r="J25" s="32">
        <v>100</v>
      </c>
      <c r="K25" s="18">
        <v>72</v>
      </c>
      <c r="L25" s="50">
        <v>83</v>
      </c>
      <c r="N25" s="55">
        <f t="shared" si="0"/>
        <v>15.277777777777779</v>
      </c>
      <c r="P25" s="19" t="s">
        <v>58</v>
      </c>
    </row>
    <row r="26" spans="2:16" ht="22.5" customHeight="1" x14ac:dyDescent="0.25">
      <c r="B26" s="15">
        <v>22</v>
      </c>
      <c r="C26" s="30" t="s">
        <v>33</v>
      </c>
      <c r="D26" s="36">
        <v>29</v>
      </c>
      <c r="E26" s="18">
        <v>31</v>
      </c>
      <c r="F26" s="18">
        <v>27</v>
      </c>
      <c r="G26" s="18">
        <v>20</v>
      </c>
      <c r="H26" s="18">
        <v>43</v>
      </c>
      <c r="I26" s="18">
        <v>18</v>
      </c>
      <c r="J26" s="32">
        <v>57</v>
      </c>
      <c r="K26" s="18">
        <v>52</v>
      </c>
      <c r="L26" s="50">
        <v>79</v>
      </c>
      <c r="N26" s="55">
        <f t="shared" si="0"/>
        <v>51.92307692307692</v>
      </c>
      <c r="P26" s="19" t="s">
        <v>59</v>
      </c>
    </row>
    <row r="27" spans="2:16" ht="22.5" customHeight="1" x14ac:dyDescent="0.25">
      <c r="B27" s="15">
        <v>23</v>
      </c>
      <c r="C27" s="30" t="s">
        <v>34</v>
      </c>
      <c r="D27" s="36">
        <v>39</v>
      </c>
      <c r="E27" s="18">
        <v>33</v>
      </c>
      <c r="F27" s="18">
        <v>39</v>
      </c>
      <c r="G27" s="18">
        <v>40</v>
      </c>
      <c r="H27" s="18">
        <v>40</v>
      </c>
      <c r="I27" s="18">
        <v>38</v>
      </c>
      <c r="J27" s="32">
        <v>54</v>
      </c>
      <c r="K27" s="18">
        <v>41</v>
      </c>
      <c r="L27" s="50">
        <v>42</v>
      </c>
      <c r="N27" s="55">
        <f t="shared" si="0"/>
        <v>2.4390243902439024</v>
      </c>
      <c r="P27" s="19" t="s">
        <v>60</v>
      </c>
    </row>
    <row r="28" spans="2:16" ht="22.5" customHeight="1" x14ac:dyDescent="0.25">
      <c r="B28" s="15">
        <v>24</v>
      </c>
      <c r="C28" s="30" t="s">
        <v>35</v>
      </c>
      <c r="D28" s="37">
        <v>29</v>
      </c>
      <c r="E28" s="10">
        <v>32</v>
      </c>
      <c r="F28" s="9">
        <v>34</v>
      </c>
      <c r="G28" s="10">
        <v>32</v>
      </c>
      <c r="H28" s="9">
        <v>35</v>
      </c>
      <c r="I28" s="10">
        <v>34</v>
      </c>
      <c r="J28" s="33">
        <v>41</v>
      </c>
      <c r="K28" s="10">
        <v>29</v>
      </c>
      <c r="L28" s="51">
        <v>19</v>
      </c>
      <c r="N28" s="55">
        <f t="shared" si="0"/>
        <v>-34.482758620689658</v>
      </c>
      <c r="P28" s="19" t="s">
        <v>61</v>
      </c>
    </row>
    <row r="29" spans="2:16" ht="22.5" customHeight="1" x14ac:dyDescent="0.25">
      <c r="B29" s="15">
        <v>25</v>
      </c>
      <c r="C29" s="30" t="s">
        <v>36</v>
      </c>
      <c r="D29" s="38">
        <v>54</v>
      </c>
      <c r="E29" s="12">
        <v>38</v>
      </c>
      <c r="F29" s="11">
        <v>41</v>
      </c>
      <c r="G29" s="12">
        <v>47</v>
      </c>
      <c r="H29" s="11">
        <v>49</v>
      </c>
      <c r="I29" s="12">
        <v>56</v>
      </c>
      <c r="J29" s="12">
        <v>74</v>
      </c>
      <c r="K29" s="45">
        <v>67</v>
      </c>
      <c r="L29" s="52">
        <v>80</v>
      </c>
      <c r="N29" s="55">
        <f t="shared" si="0"/>
        <v>19.402985074626866</v>
      </c>
      <c r="P29" s="19" t="s">
        <v>62</v>
      </c>
    </row>
    <row r="30" spans="2:16" ht="16.5" thickBot="1" x14ac:dyDescent="0.3">
      <c r="B30" s="16">
        <v>26</v>
      </c>
      <c r="C30" s="31" t="s">
        <v>37</v>
      </c>
      <c r="D30" s="39"/>
      <c r="E30" s="7"/>
      <c r="F30" s="6"/>
      <c r="G30" s="7"/>
      <c r="H30" s="6"/>
      <c r="I30" s="7"/>
      <c r="J30" s="7"/>
      <c r="K30" s="46"/>
      <c r="L30" s="47"/>
      <c r="N30" s="55" t="e">
        <f t="shared" si="0"/>
        <v>#DIV/0!</v>
      </c>
      <c r="P30" s="19" t="s">
        <v>63</v>
      </c>
    </row>
    <row r="31" spans="2:16" ht="15.75" x14ac:dyDescent="0.25">
      <c r="B31" s="20"/>
      <c r="C31" s="21"/>
      <c r="D31" s="22"/>
      <c r="E31" s="23"/>
      <c r="F31" s="22"/>
      <c r="G31" s="23"/>
      <c r="H31" s="22"/>
      <c r="I31" s="22"/>
      <c r="J31" s="22"/>
      <c r="K31" s="22"/>
      <c r="L31" s="40"/>
      <c r="N31" s="55"/>
      <c r="P31" s="19"/>
    </row>
    <row r="32" spans="2:16" ht="21" customHeight="1" x14ac:dyDescent="0.25">
      <c r="B32" s="24" t="s">
        <v>64</v>
      </c>
    </row>
    <row r="37" spans="3:13" ht="15" customHeight="1" x14ac:dyDescent="0.25">
      <c r="C37" s="3"/>
      <c r="D37" s="3"/>
      <c r="E37" s="3"/>
      <c r="F37" s="3"/>
      <c r="G37" s="3"/>
      <c r="H37" s="3"/>
      <c r="I37" s="3"/>
      <c r="J37" s="3"/>
      <c r="K37" s="3"/>
      <c r="L37" s="42"/>
      <c r="M37" s="4"/>
    </row>
    <row r="38" spans="3:13" x14ac:dyDescent="0.25">
      <c r="C38" s="2"/>
      <c r="D38" s="2"/>
      <c r="E38" s="2"/>
      <c r="F38" s="2"/>
      <c r="G38" s="2"/>
      <c r="H38" s="2"/>
      <c r="I38" s="2"/>
      <c r="J38" s="2"/>
      <c r="K38" s="2"/>
      <c r="L38" s="43"/>
    </row>
  </sheetData>
  <mergeCells count="4">
    <mergeCell ref="B2:L2"/>
    <mergeCell ref="B3:B4"/>
    <mergeCell ref="C3:C4"/>
    <mergeCell ref="D3:L3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2.11.Tablo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2024-10-31T13:15:58Z</dcterms:modified>
</cp:coreProperties>
</file>