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267D647-8619-43C3-A65D-481C8CBE2E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2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5" i="1"/>
</calcChain>
</file>

<file path=xl/sharedStrings.xml><?xml version="1.0" encoding="utf-8"?>
<sst xmlns="http://schemas.openxmlformats.org/spreadsheetml/2006/main" count="41" uniqueCount="41">
  <si>
    <t>Havza No</t>
  </si>
  <si>
    <t>Havza Adı</t>
  </si>
  <si>
    <t>01</t>
  </si>
  <si>
    <t>Meriç Ergene</t>
  </si>
  <si>
    <t>02</t>
  </si>
  <si>
    <t xml:space="preserve">Marmara </t>
  </si>
  <si>
    <t>03</t>
  </si>
  <si>
    <t xml:space="preserve">Susurluk </t>
  </si>
  <si>
    <t>04</t>
  </si>
  <si>
    <t xml:space="preserve">Kuzey Ege </t>
  </si>
  <si>
    <t>05</t>
  </si>
  <si>
    <t xml:space="preserve">Gediz </t>
  </si>
  <si>
    <t>06</t>
  </si>
  <si>
    <t xml:space="preserve">Küçük Menderes </t>
  </si>
  <si>
    <t>07</t>
  </si>
  <si>
    <t xml:space="preserve">Büyük Menderes </t>
  </si>
  <si>
    <t>08</t>
  </si>
  <si>
    <t xml:space="preserve">Batı Akdeniz </t>
  </si>
  <si>
    <t>09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</si>
  <si>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</si>
  <si>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</si>
  <si>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</si>
  <si>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</si>
  <si>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</si>
  <si>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</si>
  <si>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</si>
  <si>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</si>
  <si>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</si>
  <si>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</si>
  <si>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</si>
  <si>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</si>
  <si>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Fırat - Dicle </t>
  </si>
  <si>
    <t xml:space="preserve">Doğu Karadeniz </t>
  </si>
  <si>
    <t xml:space="preserve">Çoruh </t>
  </si>
  <si>
    <t xml:space="preserve">Aras </t>
  </si>
  <si>
    <t xml:space="preserve">Van Gölü </t>
  </si>
  <si>
    <t>* Ulusal Havza Kodlaması Kullanılmıştır.</t>
  </si>
  <si>
    <t>Sulama Oranı Değişimi</t>
  </si>
  <si>
    <t xml:space="preserve">Sulama Oranı                               </t>
  </si>
  <si>
    <r>
      <rPr>
        <b/>
        <sz val="11"/>
        <color theme="1"/>
        <rFont val="Calibri"/>
        <family val="2"/>
        <charset val="162"/>
        <scheme val="minor"/>
      </rPr>
      <t xml:space="preserve">NOT: </t>
    </r>
    <r>
      <rPr>
        <sz val="11"/>
        <color theme="1"/>
        <rFont val="Calibri"/>
        <family val="2"/>
        <scheme val="minor"/>
      </rPr>
      <t>Tabloda belirtilen oranlar DSİ ce işletilmiş ve devredilmiş sulamalara ait verilerdir.
Sulama Oranı Mevisimsel yağışlara göre gölet,baraj ve depolama tesislerinin su doluluk oranına göre değişkenlik gösterebilmektedir. 
Sulama Oranı= Sulanan Alan (Sulama Sahası İçi + Sulama Sahası Dışı) / Sulama Alanı   olarak tanımlanmıştır.</t>
    </r>
  </si>
  <si>
    <t>2.12.DSİ'ce İşletilen ve Devredilen Sulama Tesislerinin Havza Bazında Sulama Oranı, 2019-2023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</si>
</sst>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0" xfId="0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6" fillId="3" borderId="7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7" fillId="0" borderId="13" xfId="0" applyNumberFormat="1" applyFont="1" applyBorder="1"/>
    <xf numFmtId="2" fontId="0" fillId="0" borderId="14" xfId="0" applyNumberFormat="1" applyBorder="1"/>
    <xf numFmtId="2" fontId="7" fillId="0" borderId="14" xfId="0" applyNumberFormat="1" applyFont="1" applyBorder="1"/>
    <xf numFmtId="2" fontId="0" fillId="0" borderId="15" xfId="0" applyNumberFormat="1" applyBorder="1"/>
    <xf numFmtId="2" fontId="7" fillId="0" borderId="15" xfId="0" applyNumberFormat="1" applyFont="1" applyBorder="1"/>
    <xf numFmtId="0" fontId="7" fillId="0" borderId="0" xfId="0" applyFont="1"/>
    <xf numFmtId="0" fontId="7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2" fontId="7" fillId="0" borderId="16" xfId="0" applyNumberFormat="1" applyFont="1" applyBorder="1"/>
    <xf numFmtId="2" fontId="7" fillId="0" borderId="17" xfId="0" applyNumberFormat="1" applyFont="1" applyBorder="1"/>
    <xf numFmtId="2" fontId="7" fillId="0" borderId="18" xfId="0" applyNumberFormat="1" applyFont="1" applyBorder="1"/>
    <xf numFmtId="0" fontId="8" fillId="2" borderId="0" xfId="0" applyFont="1" applyFill="1"/>
    <xf numFmtId="0" fontId="8" fillId="0" borderId="0" xfId="0" applyFont="1"/>
    <xf numFmtId="2" fontId="8" fillId="0" borderId="0" xfId="0" applyNumberFormat="1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2.12.DSİ'ce İşletilen ve Devredilen Sulama Tesislerinin Sulama Oranı Değişimi, (%), 2022-2023</a:t>
            </a:r>
          </a:p>
        </c:rich>
      </c:tx>
      <c:layout>
        <c:manualLayout>
          <c:xMode val="edge"/>
          <c:yMode val="edge"/>
          <c:x val="0.23062871278455951"/>
          <c:y val="1.8771078202602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23896428601248E-2"/>
          <c:y val="0.15423858705512453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'2.12.Tablo'!$J$4</c:f>
              <c:strCache>
                <c:ptCount val="1"/>
                <c:pt idx="0">
                  <c:v>Sulama Oranı Değişimi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6.596380198626077E-4"/>
                  <c:y val="8.4470406175832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4B-41C5-956D-05C67C1F7535}"/>
                </c:ext>
              </c:extLst>
            </c:dLbl>
            <c:dLbl>
              <c:idx val="1"/>
              <c:layout>
                <c:manualLayout>
                  <c:x val="7.1006974506315627E-4"/>
                  <c:y val="0.133744301702958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1C8-4707-950F-6B711333A607}"/>
                </c:ext>
              </c:extLst>
            </c:dLbl>
            <c:dLbl>
              <c:idx val="2"/>
              <c:layout>
                <c:manualLayout>
                  <c:x val="0"/>
                  <c:y val="7.5084497565117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1C8-4707-950F-6B711333A607}"/>
                </c:ext>
              </c:extLst>
            </c:dLbl>
            <c:dLbl>
              <c:idx val="3"/>
              <c:layout>
                <c:manualLayout>
                  <c:x val="5.5195342702862036E-4"/>
                  <c:y val="8.6816975705864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4B-41C5-956D-05C67C1F7535}"/>
                </c:ext>
              </c:extLst>
            </c:dLbl>
            <c:dLbl>
              <c:idx val="4"/>
              <c:layout>
                <c:manualLayout>
                  <c:x val="1.3144676934200632E-4"/>
                  <c:y val="6.5699697482643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4B-41C5-956D-05C67C1F7535}"/>
                </c:ext>
              </c:extLst>
            </c:dLbl>
            <c:dLbl>
              <c:idx val="5"/>
              <c:layout>
                <c:manualLayout>
                  <c:x val="-2.7262205330141339E-4"/>
                  <c:y val="6.3353312707317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4B-41C5-956D-05C67C1F7535}"/>
                </c:ext>
              </c:extLst>
            </c:dLbl>
            <c:dLbl>
              <c:idx val="6"/>
              <c:layout>
                <c:manualLayout>
                  <c:x val="-5.519534270286724E-4"/>
                  <c:y val="8.4470590930539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4B-41C5-956D-05C67C1F7535}"/>
                </c:ext>
              </c:extLst>
            </c:dLbl>
            <c:dLbl>
              <c:idx val="7"/>
              <c:layout>
                <c:manualLayout>
                  <c:x val="1.2620231720917765E-3"/>
                  <c:y val="0.119665993051006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4B-41C5-956D-05C67C1F7535}"/>
                </c:ext>
              </c:extLst>
            </c:dLbl>
            <c:dLbl>
              <c:idx val="8"/>
              <c:layout>
                <c:manualLayout>
                  <c:x val="1.4201394901262605E-3"/>
                  <c:y val="4.4581310731181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1C8-4707-950F-6B711333A607}"/>
                </c:ext>
              </c:extLst>
            </c:dLbl>
            <c:dLbl>
              <c:idx val="9"/>
              <c:layout>
                <c:manualLayout>
                  <c:x val="9.3226007316402103E-4"/>
                  <c:y val="5.631341936251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DB-4984-99AA-1878A7648C0D}"/>
                </c:ext>
              </c:extLst>
            </c:dLbl>
            <c:dLbl>
              <c:idx val="10"/>
              <c:layout>
                <c:manualLayout>
                  <c:x val="-5.2071179773919304E-17"/>
                  <c:y val="0.112626469215616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1C8-4707-950F-6B711333A607}"/>
                </c:ext>
              </c:extLst>
            </c:dLbl>
            <c:dLbl>
              <c:idx val="11"/>
              <c:layout>
                <c:manualLayout>
                  <c:x val="-5.2071179773919304E-17"/>
                  <c:y val="8.4470221421125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C8-4707-950F-6B711333A607}"/>
                </c:ext>
              </c:extLst>
            </c:dLbl>
            <c:dLbl>
              <c:idx val="12"/>
              <c:layout>
                <c:manualLayout>
                  <c:x val="8.0612484915910129E-4"/>
                  <c:y val="4.69276955065064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83-49C0-814C-048606EB42D8}"/>
                </c:ext>
              </c:extLst>
            </c:dLbl>
            <c:dLbl>
              <c:idx val="13"/>
              <c:layout>
                <c:manualLayout>
                  <c:x val="-1.0414235954783861E-16"/>
                  <c:y val="0.11262665397032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C8-4707-950F-6B711333A607}"/>
                </c:ext>
              </c:extLst>
            </c:dLbl>
            <c:dLbl>
              <c:idx val="14"/>
              <c:layout>
                <c:manualLayout>
                  <c:x val="0"/>
                  <c:y val="7.0391728014467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C8-4707-950F-6B711333A607}"/>
                </c:ext>
              </c:extLst>
            </c:dLbl>
            <c:dLbl>
              <c:idx val="15"/>
              <c:layout>
                <c:manualLayout>
                  <c:x val="0"/>
                  <c:y val="0.255756125265169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C8-4707-950F-6B711333A607}"/>
                </c:ext>
              </c:extLst>
            </c:dLbl>
            <c:dLbl>
              <c:idx val="16"/>
              <c:layout>
                <c:manualLayout>
                  <c:x val="-8.6047034460813359E-4"/>
                  <c:y val="7.5085236583944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4B-41C5-956D-05C67C1F7535}"/>
                </c:ext>
              </c:extLst>
            </c:dLbl>
            <c:dLbl>
              <c:idx val="17"/>
              <c:layout>
                <c:manualLayout>
                  <c:x val="4.5545103490428904E-4"/>
                  <c:y val="0.107934623438499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4B-41C5-956D-05C67C1F7535}"/>
                </c:ext>
              </c:extLst>
            </c:dLbl>
            <c:dLbl>
              <c:idx val="18"/>
              <c:layout>
                <c:manualLayout>
                  <c:x val="0"/>
                  <c:y val="0.131397732172925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C8-4707-950F-6B711333A607}"/>
                </c:ext>
              </c:extLst>
            </c:dLbl>
            <c:dLbl>
              <c:idx val="19"/>
              <c:layout>
                <c:manualLayout>
                  <c:x val="7.1006974506305207E-4"/>
                  <c:y val="7.508468231982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C8-4707-950F-6B711333A607}"/>
                </c:ext>
              </c:extLst>
            </c:dLbl>
            <c:dLbl>
              <c:idx val="20"/>
              <c:layout>
                <c:manualLayout>
                  <c:x val="0"/>
                  <c:y val="0.103241299623728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C8-4707-950F-6B711333A60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4B-41C5-956D-05C67C1F7535}"/>
                </c:ext>
              </c:extLst>
            </c:dLbl>
            <c:dLbl>
              <c:idx val="22"/>
              <c:layout>
                <c:manualLayout>
                  <c:x val="0"/>
                  <c:y val="4.69295430535736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ED-41E8-AE15-6A7F30F92EBD}"/>
                </c:ext>
              </c:extLst>
            </c:dLbl>
            <c:dLbl>
              <c:idx val="23"/>
              <c:layout>
                <c:manualLayout>
                  <c:x val="0"/>
                  <c:y val="5.8660173647253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C8-4707-950F-6B711333A607}"/>
                </c:ext>
              </c:extLst>
            </c:dLbl>
            <c:dLbl>
              <c:idx val="24"/>
              <c:layout>
                <c:manualLayout>
                  <c:x val="-1.0414235954783861E-16"/>
                  <c:y val="6.1006188913165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C8-4707-950F-6B711333A6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'2.12.Tablo'!$C$5:$C$29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'2.12.Tablo'!$J$5:$J$29</c:f>
              <c:numCache>
                <c:formatCode>0.00</c:formatCode>
                <c:ptCount val="25"/>
                <c:pt idx="0">
                  <c:v>-12.500000000000011</c:v>
                </c:pt>
                <c:pt idx="1">
                  <c:v>-28.205128205128201</c:v>
                </c:pt>
                <c:pt idx="2">
                  <c:v>-11.666666666666659</c:v>
                </c:pt>
                <c:pt idx="3">
                  <c:v>-15.87301587301587</c:v>
                </c:pt>
                <c:pt idx="4">
                  <c:v>-7.6923076923076987</c:v>
                </c:pt>
                <c:pt idx="5">
                  <c:v>-7.8125000000000071</c:v>
                </c:pt>
                <c:pt idx="6">
                  <c:v>-15.189873417721518</c:v>
                </c:pt>
                <c:pt idx="7">
                  <c:v>-23.214285714285722</c:v>
                </c:pt>
                <c:pt idx="8">
                  <c:v>-0.13132769457133581</c:v>
                </c:pt>
                <c:pt idx="9">
                  <c:v>-3.0303030303030329</c:v>
                </c:pt>
                <c:pt idx="10">
                  <c:v>-21.818181818181827</c:v>
                </c:pt>
                <c:pt idx="11">
                  <c:v>-15.87301587301587</c:v>
                </c:pt>
                <c:pt idx="12">
                  <c:v>21.428571428571427</c:v>
                </c:pt>
                <c:pt idx="13">
                  <c:v>-22.222222222222225</c:v>
                </c:pt>
                <c:pt idx="14">
                  <c:v>-9.2592592592592666</c:v>
                </c:pt>
                <c:pt idx="15">
                  <c:v>-66.25</c:v>
                </c:pt>
                <c:pt idx="16">
                  <c:v>-11.267605633802813</c:v>
                </c:pt>
                <c:pt idx="17">
                  <c:v>-21.495327102803746</c:v>
                </c:pt>
                <c:pt idx="18">
                  <c:v>-28.888888888888889</c:v>
                </c:pt>
                <c:pt idx="19">
                  <c:v>-10.71428571428571</c:v>
                </c:pt>
                <c:pt idx="20">
                  <c:v>-18.9873417721519</c:v>
                </c:pt>
                <c:pt idx="21">
                  <c:v>0</c:v>
                </c:pt>
                <c:pt idx="22">
                  <c:v>76.470588235294102</c:v>
                </c:pt>
                <c:pt idx="23">
                  <c:v>-6.1538461538461595</c:v>
                </c:pt>
                <c:pt idx="24">
                  <c:v>-6.0606060606060659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'2.12.Tablo'!$C$5:$C$29</c15:sqref>
                        </c15:formulaRef>
                      </c:ext>
                    </c:extLst>
                    <c:strCache>
                      <c:ptCount val="25"/>
                      <c:pt idx="0">
                        <c:v>Meriç Ergene</c:v>
                      </c:pt>
                      <c:pt idx="1">
                        <c:v>Marmara </c:v>
                      </c:pt>
                      <c:pt idx="2">
                        <c:v>Susurluk </c:v>
                      </c:pt>
                      <c:pt idx="3">
                        <c:v>Kuzey Ege </c:v>
                      </c:pt>
                      <c:pt idx="4">
                        <c:v>Gediz </c:v>
                      </c:pt>
                      <c:pt idx="5">
                        <c:v>Küçük Menderes </c:v>
                      </c:pt>
                      <c:pt idx="6">
                        <c:v>Büyük Menderes </c:v>
                      </c:pt>
                      <c:pt idx="7">
                        <c:v>Batı Akdeniz </c:v>
                      </c:pt>
                      <c:pt idx="8">
                        <c:v>Antalya </c:v>
                      </c:pt>
                      <c:pt idx="9">
                        <c:v>Burdur Göller </c:v>
                      </c:pt>
                      <c:pt idx="10">
                        <c:v>Akarçay </c:v>
                      </c:pt>
                      <c:pt idx="11">
                        <c:v>Sakarya </c:v>
                      </c:pt>
                      <c:pt idx="12">
                        <c:v>Batı Karadeniz </c:v>
                      </c:pt>
                      <c:pt idx="13">
                        <c:v>Yeşilırmak </c:v>
                      </c:pt>
                      <c:pt idx="14">
                        <c:v>Kızılırmak </c:v>
                      </c:pt>
                      <c:pt idx="15">
                        <c:v>Konya Kapalı </c:v>
                      </c:pt>
                      <c:pt idx="16">
                        <c:v>Doğu Akdeniz </c:v>
                      </c:pt>
                      <c:pt idx="17">
                        <c:v>Seyhan </c:v>
                      </c:pt>
                      <c:pt idx="18">
                        <c:v>Asi </c:v>
                      </c:pt>
                      <c:pt idx="19">
                        <c:v>Ceyhan </c:v>
                      </c:pt>
                      <c:pt idx="20">
                        <c:v>Fırat - Dicle </c:v>
                      </c:pt>
                      <c:pt idx="21">
                        <c:v>Doğu Karadeniz </c:v>
                      </c:pt>
                      <c:pt idx="22">
                        <c:v>Çoruh </c:v>
                      </c:pt>
                      <c:pt idx="23">
                        <c:v>Aras </c:v>
                      </c:pt>
                      <c:pt idx="24">
                        <c:v>Van Gölü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'2.12.Tablo'!$C$5:$C$29</c15:sqref>
                        </c15:formulaRef>
                      </c:ext>
                    </c:extLst>
                    <c:strCache>
                      <c:ptCount val="25"/>
                      <c:pt idx="0">
                        <c:v>Meriç Ergene</c:v>
                      </c:pt>
                      <c:pt idx="1">
                        <c:v>Marmara </c:v>
                      </c:pt>
                      <c:pt idx="2">
                        <c:v>Susurluk </c:v>
                      </c:pt>
                      <c:pt idx="3">
                        <c:v>Kuzey Ege </c:v>
                      </c:pt>
                      <c:pt idx="4">
                        <c:v>Gediz </c:v>
                      </c:pt>
                      <c:pt idx="5">
                        <c:v>Küçük Menderes </c:v>
                      </c:pt>
                      <c:pt idx="6">
                        <c:v>Büyük Menderes </c:v>
                      </c:pt>
                      <c:pt idx="7">
                        <c:v>Batı Akdeniz </c:v>
                      </c:pt>
                      <c:pt idx="8">
                        <c:v>Antalya </c:v>
                      </c:pt>
                      <c:pt idx="9">
                        <c:v>Burdur Göller </c:v>
                      </c:pt>
                      <c:pt idx="10">
                        <c:v>Akarçay </c:v>
                      </c:pt>
                      <c:pt idx="11">
                        <c:v>Sakarya </c:v>
                      </c:pt>
                      <c:pt idx="12">
                        <c:v>Batı Karadeniz </c:v>
                      </c:pt>
                      <c:pt idx="13">
                        <c:v>Yeşilırmak </c:v>
                      </c:pt>
                      <c:pt idx="14">
                        <c:v>Kızılırmak </c:v>
                      </c:pt>
                      <c:pt idx="15">
                        <c:v>Konya Kapalı </c:v>
                      </c:pt>
                      <c:pt idx="16">
                        <c:v>Doğu Akdeniz </c:v>
                      </c:pt>
                      <c:pt idx="17">
                        <c:v>Seyhan </c:v>
                      </c:pt>
                      <c:pt idx="18">
                        <c:v>Asi </c:v>
                      </c:pt>
                      <c:pt idx="19">
                        <c:v>Ceyhan </c:v>
                      </c:pt>
                      <c:pt idx="20">
                        <c:v>Fırat - Dicle </c:v>
                      </c:pt>
                      <c:pt idx="21">
                        <c:v>Doğu Karadeniz </c:v>
                      </c:pt>
                      <c:pt idx="22">
                        <c:v>Çoruh </c:v>
                      </c:pt>
                      <c:pt idx="23">
                        <c:v>Aras </c:v>
                      </c:pt>
                      <c:pt idx="24">
                        <c:v>Van Gölü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2.12.DSİ'ce İşletilen ve Devredilen Sulama Tesislerinin Sulama Oranı, 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'2.12.Tablo'!$D$3:$H$3</c:f>
              <c:strCache>
                <c:ptCount val="1"/>
                <c:pt idx="0">
                  <c:v>Sulama Oranı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'2.12.Tablo'!$C$5:$C$29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'2.12.Tablo'!$H$5:$H$29</c:f>
              <c:numCache>
                <c:formatCode>0.00</c:formatCode>
                <c:ptCount val="25"/>
                <c:pt idx="0">
                  <c:v>0.49</c:v>
                </c:pt>
                <c:pt idx="1">
                  <c:v>0.56000000000000005</c:v>
                </c:pt>
                <c:pt idx="2">
                  <c:v>0.53</c:v>
                </c:pt>
                <c:pt idx="3">
                  <c:v>0.53</c:v>
                </c:pt>
                <c:pt idx="4">
                  <c:v>0.36</c:v>
                </c:pt>
                <c:pt idx="5">
                  <c:v>0.59</c:v>
                </c:pt>
                <c:pt idx="6">
                  <c:v>0.67</c:v>
                </c:pt>
                <c:pt idx="7">
                  <c:v>0.43</c:v>
                </c:pt>
                <c:pt idx="8">
                  <c:v>0.56999999999999995</c:v>
                </c:pt>
                <c:pt idx="9">
                  <c:v>0.32</c:v>
                </c:pt>
                <c:pt idx="10">
                  <c:v>0.43</c:v>
                </c:pt>
                <c:pt idx="11">
                  <c:v>0.53</c:v>
                </c:pt>
                <c:pt idx="12">
                  <c:v>0.17</c:v>
                </c:pt>
                <c:pt idx="13">
                  <c:v>0.49</c:v>
                </c:pt>
                <c:pt idx="14">
                  <c:v>0.49</c:v>
                </c:pt>
                <c:pt idx="15">
                  <c:v>0.27</c:v>
                </c:pt>
                <c:pt idx="16">
                  <c:v>0.63</c:v>
                </c:pt>
                <c:pt idx="17">
                  <c:v>0.84</c:v>
                </c:pt>
                <c:pt idx="18">
                  <c:v>0.64</c:v>
                </c:pt>
                <c:pt idx="19">
                  <c:v>0.75</c:v>
                </c:pt>
                <c:pt idx="20">
                  <c:v>0.64</c:v>
                </c:pt>
                <c:pt idx="21">
                  <c:v>0.25</c:v>
                </c:pt>
                <c:pt idx="22">
                  <c:v>0.3</c:v>
                </c:pt>
                <c:pt idx="23">
                  <c:v>0.61</c:v>
                </c:pt>
                <c:pt idx="24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1716882</xdr:colOff>
      <xdr:row>1</xdr:row>
      <xdr:rowOff>21431</xdr:rowOff>
    </xdr:from>
    <xdr:to>
      <xdr:col>7</xdr:col>
      <xdr:colOff>2097882</xdr:colOff>
      <xdr:row>1</xdr:row>
      <xdr:rowOff>307482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695" y="211931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69057</xdr:colOff>
      <xdr:row>62</xdr:row>
      <xdr:rowOff>147638</xdr:rowOff>
    </xdr:from>
    <xdr:to>
      <xdr:col>15</xdr:col>
      <xdr:colOff>369093</xdr:colOff>
      <xdr:row>91</xdr:row>
      <xdr:rowOff>35720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15</xdr:col>
      <xdr:colOff>380999</xdr:colOff>
      <xdr:row>62</xdr:row>
      <xdr:rowOff>23813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3DAC5A16-4C59-410B-92FE-A36547767AA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876E2889-685C-4A63-B111-466AAB87373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8"/>
  <sheetViews>
    <sheetView tabSelected="1" zoomScale="80" zoomScaleNormal="80" workbookViewId="0">
      <selection activeCell="I4" sqref="I4"/>
    </sheetView>
  </sheetViews>
  <sheetFormatPr defaultRowHeight="15" x14ac:dyDescent="0.25"/>
  <cols>
    <col min="1" max="1" width="2.5703125" customWidth="1"/>
    <col min="3" max="3" width="31.140625" customWidth="1"/>
    <col min="4" max="7" width="32" customWidth="1"/>
    <col min="8" max="8" width="32" style="25" customWidth="1"/>
    <col min="10" max="10" width="9.140625" style="32"/>
  </cols>
  <sheetData>
    <row r="1" spans="2:11" s="1" customFormat="1" ht="15" customHeight="1" thickBot="1" x14ac:dyDescent="0.3">
      <c r="C1" s="5"/>
      <c r="D1" s="5"/>
      <c r="E1" s="5"/>
      <c r="F1" s="5"/>
      <c r="G1" s="5"/>
      <c r="H1" s="5"/>
      <c r="J1" s="31"/>
    </row>
    <row r="2" spans="2:11" s="1" customFormat="1" ht="24.75" customHeight="1" thickBot="1" x14ac:dyDescent="0.3">
      <c r="B2" s="36" t="s">
        <v>40</v>
      </c>
      <c r="C2" s="37"/>
      <c r="D2" s="37"/>
      <c r="E2" s="37"/>
      <c r="F2" s="37"/>
      <c r="G2" s="37"/>
      <c r="H2" s="38"/>
      <c r="J2" s="31"/>
      <c r="K2" s="15"/>
    </row>
    <row r="3" spans="2:11" ht="16.5" thickBot="1" x14ac:dyDescent="0.3">
      <c r="B3" s="39" t="s">
        <v>0</v>
      </c>
      <c r="C3" s="39" t="s">
        <v>1</v>
      </c>
      <c r="D3" s="41" t="s">
        <v>38</v>
      </c>
      <c r="E3" s="42"/>
      <c r="F3" s="42"/>
      <c r="G3" s="42"/>
      <c r="H3" s="43"/>
    </row>
    <row r="4" spans="2:11" ht="22.5" customHeight="1" thickBot="1" x14ac:dyDescent="0.3">
      <c r="B4" s="40"/>
      <c r="C4" s="40"/>
      <c r="D4" s="6">
        <v>2019</v>
      </c>
      <c r="E4" s="6">
        <v>2020</v>
      </c>
      <c r="F4" s="6">
        <v>2021</v>
      </c>
      <c r="G4" s="6">
        <v>2022</v>
      </c>
      <c r="H4" s="6">
        <v>2023</v>
      </c>
      <c r="J4" s="32" t="s">
        <v>37</v>
      </c>
    </row>
    <row r="5" spans="2:11" ht="22.5" customHeight="1" x14ac:dyDescent="0.25">
      <c r="B5" s="7" t="s">
        <v>2</v>
      </c>
      <c r="C5" s="12" t="s">
        <v>3</v>
      </c>
      <c r="D5" s="16">
        <v>0.58292870532744756</v>
      </c>
      <c r="E5" s="21">
        <v>0.467565311743594</v>
      </c>
      <c r="F5" s="22">
        <v>0.56898504462966248</v>
      </c>
      <c r="G5" s="22">
        <v>0.56000000000000005</v>
      </c>
      <c r="H5" s="28">
        <v>0.49</v>
      </c>
      <c r="J5" s="33">
        <f>((H5-G5)*100)/G5</f>
        <v>-12.500000000000011</v>
      </c>
    </row>
    <row r="6" spans="2:11" ht="22.5" customHeight="1" x14ac:dyDescent="0.25">
      <c r="B6" s="8" t="s">
        <v>4</v>
      </c>
      <c r="C6" s="13" t="s">
        <v>5</v>
      </c>
      <c r="D6" s="17">
        <v>0.61530562668242406</v>
      </c>
      <c r="E6" s="19">
        <v>0.69771108923041791</v>
      </c>
      <c r="F6" s="20">
        <v>0.71823512166520087</v>
      </c>
      <c r="G6" s="20">
        <v>0.78</v>
      </c>
      <c r="H6" s="29">
        <v>0.56000000000000005</v>
      </c>
      <c r="J6" s="33">
        <f t="shared" ref="J6:J29" si="0">((H6-G6)*100)/G6</f>
        <v>-28.205128205128201</v>
      </c>
    </row>
    <row r="7" spans="2:11" ht="22.5" customHeight="1" x14ac:dyDescent="0.25">
      <c r="B7" s="8" t="s">
        <v>6</v>
      </c>
      <c r="C7" s="13" t="s">
        <v>7</v>
      </c>
      <c r="D7" s="17">
        <v>0.54424601181182541</v>
      </c>
      <c r="E7" s="19">
        <v>0.57827750055037797</v>
      </c>
      <c r="F7" s="20">
        <v>0.58302622413995853</v>
      </c>
      <c r="G7" s="20">
        <v>0.6</v>
      </c>
      <c r="H7" s="29">
        <v>0.53</v>
      </c>
      <c r="J7" s="33">
        <f t="shared" si="0"/>
        <v>-11.666666666666659</v>
      </c>
    </row>
    <row r="8" spans="2:11" ht="22.5" customHeight="1" x14ac:dyDescent="0.25">
      <c r="B8" s="8" t="s">
        <v>8</v>
      </c>
      <c r="C8" s="13" t="s">
        <v>9</v>
      </c>
      <c r="D8" s="17">
        <v>0.69964697566897838</v>
      </c>
      <c r="E8" s="19">
        <v>0.58135717914134066</v>
      </c>
      <c r="F8" s="20">
        <v>0.64011690735828664</v>
      </c>
      <c r="G8" s="20">
        <v>0.63</v>
      </c>
      <c r="H8" s="29">
        <v>0.53</v>
      </c>
      <c r="J8" s="33">
        <f t="shared" si="0"/>
        <v>-15.87301587301587</v>
      </c>
    </row>
    <row r="9" spans="2:11" ht="22.5" customHeight="1" x14ac:dyDescent="0.25">
      <c r="B9" s="8" t="s">
        <v>10</v>
      </c>
      <c r="C9" s="13" t="s">
        <v>11</v>
      </c>
      <c r="D9" s="17">
        <v>0.43953444690783405</v>
      </c>
      <c r="E9" s="19">
        <v>0.42706366285764202</v>
      </c>
      <c r="F9" s="20">
        <v>0.41323725179156467</v>
      </c>
      <c r="G9" s="20">
        <v>0.39</v>
      </c>
      <c r="H9" s="29">
        <v>0.36</v>
      </c>
      <c r="J9" s="33">
        <f t="shared" si="0"/>
        <v>-7.6923076923076987</v>
      </c>
    </row>
    <row r="10" spans="2:11" ht="22.5" customHeight="1" x14ac:dyDescent="0.25">
      <c r="B10" s="8" t="s">
        <v>12</v>
      </c>
      <c r="C10" s="13" t="s">
        <v>13</v>
      </c>
      <c r="D10" s="17">
        <v>0.7925959628389917</v>
      </c>
      <c r="E10" s="19">
        <v>0.59033139534883716</v>
      </c>
      <c r="F10" s="20">
        <v>0.59029070103450265</v>
      </c>
      <c r="G10" s="20">
        <v>0.64</v>
      </c>
      <c r="H10" s="29">
        <v>0.59</v>
      </c>
      <c r="J10" s="33">
        <f t="shared" si="0"/>
        <v>-7.8125000000000071</v>
      </c>
    </row>
    <row r="11" spans="2:11" ht="22.5" customHeight="1" x14ac:dyDescent="0.25">
      <c r="B11" s="8" t="s">
        <v>14</v>
      </c>
      <c r="C11" s="13" t="s">
        <v>15</v>
      </c>
      <c r="D11" s="17">
        <v>0.85241312308574324</v>
      </c>
      <c r="E11" s="19">
        <v>0.82629182968704973</v>
      </c>
      <c r="F11" s="20">
        <v>0.71085416205680607</v>
      </c>
      <c r="G11" s="20">
        <v>0.79</v>
      </c>
      <c r="H11" s="29">
        <v>0.67</v>
      </c>
      <c r="J11" s="33">
        <f t="shared" si="0"/>
        <v>-15.189873417721518</v>
      </c>
    </row>
    <row r="12" spans="2:11" ht="22.5" customHeight="1" x14ac:dyDescent="0.25">
      <c r="B12" s="8" t="s">
        <v>16</v>
      </c>
      <c r="C12" s="13" t="s">
        <v>17</v>
      </c>
      <c r="D12" s="17">
        <v>0.75654130572575529</v>
      </c>
      <c r="E12" s="19">
        <v>0.59166995772814368</v>
      </c>
      <c r="F12" s="20">
        <v>0.60375006275205412</v>
      </c>
      <c r="G12" s="20">
        <v>0.56000000000000005</v>
      </c>
      <c r="H12" s="29">
        <v>0.43</v>
      </c>
      <c r="J12" s="33">
        <f t="shared" si="0"/>
        <v>-23.214285714285722</v>
      </c>
    </row>
    <row r="13" spans="2:11" ht="22.5" customHeight="1" x14ac:dyDescent="0.25">
      <c r="B13" s="8" t="s">
        <v>18</v>
      </c>
      <c r="C13" s="13" t="s">
        <v>19</v>
      </c>
      <c r="D13" s="17">
        <v>0.57066746712111827</v>
      </c>
      <c r="E13" s="19">
        <v>0.58136541987369694</v>
      </c>
      <c r="F13" s="20">
        <v>0.57074955222871815</v>
      </c>
      <c r="G13" s="20">
        <v>0.57074955222871815</v>
      </c>
      <c r="H13" s="29">
        <v>0.56999999999999995</v>
      </c>
      <c r="J13" s="33">
        <f t="shared" si="0"/>
        <v>-0.13132769457133581</v>
      </c>
    </row>
    <row r="14" spans="2:11" ht="22.5" customHeight="1" x14ac:dyDescent="0.25">
      <c r="B14" s="9">
        <v>10</v>
      </c>
      <c r="C14" s="13" t="s">
        <v>20</v>
      </c>
      <c r="D14" s="17">
        <v>0.40038543897216272</v>
      </c>
      <c r="E14" s="19">
        <v>0.44563739692444843</v>
      </c>
      <c r="F14" s="20">
        <v>0.28836790442169724</v>
      </c>
      <c r="G14" s="20">
        <v>0.33</v>
      </c>
      <c r="H14" s="29">
        <v>0.32</v>
      </c>
      <c r="J14" s="33">
        <f t="shared" si="0"/>
        <v>-3.0303030303030329</v>
      </c>
    </row>
    <row r="15" spans="2:11" ht="22.5" customHeight="1" x14ac:dyDescent="0.25">
      <c r="B15" s="9">
        <v>11</v>
      </c>
      <c r="C15" s="13" t="s">
        <v>21</v>
      </c>
      <c r="D15" s="17">
        <v>0.34571036376115299</v>
      </c>
      <c r="E15" s="19">
        <v>0.40764316466830242</v>
      </c>
      <c r="F15" s="20">
        <v>0.44966743586263064</v>
      </c>
      <c r="G15" s="20">
        <v>0.55000000000000004</v>
      </c>
      <c r="H15" s="29">
        <v>0.43</v>
      </c>
      <c r="J15" s="33">
        <f t="shared" si="0"/>
        <v>-21.818181818181827</v>
      </c>
    </row>
    <row r="16" spans="2:11" ht="22.5" customHeight="1" x14ac:dyDescent="0.25">
      <c r="B16" s="9">
        <v>12</v>
      </c>
      <c r="C16" s="13" t="s">
        <v>22</v>
      </c>
      <c r="D16" s="17">
        <v>0.57276885814867917</v>
      </c>
      <c r="E16" s="19">
        <v>0.60370873680859161</v>
      </c>
      <c r="F16" s="20">
        <v>0.59445581896551725</v>
      </c>
      <c r="G16" s="20">
        <v>0.63</v>
      </c>
      <c r="H16" s="29">
        <v>0.53</v>
      </c>
      <c r="J16" s="33">
        <f t="shared" si="0"/>
        <v>-15.87301587301587</v>
      </c>
    </row>
    <row r="17" spans="2:10" ht="22.5" customHeight="1" x14ac:dyDescent="0.25">
      <c r="B17" s="9">
        <v>13</v>
      </c>
      <c r="C17" s="13" t="s">
        <v>23</v>
      </c>
      <c r="D17" s="17">
        <v>9.8843068531468528E-2</v>
      </c>
      <c r="E17" s="19">
        <v>0.13283093228237425</v>
      </c>
      <c r="F17" s="20">
        <v>0.17398492301423291</v>
      </c>
      <c r="G17" s="20">
        <v>0.14000000000000001</v>
      </c>
      <c r="H17" s="29">
        <v>0.17</v>
      </c>
      <c r="J17" s="33">
        <f t="shared" si="0"/>
        <v>21.428571428571427</v>
      </c>
    </row>
    <row r="18" spans="2:10" ht="22.5" customHeight="1" x14ac:dyDescent="0.25">
      <c r="B18" s="9">
        <v>14</v>
      </c>
      <c r="C18" s="13" t="s">
        <v>24</v>
      </c>
      <c r="D18" s="17">
        <v>0.48214298341294615</v>
      </c>
      <c r="E18" s="19">
        <v>0.63593306022836227</v>
      </c>
      <c r="F18" s="20">
        <v>0.60343020054756502</v>
      </c>
      <c r="G18" s="20">
        <v>0.63</v>
      </c>
      <c r="H18" s="29">
        <v>0.49</v>
      </c>
      <c r="J18" s="33">
        <f t="shared" si="0"/>
        <v>-22.222222222222225</v>
      </c>
    </row>
    <row r="19" spans="2:10" ht="22.5" customHeight="1" x14ac:dyDescent="0.25">
      <c r="B19" s="9">
        <v>15</v>
      </c>
      <c r="C19" s="13" t="s">
        <v>25</v>
      </c>
      <c r="D19" s="17">
        <v>0.45888684376329431</v>
      </c>
      <c r="E19" s="19">
        <v>0.48723807627547816</v>
      </c>
      <c r="F19" s="20">
        <v>0.51548064494183277</v>
      </c>
      <c r="G19" s="20">
        <v>0.54</v>
      </c>
      <c r="H19" s="29">
        <v>0.49</v>
      </c>
      <c r="J19" s="33">
        <f t="shared" si="0"/>
        <v>-9.2592592592592666</v>
      </c>
    </row>
    <row r="20" spans="2:10" ht="22.5" customHeight="1" x14ac:dyDescent="0.25">
      <c r="B20" s="9">
        <v>16</v>
      </c>
      <c r="C20" s="13" t="s">
        <v>26</v>
      </c>
      <c r="D20" s="17">
        <v>0.73977195285550024</v>
      </c>
      <c r="E20" s="19">
        <v>0.78495065571890954</v>
      </c>
      <c r="F20" s="20">
        <v>0.65409627302827067</v>
      </c>
      <c r="G20" s="20">
        <v>0.8</v>
      </c>
      <c r="H20" s="29">
        <v>0.27</v>
      </c>
      <c r="J20" s="33">
        <f t="shared" si="0"/>
        <v>-66.25</v>
      </c>
    </row>
    <row r="21" spans="2:10" ht="22.5" customHeight="1" x14ac:dyDescent="0.25">
      <c r="B21" s="9">
        <v>17</v>
      </c>
      <c r="C21" s="13" t="s">
        <v>27</v>
      </c>
      <c r="D21" s="17">
        <v>0.75654130572575529</v>
      </c>
      <c r="E21" s="19">
        <v>0.67020570058112716</v>
      </c>
      <c r="F21" s="20">
        <v>0.66687657898647645</v>
      </c>
      <c r="G21" s="20">
        <v>0.71</v>
      </c>
      <c r="H21" s="29">
        <v>0.63</v>
      </c>
      <c r="J21" s="33">
        <f t="shared" si="0"/>
        <v>-11.267605633802813</v>
      </c>
    </row>
    <row r="22" spans="2:10" ht="22.5" customHeight="1" x14ac:dyDescent="0.25">
      <c r="B22" s="9">
        <v>18</v>
      </c>
      <c r="C22" s="13" t="s">
        <v>28</v>
      </c>
      <c r="D22" s="17">
        <v>0.99569628322863946</v>
      </c>
      <c r="E22" s="19">
        <v>0.97022838545351631</v>
      </c>
      <c r="F22" s="20">
        <v>1.0612536092536324</v>
      </c>
      <c r="G22" s="20">
        <v>1.07</v>
      </c>
      <c r="H22" s="29">
        <v>0.84</v>
      </c>
      <c r="J22" s="33">
        <f t="shared" si="0"/>
        <v>-21.495327102803746</v>
      </c>
    </row>
    <row r="23" spans="2:10" ht="22.5" customHeight="1" x14ac:dyDescent="0.25">
      <c r="B23" s="9">
        <v>19</v>
      </c>
      <c r="C23" s="13" t="s">
        <v>29</v>
      </c>
      <c r="D23" s="17">
        <v>0.78323720116154183</v>
      </c>
      <c r="E23" s="19">
        <v>0.79283479815283775</v>
      </c>
      <c r="F23" s="20">
        <v>0.89055290529443965</v>
      </c>
      <c r="G23" s="20">
        <v>0.9</v>
      </c>
      <c r="H23" s="29">
        <v>0.64</v>
      </c>
      <c r="J23" s="33">
        <f t="shared" si="0"/>
        <v>-28.888888888888889</v>
      </c>
    </row>
    <row r="24" spans="2:10" ht="22.5" customHeight="1" x14ac:dyDescent="0.25">
      <c r="B24" s="9">
        <v>20</v>
      </c>
      <c r="C24" s="13" t="s">
        <v>30</v>
      </c>
      <c r="D24" s="17">
        <v>0.8383026267275957</v>
      </c>
      <c r="E24" s="19">
        <v>0.85561571301266237</v>
      </c>
      <c r="F24" s="20">
        <v>0.85076164578515334</v>
      </c>
      <c r="G24" s="20">
        <v>0.84</v>
      </c>
      <c r="H24" s="29">
        <v>0.75</v>
      </c>
      <c r="J24" s="33">
        <f t="shared" si="0"/>
        <v>-10.71428571428571</v>
      </c>
    </row>
    <row r="25" spans="2:10" ht="22.5" customHeight="1" x14ac:dyDescent="0.25">
      <c r="B25" s="9">
        <v>21</v>
      </c>
      <c r="C25" s="13" t="s">
        <v>31</v>
      </c>
      <c r="D25" s="17">
        <v>0.64</v>
      </c>
      <c r="E25" s="19">
        <v>0.82969359535240472</v>
      </c>
      <c r="F25" s="20">
        <v>0.85351868015707821</v>
      </c>
      <c r="G25" s="20">
        <v>0.79</v>
      </c>
      <c r="H25" s="29">
        <v>0.64</v>
      </c>
      <c r="J25" s="33">
        <f t="shared" si="0"/>
        <v>-18.9873417721519</v>
      </c>
    </row>
    <row r="26" spans="2:10" ht="22.5" customHeight="1" x14ac:dyDescent="0.25">
      <c r="B26" s="9">
        <v>22</v>
      </c>
      <c r="C26" s="13" t="s">
        <v>32</v>
      </c>
      <c r="D26" s="17">
        <v>0.1</v>
      </c>
      <c r="E26" s="19">
        <v>7.6404494382022473E-2</v>
      </c>
      <c r="F26" s="20">
        <v>0</v>
      </c>
      <c r="G26" s="20">
        <v>0</v>
      </c>
      <c r="H26" s="29">
        <v>0.25</v>
      </c>
      <c r="J26" s="33" t="e">
        <f t="shared" si="0"/>
        <v>#DIV/0!</v>
      </c>
    </row>
    <row r="27" spans="2:10" ht="22.5" customHeight="1" x14ac:dyDescent="0.25">
      <c r="B27" s="9">
        <v>23</v>
      </c>
      <c r="C27" s="13" t="s">
        <v>33</v>
      </c>
      <c r="D27" s="17">
        <v>0.39819819819819818</v>
      </c>
      <c r="E27" s="19">
        <v>0</v>
      </c>
      <c r="F27" s="20">
        <v>0.37392178770949719</v>
      </c>
      <c r="G27" s="20">
        <v>0.17</v>
      </c>
      <c r="H27" s="29">
        <v>0.3</v>
      </c>
      <c r="J27" s="33">
        <f t="shared" si="0"/>
        <v>76.470588235294102</v>
      </c>
    </row>
    <row r="28" spans="2:10" ht="22.5" customHeight="1" x14ac:dyDescent="0.25">
      <c r="B28" s="9">
        <v>24</v>
      </c>
      <c r="C28" s="13" t="s">
        <v>34</v>
      </c>
      <c r="D28" s="17">
        <v>0.56347255765496995</v>
      </c>
      <c r="E28" s="19">
        <v>0.61699795451810857</v>
      </c>
      <c r="F28" s="20">
        <v>0.66507343911185346</v>
      </c>
      <c r="G28" s="20">
        <v>0.65</v>
      </c>
      <c r="H28" s="29">
        <v>0.61</v>
      </c>
      <c r="J28" s="33">
        <f t="shared" si="0"/>
        <v>-6.1538461538461595</v>
      </c>
    </row>
    <row r="29" spans="2:10" ht="22.5" customHeight="1" thickBot="1" x14ac:dyDescent="0.3">
      <c r="B29" s="10">
        <v>25</v>
      </c>
      <c r="C29" s="14" t="s">
        <v>35</v>
      </c>
      <c r="D29" s="18">
        <v>0.20970790956646684</v>
      </c>
      <c r="E29" s="23">
        <v>0.24103897354420933</v>
      </c>
      <c r="F29" s="24">
        <v>0.23501717518690646</v>
      </c>
      <c r="G29" s="24">
        <v>0.33</v>
      </c>
      <c r="H29" s="30">
        <v>0.31</v>
      </c>
      <c r="J29" s="33">
        <f t="shared" si="0"/>
        <v>-6.0606060606060659</v>
      </c>
    </row>
    <row r="31" spans="2:10" ht="21" customHeight="1" x14ac:dyDescent="0.25">
      <c r="B31" s="11" t="s">
        <v>36</v>
      </c>
    </row>
    <row r="32" spans="2:10" ht="78.75" customHeight="1" x14ac:dyDescent="0.25">
      <c r="B32" s="34" t="s">
        <v>39</v>
      </c>
      <c r="C32" s="35"/>
      <c r="D32" s="35"/>
      <c r="E32" s="35"/>
      <c r="F32" s="35"/>
      <c r="G32" s="35"/>
      <c r="H32" s="35"/>
    </row>
    <row r="37" spans="3:9" ht="15" customHeight="1" x14ac:dyDescent="0.25">
      <c r="C37" s="3"/>
      <c r="D37" s="3"/>
      <c r="E37" s="3"/>
      <c r="F37" s="3"/>
      <c r="G37" s="3"/>
      <c r="H37" s="26"/>
      <c r="I37" s="4"/>
    </row>
    <row r="38" spans="3:9" x14ac:dyDescent="0.25">
      <c r="C38" s="2"/>
      <c r="D38" s="2"/>
      <c r="E38" s="2"/>
      <c r="F38" s="2"/>
      <c r="G38" s="2"/>
      <c r="H38" s="27"/>
    </row>
  </sheetData>
  <mergeCells count="5">
    <mergeCell ref="B32:H32"/>
    <mergeCell ref="B2:H2"/>
    <mergeCell ref="B3:B4"/>
    <mergeCell ref="C3:C4"/>
    <mergeCell ref="D3:H3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2.12.Tablo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2024-10-31T13:15:19Z</dcterms:modified>
</cp:coreProperties>
</file>