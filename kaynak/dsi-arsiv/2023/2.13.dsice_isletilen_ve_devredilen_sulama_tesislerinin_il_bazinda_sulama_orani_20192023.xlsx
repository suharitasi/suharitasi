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F6BE7345-6627-4972-AFD0-36AF83DF5F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.13.Tabl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5" i="1"/>
</calcChain>
</file>

<file path=xl/sharedStrings.xml><?xml version="1.0" encoding="utf-8"?>
<sst xmlns="http://schemas.openxmlformats.org/spreadsheetml/2006/main" count="173" uniqueCount="173">
  <si>
    <t>Havza Adı</t>
  </si>
  <si>
    <t>Sulama Oranı Değişimi</t>
  </si>
  <si>
    <t xml:space="preserve">Sulama Oranı                                </t>
  </si>
  <si>
    <t>İli</t>
  </si>
  <si>
    <t>IBBS(1) - 3. Düzey</t>
  </si>
  <si>
    <t>TR</t>
  </si>
  <si>
    <t>TR100</t>
  </si>
  <si>
    <t>İstanbul</t>
  </si>
  <si>
    <t>TR211</t>
  </si>
  <si>
    <t>Tekirdağ</t>
  </si>
  <si>
    <t>TR212</t>
  </si>
  <si>
    <t>Edirne</t>
  </si>
  <si>
    <t>TR213</t>
  </si>
  <si>
    <t>Kırklareli</t>
  </si>
  <si>
    <t>TR221</t>
  </si>
  <si>
    <t>Balıkesir</t>
  </si>
  <si>
    <t>TR222</t>
  </si>
  <si>
    <t>Çanakkale</t>
  </si>
  <si>
    <t>TR310</t>
  </si>
  <si>
    <t>İzmir</t>
  </si>
  <si>
    <t>TR321</t>
  </si>
  <si>
    <t>Aydın</t>
  </si>
  <si>
    <t>TR322</t>
  </si>
  <si>
    <t>Denizli</t>
  </si>
  <si>
    <t>TR323</t>
  </si>
  <si>
    <t>Muğla</t>
  </si>
  <si>
    <t>TR331</t>
  </si>
  <si>
    <t>Manisa</t>
  </si>
  <si>
    <t>TR332</t>
  </si>
  <si>
    <t>Afyonkarahisar</t>
  </si>
  <si>
    <t>TR333</t>
  </si>
  <si>
    <t>Kütahya</t>
  </si>
  <si>
    <t>TR334</t>
  </si>
  <si>
    <t>Uşak</t>
  </si>
  <si>
    <t>TR411</t>
  </si>
  <si>
    <t>Bursa</t>
  </si>
  <si>
    <t>TR412</t>
  </si>
  <si>
    <t>Eskişehir</t>
  </si>
  <si>
    <t>TR413</t>
  </si>
  <si>
    <t>Bilecik</t>
  </si>
  <si>
    <t>TR421</t>
  </si>
  <si>
    <t>Kocaeli</t>
  </si>
  <si>
    <t>TR422</t>
  </si>
  <si>
    <t>Sakarya</t>
  </si>
  <si>
    <t>TR423</t>
  </si>
  <si>
    <t>Düzce</t>
  </si>
  <si>
    <t>TR424</t>
  </si>
  <si>
    <t>Bolu</t>
  </si>
  <si>
    <t>TR425</t>
  </si>
  <si>
    <t>Yalova</t>
  </si>
  <si>
    <t>TR510</t>
  </si>
  <si>
    <t>Ankara</t>
  </si>
  <si>
    <t>TR521</t>
  </si>
  <si>
    <t>Konya</t>
  </si>
  <si>
    <t>TR522</t>
  </si>
  <si>
    <t>Karaman</t>
  </si>
  <si>
    <t>TR611</t>
  </si>
  <si>
    <t>Antalya</t>
  </si>
  <si>
    <t>TR612</t>
  </si>
  <si>
    <t>Isparta</t>
  </si>
  <si>
    <t>TR613</t>
  </si>
  <si>
    <t>Burdur</t>
  </si>
  <si>
    <t>TR621</t>
  </si>
  <si>
    <t>Adana</t>
  </si>
  <si>
    <t>TR622</t>
  </si>
  <si>
    <t>Mersin</t>
  </si>
  <si>
    <t>TR631</t>
  </si>
  <si>
    <t>Hatay</t>
  </si>
  <si>
    <t>TR632</t>
  </si>
  <si>
    <t>Kahramanmaraş</t>
  </si>
  <si>
    <t>TR633</t>
  </si>
  <si>
    <t>Osmaniye</t>
  </si>
  <si>
    <t>TR711</t>
  </si>
  <si>
    <t>Kırıkkale</t>
  </si>
  <si>
    <t>TR712</t>
  </si>
  <si>
    <t>Aksaray</t>
  </si>
  <si>
    <t>TR713</t>
  </si>
  <si>
    <t>Niğde</t>
  </si>
  <si>
    <t>TR714</t>
  </si>
  <si>
    <t>Nevşehir</t>
  </si>
  <si>
    <t>TR715</t>
  </si>
  <si>
    <t>Kırşehir</t>
  </si>
  <si>
    <t>TR721</t>
  </si>
  <si>
    <t>Kayseri</t>
  </si>
  <si>
    <t>TR722</t>
  </si>
  <si>
    <t>Sivas</t>
  </si>
  <si>
    <t>TR723</t>
  </si>
  <si>
    <t>Yozgat</t>
  </si>
  <si>
    <t>TR811</t>
  </si>
  <si>
    <t>Zonguldak</t>
  </si>
  <si>
    <t>TR812</t>
  </si>
  <si>
    <t>Karabük</t>
  </si>
  <si>
    <t>TR813</t>
  </si>
  <si>
    <t>Bartın</t>
  </si>
  <si>
    <t>TR821</t>
  </si>
  <si>
    <t>Kastamonu</t>
  </si>
  <si>
    <t>TR822</t>
  </si>
  <si>
    <t>Çankırı</t>
  </si>
  <si>
    <t>TR823</t>
  </si>
  <si>
    <t>Sinop</t>
  </si>
  <si>
    <t>TR831</t>
  </si>
  <si>
    <t>Samsun</t>
  </si>
  <si>
    <t>TR832</t>
  </si>
  <si>
    <t>Tokat</t>
  </si>
  <si>
    <t>TR833</t>
  </si>
  <si>
    <t>Çorum</t>
  </si>
  <si>
    <t>TR834</t>
  </si>
  <si>
    <t>Amasya</t>
  </si>
  <si>
    <t>TR901</t>
  </si>
  <si>
    <t>Trabzon</t>
  </si>
  <si>
    <t>TR902</t>
  </si>
  <si>
    <t>Ordu</t>
  </si>
  <si>
    <t>TR903</t>
  </si>
  <si>
    <t>Giresun</t>
  </si>
  <si>
    <t>TR904</t>
  </si>
  <si>
    <t>Rize</t>
  </si>
  <si>
    <t>TR905</t>
  </si>
  <si>
    <t>Artvin</t>
  </si>
  <si>
    <t>TR906</t>
  </si>
  <si>
    <t>Gümüşhane</t>
  </si>
  <si>
    <t>TRA11</t>
  </si>
  <si>
    <t>Erzurum</t>
  </si>
  <si>
    <t>TRA12</t>
  </si>
  <si>
    <t>Erzincan</t>
  </si>
  <si>
    <t>TRA13</t>
  </si>
  <si>
    <t>Bayburt</t>
  </si>
  <si>
    <t>TRA21</t>
  </si>
  <si>
    <t>Ağrı</t>
  </si>
  <si>
    <t>TRA22</t>
  </si>
  <si>
    <t>Kars</t>
  </si>
  <si>
    <t>TRA23</t>
  </si>
  <si>
    <t>Iğdır</t>
  </si>
  <si>
    <t>TRA24</t>
  </si>
  <si>
    <t>Ardahan</t>
  </si>
  <si>
    <t>TRB11</t>
  </si>
  <si>
    <t>Malatya</t>
  </si>
  <si>
    <t>TRB12</t>
  </si>
  <si>
    <t>Elazığ</t>
  </si>
  <si>
    <t>TRB13</t>
  </si>
  <si>
    <t>Bingöl</t>
  </si>
  <si>
    <t>TRB14</t>
  </si>
  <si>
    <t>Tunceli</t>
  </si>
  <si>
    <t>TRB21</t>
  </si>
  <si>
    <t>Van</t>
  </si>
  <si>
    <t>TRB22</t>
  </si>
  <si>
    <t>Muş</t>
  </si>
  <si>
    <t>TRB23</t>
  </si>
  <si>
    <t>Bitlis</t>
  </si>
  <si>
    <t>TRB24</t>
  </si>
  <si>
    <t>Hakkari</t>
  </si>
  <si>
    <t>TRC11</t>
  </si>
  <si>
    <t>Gaziantep</t>
  </si>
  <si>
    <t>TRC12</t>
  </si>
  <si>
    <t>Adıyaman</t>
  </si>
  <si>
    <t>TRC13</t>
  </si>
  <si>
    <t>Kilis</t>
  </si>
  <si>
    <t>TRC21</t>
  </si>
  <si>
    <t>Şanlıurfa</t>
  </si>
  <si>
    <t>TRC22</t>
  </si>
  <si>
    <t>Diyarbakır</t>
  </si>
  <si>
    <t>TRC31</t>
  </si>
  <si>
    <t>Mardin</t>
  </si>
  <si>
    <t>TRC32</t>
  </si>
  <si>
    <t>Batman</t>
  </si>
  <si>
    <t>TRC33</t>
  </si>
  <si>
    <t>Şırnak</t>
  </si>
  <si>
    <t>TRC34</t>
  </si>
  <si>
    <t>Siirt</t>
  </si>
  <si>
    <t>(1) İstatistiki Bölge Birimleri Sınıflaması.</t>
  </si>
  <si>
    <t xml:space="preserve">İBBS(1) - 3. Düzey         </t>
  </si>
  <si>
    <t xml:space="preserve"> </t>
  </si>
  <si>
    <r>
      <rPr>
        <b/>
        <sz val="11"/>
        <color theme="1"/>
        <rFont val="Calibri"/>
        <family val="2"/>
        <charset val="162"/>
        <scheme val="minor"/>
      </rPr>
      <t xml:space="preserve">NOT: </t>
    </r>
    <r>
      <rPr>
        <sz val="11"/>
        <color theme="1"/>
        <rFont val="Calibri"/>
        <family val="2"/>
        <scheme val="minor"/>
      </rPr>
      <t>Tabloda belirtilen oranlar DSİ ce işletilmiş ve devredilmiş sulamalara ait verilerdir.
Sulama Oranı Mevisimsel yağışlara göre gölet,baraj ve depolama tesislerinin su doluluk oranına göre değişkenlik gösterebilmektedir. 
Sulama Oranı= Sulanan Alan (Sulama Sahası İçi + Sulama Sahası Dışı) / Sulama Alanı   olarak tanımlanmıştır.</t>
    </r>
  </si>
  <si>
    <t>2.13.DSİ'ce İşletilen ve Devredilen Sulama Tesislerinin İl Bazında Sulama Oranı, 2019-2023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</si>
</sst>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[Red]#,##0.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name val="Times New Roman"/>
      <family val="1"/>
      <charset val="162"/>
    </font>
    <font>
      <sz val="12"/>
      <color theme="1"/>
      <name val="Times New Roman"/>
      <family val="1"/>
      <charset val="162"/>
    </font>
    <font>
      <b/>
      <sz val="12"/>
      <color theme="1"/>
      <name val="Times New Roman"/>
      <family val="1"/>
      <charset val="162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45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/>
    <xf numFmtId="164" fontId="4" fillId="2" borderId="0" xfId="0" applyNumberFormat="1" applyFont="1" applyFill="1" applyBorder="1" applyAlignment="1">
      <alignment vertical="center"/>
    </xf>
    <xf numFmtId="0" fontId="4" fillId="2" borderId="5" xfId="0" applyFont="1" applyFill="1" applyBorder="1" applyAlignment="1">
      <alignment horizontal="center" vertical="center" wrapText="1"/>
    </xf>
    <xf numFmtId="0" fontId="6" fillId="3" borderId="6" xfId="0" quotePrefix="1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3" borderId="6" xfId="0" applyFont="1" applyFill="1" applyBorder="1" applyAlignment="1">
      <alignment vertical="center"/>
    </xf>
    <xf numFmtId="0" fontId="5" fillId="3" borderId="7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right" vertical="center"/>
    </xf>
    <xf numFmtId="2" fontId="0" fillId="0" borderId="8" xfId="0" applyNumberFormat="1" applyBorder="1"/>
    <xf numFmtId="2" fontId="0" fillId="0" borderId="9" xfId="0" applyNumberFormat="1" applyBorder="1"/>
    <xf numFmtId="2" fontId="0" fillId="0" borderId="10" xfId="0" applyNumberFormat="1" applyBorder="1"/>
    <xf numFmtId="0" fontId="6" fillId="3" borderId="11" xfId="0" quotePrefix="1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vertical="center"/>
    </xf>
    <xf numFmtId="0" fontId="7" fillId="0" borderId="0" xfId="0" applyFont="1"/>
    <xf numFmtId="0" fontId="7" fillId="0" borderId="0" xfId="0" applyFont="1" applyBorder="1" applyAlignment="1">
      <alignment wrapText="1"/>
    </xf>
    <xf numFmtId="0" fontId="7" fillId="0" borderId="0" xfId="0" applyFont="1" applyAlignment="1">
      <alignment wrapText="1"/>
    </xf>
    <xf numFmtId="2" fontId="0" fillId="0" borderId="12" xfId="0" applyNumberFormat="1" applyBorder="1"/>
    <xf numFmtId="2" fontId="7" fillId="0" borderId="12" xfId="0" applyNumberFormat="1" applyFont="1" applyBorder="1"/>
    <xf numFmtId="2" fontId="0" fillId="0" borderId="13" xfId="0" applyNumberFormat="1" applyBorder="1"/>
    <xf numFmtId="2" fontId="7" fillId="0" borderId="13" xfId="0" applyNumberFormat="1" applyFont="1" applyBorder="1"/>
    <xf numFmtId="2" fontId="0" fillId="0" borderId="14" xfId="0" applyNumberFormat="1" applyBorder="1"/>
    <xf numFmtId="2" fontId="7" fillId="0" borderId="14" xfId="0" applyNumberFormat="1" applyFont="1" applyBorder="1"/>
    <xf numFmtId="0" fontId="4" fillId="2" borderId="1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164" fontId="4" fillId="2" borderId="1" xfId="0" applyNumberFormat="1" applyFont="1" applyFill="1" applyBorder="1" applyAlignment="1">
      <alignment horizontal="left" vertical="center" wrapText="1"/>
    </xf>
    <xf numFmtId="164" fontId="4" fillId="2" borderId="2" xfId="0" applyNumberFormat="1" applyFont="1" applyFill="1" applyBorder="1" applyAlignment="1">
      <alignment horizontal="left" vertical="center" wrapText="1"/>
    </xf>
    <xf numFmtId="164" fontId="4" fillId="2" borderId="3" xfId="0" applyNumberFormat="1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2" fontId="7" fillId="0" borderId="15" xfId="0" applyNumberFormat="1" applyFont="1" applyBorder="1"/>
    <xf numFmtId="2" fontId="7" fillId="0" borderId="16" xfId="0" applyNumberFormat="1" applyFont="1" applyBorder="1"/>
    <xf numFmtId="2" fontId="7" fillId="0" borderId="17" xfId="0" applyNumberFormat="1" applyFont="1" applyBorder="1"/>
    <xf numFmtId="0" fontId="8" fillId="2" borderId="0" xfId="0" applyFont="1" applyFill="1"/>
    <xf numFmtId="0" fontId="8" fillId="0" borderId="0" xfId="0" applyFont="1"/>
    <xf numFmtId="165" fontId="8" fillId="0" borderId="0" xfId="0" applyNumberFormat="1" applyFont="1"/>
    <xf numFmtId="0" fontId="4" fillId="2" borderId="18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.xml"/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tr-TR"/>
              <a:t>2.13.DSİ'ce İşletilen ve Devredilen Sulama Tesislerinin Sulama Oranı Değişimi, (%), 2022-2023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865836618312901E-2"/>
          <c:y val="0.16597051093175128"/>
          <c:w val="0.8847702969713056"/>
          <c:h val="0.603115595439997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'2.13.Tablo'!$J$4</c:f>
              <c:strCache>
                <c:ptCount val="1"/>
                <c:pt idx="0">
                  <c:v>Sulama Oranı Değişimi</c:v>
                </c:pt>
              </c:strCache>
            </c:strRef>
          </c:tx>
          <c:invertIfNegative val="0"/>
          <c:dLbls>
            <c:dLbl>
              <c:idx val="1"/>
              <c:layout>
                <c:manualLayout>
                  <c:x val="3.4532942677752176E-4"/>
                  <c:y val="0.150169179884942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2AC-416F-BE1A-435F130C772A}"/>
                </c:ext>
              </c:extLst>
            </c:dLbl>
            <c:dLbl>
              <c:idx val="3"/>
              <c:layout>
                <c:manualLayout>
                  <c:x val="0"/>
                  <c:y val="6.33529431979044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2AC-416F-BE1A-435F130C772A}"/>
                </c:ext>
              </c:extLst>
            </c:dLbl>
            <c:dLbl>
              <c:idx val="4"/>
              <c:layout>
                <c:manualLayout>
                  <c:x val="4.6194267116858291E-4"/>
                  <c:y val="7.27381127897924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7B0-41CC-BF67-E51E5F88ACFF}"/>
                </c:ext>
              </c:extLst>
            </c:dLbl>
            <c:dLbl>
              <c:idx val="5"/>
              <c:layout>
                <c:manualLayout>
                  <c:x val="4.6194267116858291E-4"/>
                  <c:y val="7.50843128104110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7B0-41CC-BF67-E51E5F88ACFF}"/>
                </c:ext>
              </c:extLst>
            </c:dLbl>
            <c:dLbl>
              <c:idx val="7"/>
              <c:layout>
                <c:manualLayout>
                  <c:x val="-4.6194267116859988E-4"/>
                  <c:y val="5.86596193831335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7B0-41CC-BF67-E51E5F88ACFF}"/>
                </c:ext>
              </c:extLst>
            </c:dLbl>
            <c:dLbl>
              <c:idx val="8"/>
              <c:layout>
                <c:manualLayout>
                  <c:x val="0"/>
                  <c:y val="4.92742650365390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847-4435-8145-BCE1B74814AE}"/>
                </c:ext>
              </c:extLst>
            </c:dLbl>
            <c:dLbl>
              <c:idx val="9"/>
              <c:layout>
                <c:manualLayout>
                  <c:x val="0"/>
                  <c:y val="5.86598041378403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7B0-41CC-BF67-E51E5F88ACFF}"/>
                </c:ext>
              </c:extLst>
            </c:dLbl>
            <c:dLbl>
              <c:idx val="11"/>
              <c:layout>
                <c:manualLayout>
                  <c:x val="-4.6194267116858291E-4"/>
                  <c:y val="8.21234671363870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7B0-41CC-BF67-E51E5F88ACFF}"/>
                </c:ext>
              </c:extLst>
            </c:dLbl>
            <c:dLbl>
              <c:idx val="12"/>
              <c:layout>
                <c:manualLayout>
                  <c:x val="0"/>
                  <c:y val="7.74306975857363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7B0-41CC-BF67-E51E5F88ACFF}"/>
                </c:ext>
              </c:extLst>
            </c:dLbl>
            <c:dLbl>
              <c:idx val="13"/>
              <c:layout>
                <c:manualLayout>
                  <c:x val="-4.6194267116861679E-4"/>
                  <c:y val="5.39668498324829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7B0-41CC-BF67-E51E5F88ACFF}"/>
                </c:ext>
              </c:extLst>
            </c:dLbl>
            <c:dLbl>
              <c:idx val="15"/>
              <c:layout>
                <c:manualLayout>
                  <c:x val="-3.3875404554131967E-17"/>
                  <c:y val="6.56989584638164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7B0-41CC-BF67-E51E5F88ACFF}"/>
                </c:ext>
              </c:extLst>
            </c:dLbl>
            <c:dLbl>
              <c:idx val="16"/>
              <c:layout>
                <c:manualLayout>
                  <c:x val="-1.4385694995843902E-4"/>
                  <c:y val="4.69280650159203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92AC-416F-BE1A-435F130C772A}"/>
                </c:ext>
              </c:extLst>
            </c:dLbl>
            <c:dLbl>
              <c:idx val="17"/>
              <c:layout>
                <c:manualLayout>
                  <c:x val="-1.0453726275106697E-3"/>
                  <c:y val="6.10065584225790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92AC-416F-BE1A-435F130C772A}"/>
                </c:ext>
              </c:extLst>
            </c:dLbl>
            <c:dLbl>
              <c:idx val="18"/>
              <c:layout>
                <c:manualLayout>
                  <c:x val="-3.3875404554131967E-17"/>
                  <c:y val="0.1525150103961472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7B0-41CC-BF67-E51E5F88ACFF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7B0-41CC-BF67-E51E5F88ACFF}"/>
                </c:ext>
              </c:extLst>
            </c:dLbl>
            <c:dLbl>
              <c:idx val="23"/>
              <c:layout>
                <c:manualLayout>
                  <c:x val="0"/>
                  <c:y val="9.62021452977525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7B0-41CC-BF67-E51E5F88ACFF}"/>
                </c:ext>
              </c:extLst>
            </c:dLbl>
            <c:dLbl>
              <c:idx val="24"/>
              <c:layout>
                <c:manualLayout>
                  <c:x val="7.194666169853992E-5"/>
                  <c:y val="7.74308823404429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47-4435-8145-BCE1B74814AE}"/>
                </c:ext>
              </c:extLst>
            </c:dLbl>
            <c:dLbl>
              <c:idx val="25"/>
              <c:layout>
                <c:manualLayout>
                  <c:x val="0"/>
                  <c:y val="4.45813107311816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7B0-41CC-BF67-E51E5F88ACFF}"/>
                </c:ext>
              </c:extLst>
            </c:dLbl>
            <c:dLbl>
              <c:idx val="26"/>
              <c:layout>
                <c:manualLayout>
                  <c:x val="-9.2388534233716583E-4"/>
                  <c:y val="5.86596193831335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7B0-41CC-BF67-E51E5F88ACFF}"/>
                </c:ext>
              </c:extLst>
            </c:dLbl>
            <c:dLbl>
              <c:idx val="27"/>
              <c:layout>
                <c:manualLayout>
                  <c:x val="0"/>
                  <c:y val="5.63132346078083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7B0-41CC-BF67-E51E5F88ACFF}"/>
                </c:ext>
              </c:extLst>
            </c:dLbl>
            <c:dLbl>
              <c:idx val="28"/>
              <c:layout>
                <c:manualLayout>
                  <c:x val="0"/>
                  <c:y val="5.63132346078082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7B0-41CC-BF67-E51E5F88ACFF}"/>
                </c:ext>
              </c:extLst>
            </c:dLbl>
            <c:dLbl>
              <c:idx val="30"/>
              <c:layout>
                <c:manualLayout>
                  <c:x val="-4.6194267116865068E-4"/>
                  <c:y val="7.74308823404430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7B0-41CC-BF67-E51E5F88ACFF}"/>
                </c:ext>
              </c:extLst>
            </c:dLbl>
            <c:dLbl>
              <c:idx val="31"/>
              <c:layout>
                <c:manualLayout>
                  <c:x val="-1.2367696618168628E-3"/>
                  <c:y val="5.63134193625149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47-4435-8145-BCE1B74814AE}"/>
                </c:ext>
              </c:extLst>
            </c:dLbl>
            <c:dLbl>
              <c:idx val="33"/>
              <c:layout>
                <c:manualLayout>
                  <c:x val="-6.7750809108263935E-17"/>
                  <c:y val="6.10060041584590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7B0-41CC-BF67-E51E5F88ACFF}"/>
                </c:ext>
              </c:extLst>
            </c:dLbl>
            <c:dLbl>
              <c:idx val="35"/>
              <c:layout>
                <c:manualLayout>
                  <c:x val="-9.2388534233716583E-4"/>
                  <c:y val="8.44698519117124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7B0-41CC-BF67-E51E5F88ACFF}"/>
                </c:ext>
              </c:extLst>
            </c:dLbl>
            <c:dLbl>
              <c:idx val="38"/>
              <c:layout>
                <c:manualLayout>
                  <c:x val="-4.6194267116858291E-4"/>
                  <c:y val="5.39670345871896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7B0-41CC-BF67-E51E5F88ACFF}"/>
                </c:ext>
              </c:extLst>
            </c:dLbl>
            <c:dLbl>
              <c:idx val="39"/>
              <c:layout>
                <c:manualLayout>
                  <c:x val="-4.6194267116858291E-4"/>
                  <c:y val="9.38555757677204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7B0-41CC-BF67-E51E5F88ACFF}"/>
                </c:ext>
              </c:extLst>
            </c:dLbl>
            <c:dLbl>
              <c:idx val="40"/>
              <c:layout>
                <c:manualLayout>
                  <c:x val="-9.2388534233723359E-4"/>
                  <c:y val="5.86596193831335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77B0-41CC-BF67-E51E5F88ACFF}"/>
                </c:ext>
              </c:extLst>
            </c:dLbl>
            <c:dLbl>
              <c:idx val="4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77B0-41CC-BF67-E51E5F88ACFF}"/>
                </c:ext>
              </c:extLst>
            </c:dLbl>
            <c:dLbl>
              <c:idx val="4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7B0-41CC-BF67-E51E5F88ACFF}"/>
                </c:ext>
              </c:extLst>
            </c:dLbl>
            <c:dLbl>
              <c:idx val="4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77B0-41CC-BF67-E51E5F88ACFF}"/>
                </c:ext>
              </c:extLst>
            </c:dLbl>
            <c:dLbl>
              <c:idx val="47"/>
              <c:layout>
                <c:manualLayout>
                  <c:x val="6.7750809108263935E-17"/>
                  <c:y val="5.39668498324829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77B0-41CC-BF67-E51E5F88ACFF}"/>
                </c:ext>
              </c:extLst>
            </c:dLbl>
            <c:dLbl>
              <c:idx val="48"/>
              <c:layout>
                <c:manualLayout>
                  <c:x val="0"/>
                  <c:y val="5.86598041378403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77B0-41CC-BF67-E51E5F88ACFF}"/>
                </c:ext>
              </c:extLst>
            </c:dLbl>
            <c:dLbl>
              <c:idx val="50"/>
              <c:layout>
                <c:manualLayout>
                  <c:x val="-4.6194267116858291E-4"/>
                  <c:y val="7.03917280144670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77B0-41CC-BF67-E51E5F88ACFF}"/>
                </c:ext>
              </c:extLst>
            </c:dLbl>
            <c:dLbl>
              <c:idx val="5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77B0-41CC-BF67-E51E5F88ACFF}"/>
                </c:ext>
              </c:extLst>
            </c:dLbl>
            <c:dLbl>
              <c:idx val="5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77B0-41CC-BF67-E51E5F88ACFF}"/>
                </c:ext>
              </c:extLst>
            </c:dLbl>
            <c:dLbl>
              <c:idx val="5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77B0-41CC-BF67-E51E5F88ACFF}"/>
                </c:ext>
              </c:extLst>
            </c:dLbl>
            <c:dLbl>
              <c:idx val="5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77B0-41CC-BF67-E51E5F88ACFF}"/>
                </c:ext>
              </c:extLst>
            </c:dLbl>
            <c:dLbl>
              <c:idx val="5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77B0-41CC-BF67-E51E5F88ACFF}"/>
                </c:ext>
              </c:extLst>
            </c:dLbl>
            <c:dLbl>
              <c:idx val="56"/>
              <c:layout>
                <c:manualLayout>
                  <c:x val="-1.3550161821652787E-16"/>
                  <c:y val="0.1337443017029580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847-4435-8145-BCE1B74814AE}"/>
                </c:ext>
              </c:extLst>
            </c:dLbl>
            <c:dLbl>
              <c:idx val="57"/>
              <c:layout>
                <c:manualLayout>
                  <c:x val="0"/>
                  <c:y val="6.33525736884909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77B0-41CC-BF67-E51E5F88ACFF}"/>
                </c:ext>
              </c:extLst>
            </c:dLbl>
            <c:dLbl>
              <c:idx val="59"/>
              <c:layout>
                <c:manualLayout>
                  <c:x val="-5.2868793113664198E-4"/>
                  <c:y val="4.692954305357362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566-40E2-B8A1-E4B00724B54F}"/>
                </c:ext>
              </c:extLst>
            </c:dLbl>
            <c:dLbl>
              <c:idx val="60"/>
              <c:layout>
                <c:manualLayout>
                  <c:x val="-1.4528927173867729E-16"/>
                  <c:y val="4.693139060064124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92AC-416F-BE1A-435F130C772A}"/>
                </c:ext>
              </c:extLst>
            </c:dLbl>
            <c:dLbl>
              <c:idx val="62"/>
              <c:layout>
                <c:manualLayout>
                  <c:x val="0"/>
                  <c:y val="5.39668498324829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77B0-41CC-BF67-E51E5F88ACFF}"/>
                </c:ext>
              </c:extLst>
            </c:dLbl>
            <c:dLbl>
              <c:idx val="6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77B0-41CC-BF67-E51E5F88ACFF}"/>
                </c:ext>
              </c:extLst>
            </c:dLbl>
            <c:dLbl>
              <c:idx val="65"/>
              <c:layout>
                <c:manualLayout>
                  <c:x val="-1.0239850455700525E-3"/>
                  <c:y val="0.1032412996237286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47-4435-8145-BCE1B74814AE}"/>
                </c:ext>
              </c:extLst>
            </c:dLbl>
            <c:dLbl>
              <c:idx val="68"/>
              <c:layout>
                <c:manualLayout>
                  <c:x val="0"/>
                  <c:y val="5.63132346078082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77B0-41CC-BF67-E51E5F88ACFF}"/>
                </c:ext>
              </c:extLst>
            </c:dLbl>
            <c:dLbl>
              <c:idx val="7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77B0-41CC-BF67-E51E5F88ACFF}"/>
                </c:ext>
              </c:extLst>
            </c:dLbl>
            <c:dLbl>
              <c:idx val="73"/>
              <c:layout>
                <c:manualLayout>
                  <c:x val="-4.6194267116858291E-4"/>
                  <c:y val="6.56987737091097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77B0-41CC-BF67-E51E5F88ACFF}"/>
                </c:ext>
              </c:extLst>
            </c:dLbl>
            <c:dLbl>
              <c:idx val="74"/>
              <c:layout>
                <c:manualLayout>
                  <c:x val="5.2868793113650646E-4"/>
                  <c:y val="0.105587684399053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566-40E2-B8A1-E4B00724B54F}"/>
                </c:ext>
              </c:extLst>
            </c:dLbl>
            <c:dLbl>
              <c:idx val="76"/>
              <c:layout>
                <c:manualLayout>
                  <c:x val="0"/>
                  <c:y val="7.2737928035085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77B0-41CC-BF67-E51E5F88ACFF}"/>
                </c:ext>
              </c:extLst>
            </c:dLbl>
            <c:dLbl>
              <c:idx val="78"/>
              <c:layout>
                <c:manualLayout>
                  <c:x val="0"/>
                  <c:y val="-7.038969571269313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847-4435-8145-BCE1B74814AE}"/>
                </c:ext>
              </c:extLst>
            </c:dLbl>
            <c:dLbl>
              <c:idx val="79"/>
              <c:layout>
                <c:manualLayout>
                  <c:x val="-1.3550161821652787E-16"/>
                  <c:y val="4.92740802818322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77B0-41CC-BF67-E51E5F88ACFF}"/>
                </c:ext>
              </c:extLst>
            </c:dLbl>
            <c:dLbl>
              <c:idx val="8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77B0-41CC-BF67-E51E5F88ACF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'2.13.Tablo'!$C$5:$C$85</c:f>
              <c:strCache>
                <c:ptCount val="81"/>
                <c:pt idx="0">
                  <c:v>İstanbul</c:v>
                </c:pt>
                <c:pt idx="1">
                  <c:v>Tekirdağ</c:v>
                </c:pt>
                <c:pt idx="2">
                  <c:v>Edirne</c:v>
                </c:pt>
                <c:pt idx="3">
                  <c:v>Kırklareli</c:v>
                </c:pt>
                <c:pt idx="4">
                  <c:v>Balıkesir</c:v>
                </c:pt>
                <c:pt idx="5">
                  <c:v>Çanakkale</c:v>
                </c:pt>
                <c:pt idx="6">
                  <c:v>İzmir</c:v>
                </c:pt>
                <c:pt idx="7">
                  <c:v>Aydın</c:v>
                </c:pt>
                <c:pt idx="8">
                  <c:v>Denizli</c:v>
                </c:pt>
                <c:pt idx="9">
                  <c:v>Muğla</c:v>
                </c:pt>
                <c:pt idx="10">
                  <c:v>Manisa</c:v>
                </c:pt>
                <c:pt idx="11">
                  <c:v>Afyonkarahisar</c:v>
                </c:pt>
                <c:pt idx="12">
                  <c:v>Kütahya</c:v>
                </c:pt>
                <c:pt idx="13">
                  <c:v>Uşak</c:v>
                </c:pt>
                <c:pt idx="14">
                  <c:v>Bursa</c:v>
                </c:pt>
                <c:pt idx="15">
                  <c:v>Eskişehir</c:v>
                </c:pt>
                <c:pt idx="16">
                  <c:v>Bilecik</c:v>
                </c:pt>
                <c:pt idx="17">
                  <c:v>Kocaeli</c:v>
                </c:pt>
                <c:pt idx="18">
                  <c:v>Sakarya</c:v>
                </c:pt>
                <c:pt idx="19">
                  <c:v>Düzce</c:v>
                </c:pt>
                <c:pt idx="20">
                  <c:v>Bolu</c:v>
                </c:pt>
                <c:pt idx="21">
                  <c:v>Yalova</c:v>
                </c:pt>
                <c:pt idx="22">
                  <c:v>Ankara</c:v>
                </c:pt>
                <c:pt idx="23">
                  <c:v>Konya</c:v>
                </c:pt>
                <c:pt idx="24">
                  <c:v>Karaman</c:v>
                </c:pt>
                <c:pt idx="25">
                  <c:v>Antalya</c:v>
                </c:pt>
                <c:pt idx="26">
                  <c:v>Isparta</c:v>
                </c:pt>
                <c:pt idx="27">
                  <c:v>Burdur</c:v>
                </c:pt>
                <c:pt idx="28">
                  <c:v>Adana</c:v>
                </c:pt>
                <c:pt idx="29">
                  <c:v>Mersin</c:v>
                </c:pt>
                <c:pt idx="30">
                  <c:v>Hatay</c:v>
                </c:pt>
                <c:pt idx="31">
                  <c:v>Kahramanmaraş</c:v>
                </c:pt>
                <c:pt idx="32">
                  <c:v>Osmaniye</c:v>
                </c:pt>
                <c:pt idx="33">
                  <c:v>Kırıkkale</c:v>
                </c:pt>
                <c:pt idx="34">
                  <c:v>Aksaray</c:v>
                </c:pt>
                <c:pt idx="35">
                  <c:v>Niğde</c:v>
                </c:pt>
                <c:pt idx="36">
                  <c:v>Nevşehir</c:v>
                </c:pt>
                <c:pt idx="37">
                  <c:v>Kırşehir</c:v>
                </c:pt>
                <c:pt idx="38">
                  <c:v>Kayseri</c:v>
                </c:pt>
                <c:pt idx="39">
                  <c:v>Sivas</c:v>
                </c:pt>
                <c:pt idx="40">
                  <c:v>Yozgat</c:v>
                </c:pt>
                <c:pt idx="41">
                  <c:v>Zonguldak</c:v>
                </c:pt>
                <c:pt idx="42">
                  <c:v>Karabük</c:v>
                </c:pt>
                <c:pt idx="43">
                  <c:v>Bartın</c:v>
                </c:pt>
                <c:pt idx="44">
                  <c:v>Kastamonu</c:v>
                </c:pt>
                <c:pt idx="45">
                  <c:v>Çankırı</c:v>
                </c:pt>
                <c:pt idx="46">
                  <c:v>Sinop</c:v>
                </c:pt>
                <c:pt idx="47">
                  <c:v>Samsun</c:v>
                </c:pt>
                <c:pt idx="48">
                  <c:v>Tokat</c:v>
                </c:pt>
                <c:pt idx="49">
                  <c:v>Çorum</c:v>
                </c:pt>
                <c:pt idx="50">
                  <c:v>Amasya</c:v>
                </c:pt>
                <c:pt idx="51">
                  <c:v>Trabzon</c:v>
                </c:pt>
                <c:pt idx="52">
                  <c:v>Ordu</c:v>
                </c:pt>
                <c:pt idx="53">
                  <c:v>Giresun</c:v>
                </c:pt>
                <c:pt idx="54">
                  <c:v>Rize</c:v>
                </c:pt>
                <c:pt idx="55">
                  <c:v>Artvin</c:v>
                </c:pt>
                <c:pt idx="56">
                  <c:v>Gümüşhane</c:v>
                </c:pt>
                <c:pt idx="57">
                  <c:v>Erzurum</c:v>
                </c:pt>
                <c:pt idx="58">
                  <c:v>Erzincan</c:v>
                </c:pt>
                <c:pt idx="59">
                  <c:v>Bayburt</c:v>
                </c:pt>
                <c:pt idx="60">
                  <c:v>Ağrı</c:v>
                </c:pt>
                <c:pt idx="61">
                  <c:v>Kars</c:v>
                </c:pt>
                <c:pt idx="62">
                  <c:v>Iğdır</c:v>
                </c:pt>
                <c:pt idx="63">
                  <c:v>Ardahan</c:v>
                </c:pt>
                <c:pt idx="64">
                  <c:v>Malatya</c:v>
                </c:pt>
                <c:pt idx="65">
                  <c:v>Elazığ</c:v>
                </c:pt>
                <c:pt idx="66">
                  <c:v>Bingöl</c:v>
                </c:pt>
                <c:pt idx="67">
                  <c:v>Tunceli</c:v>
                </c:pt>
                <c:pt idx="68">
                  <c:v>Van</c:v>
                </c:pt>
                <c:pt idx="69">
                  <c:v>Muş</c:v>
                </c:pt>
                <c:pt idx="70">
                  <c:v>Bitlis</c:v>
                </c:pt>
                <c:pt idx="71">
                  <c:v>Hakkari</c:v>
                </c:pt>
                <c:pt idx="72">
                  <c:v>Gaziantep</c:v>
                </c:pt>
                <c:pt idx="73">
                  <c:v>Adıyaman</c:v>
                </c:pt>
                <c:pt idx="74">
                  <c:v>Kilis</c:v>
                </c:pt>
                <c:pt idx="75">
                  <c:v>Şanlıurfa</c:v>
                </c:pt>
                <c:pt idx="76">
                  <c:v>Diyarbakır</c:v>
                </c:pt>
                <c:pt idx="77">
                  <c:v>Mardin</c:v>
                </c:pt>
                <c:pt idx="78">
                  <c:v>Batman</c:v>
                </c:pt>
                <c:pt idx="79">
                  <c:v>Şırnak</c:v>
                </c:pt>
                <c:pt idx="80">
                  <c:v>Siirt</c:v>
                </c:pt>
              </c:strCache>
            </c:strRef>
          </c:cat>
          <c:val>
            <c:numRef>
              <c:f>'2.13.Tablo'!$J$5:$J$85</c:f>
              <c:numCache>
                <c:formatCode>0.0</c:formatCode>
                <c:ptCount val="81"/>
                <c:pt idx="0">
                  <c:v>0</c:v>
                </c:pt>
                <c:pt idx="1">
                  <c:v>-58.536585365853654</c:v>
                </c:pt>
                <c:pt idx="2">
                  <c:v>6.3492063492063551</c:v>
                </c:pt>
                <c:pt idx="3">
                  <c:v>-10.416666666666666</c:v>
                </c:pt>
                <c:pt idx="4">
                  <c:v>-16.867469879518076</c:v>
                </c:pt>
                <c:pt idx="5">
                  <c:v>-16.901408450704228</c:v>
                </c:pt>
                <c:pt idx="6">
                  <c:v>21.875000000000004</c:v>
                </c:pt>
                <c:pt idx="7">
                  <c:v>-6.9306930693069368</c:v>
                </c:pt>
                <c:pt idx="8">
                  <c:v>-3.0303030303030329</c:v>
                </c:pt>
                <c:pt idx="9">
                  <c:v>-13.114754098360651</c:v>
                </c:pt>
                <c:pt idx="10">
                  <c:v>176.66666666666669</c:v>
                </c:pt>
                <c:pt idx="11">
                  <c:v>-21.568627450980387</c:v>
                </c:pt>
                <c:pt idx="12">
                  <c:v>-17.857142857142861</c:v>
                </c:pt>
                <c:pt idx="13">
                  <c:v>-6.8965517241379182</c:v>
                </c:pt>
                <c:pt idx="14">
                  <c:v>20.634920634920636</c:v>
                </c:pt>
                <c:pt idx="15">
                  <c:v>-11.688311688311684</c:v>
                </c:pt>
                <c:pt idx="16">
                  <c:v>-2.4390243902438913</c:v>
                </c:pt>
                <c:pt idx="17">
                  <c:v>-12.500000000000011</c:v>
                </c:pt>
                <c:pt idx="18">
                  <c:v>-55.555555555555557</c:v>
                </c:pt>
                <c:pt idx="19">
                  <c:v>0</c:v>
                </c:pt>
                <c:pt idx="20">
                  <c:v>6.7754122938530736</c:v>
                </c:pt>
                <c:pt idx="21">
                  <c:v>2.1276595744680873</c:v>
                </c:pt>
                <c:pt idx="22">
                  <c:v>14.634146341463415</c:v>
                </c:pt>
                <c:pt idx="23">
                  <c:v>-28.888888888888889</c:v>
                </c:pt>
                <c:pt idx="24">
                  <c:v>-17.808219178082194</c:v>
                </c:pt>
                <c:pt idx="25">
                  <c:v>-1.8181818181818197</c:v>
                </c:pt>
                <c:pt idx="26">
                  <c:v>-7.8947368421052699</c:v>
                </c:pt>
                <c:pt idx="27">
                  <c:v>-7.2727272727272787</c:v>
                </c:pt>
                <c:pt idx="28">
                  <c:v>-7.547169811320761</c:v>
                </c:pt>
                <c:pt idx="29">
                  <c:v>15.277777777777775</c:v>
                </c:pt>
                <c:pt idx="30">
                  <c:v>-21.505376344086027</c:v>
                </c:pt>
                <c:pt idx="31">
                  <c:v>-6.4102564102564159</c:v>
                </c:pt>
                <c:pt idx="32">
                  <c:v>10.769230769230761</c:v>
                </c:pt>
                <c:pt idx="33">
                  <c:v>-9.9999999999999982</c:v>
                </c:pt>
                <c:pt idx="34">
                  <c:v>11.290322580645153</c:v>
                </c:pt>
                <c:pt idx="35">
                  <c:v>-21.052631578947359</c:v>
                </c:pt>
                <c:pt idx="36">
                  <c:v>75.862068965517253</c:v>
                </c:pt>
                <c:pt idx="37">
                  <c:v>31.035509403819621</c:v>
                </c:pt>
                <c:pt idx="38">
                  <c:v>-6.6666666666666723</c:v>
                </c:pt>
                <c:pt idx="39">
                  <c:v>-28.571428571428577</c:v>
                </c:pt>
                <c:pt idx="40">
                  <c:v>-9.6774193548387011</c:v>
                </c:pt>
                <c:pt idx="41">
                  <c:v>0</c:v>
                </c:pt>
                <c:pt idx="42">
                  <c:v>87.499999999999986</c:v>
                </c:pt>
                <c:pt idx="43">
                  <c:v>0</c:v>
                </c:pt>
                <c:pt idx="44">
                  <c:v>43.750000000000007</c:v>
                </c:pt>
                <c:pt idx="45">
                  <c:v>0</c:v>
                </c:pt>
                <c:pt idx="46">
                  <c:v>28.124999999999989</c:v>
                </c:pt>
                <c:pt idx="47">
                  <c:v>-3.1250000000000027</c:v>
                </c:pt>
                <c:pt idx="48">
                  <c:v>-13.043478260869561</c:v>
                </c:pt>
                <c:pt idx="49">
                  <c:v>6.7796610169491593</c:v>
                </c:pt>
                <c:pt idx="50">
                  <c:v>-17.567567567567568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-48.148148148148145</c:v>
                </c:pt>
                <c:pt idx="57">
                  <c:v>-13.725490196078432</c:v>
                </c:pt>
                <c:pt idx="58">
                  <c:v>13.040512890465161</c:v>
                </c:pt>
                <c:pt idx="59">
                  <c:v>140</c:v>
                </c:pt>
                <c:pt idx="60">
                  <c:v>47.058823529411754</c:v>
                </c:pt>
                <c:pt idx="61">
                  <c:v>30.769230769230774</c:v>
                </c:pt>
                <c:pt idx="62">
                  <c:v>-4.285714285714274</c:v>
                </c:pt>
                <c:pt idx="63">
                  <c:v>0</c:v>
                </c:pt>
                <c:pt idx="64">
                  <c:v>7.3529411764705772</c:v>
                </c:pt>
                <c:pt idx="65">
                  <c:v>-30.769230769230774</c:v>
                </c:pt>
                <c:pt idx="66">
                  <c:v>87.500000000000014</c:v>
                </c:pt>
                <c:pt idx="67">
                  <c:v>36.842105263157897</c:v>
                </c:pt>
                <c:pt idx="68">
                  <c:v>-6.0606060606060659</c:v>
                </c:pt>
                <c:pt idx="69">
                  <c:v>14.285714285714299</c:v>
                </c:pt>
                <c:pt idx="70">
                  <c:v>52.499999999999986</c:v>
                </c:pt>
                <c:pt idx="71">
                  <c:v>0</c:v>
                </c:pt>
                <c:pt idx="72">
                  <c:v>3.8961038961038996</c:v>
                </c:pt>
                <c:pt idx="73">
                  <c:v>-11.666666666666659</c:v>
                </c:pt>
                <c:pt idx="74">
                  <c:v>-33.333333333333329</c:v>
                </c:pt>
                <c:pt idx="75">
                  <c:v>4.6728971962616859</c:v>
                </c:pt>
                <c:pt idx="76">
                  <c:v>-15.129599331639222</c:v>
                </c:pt>
                <c:pt idx="77">
                  <c:v>13.51351351351351</c:v>
                </c:pt>
                <c:pt idx="78">
                  <c:v>109.99999999999997</c:v>
                </c:pt>
                <c:pt idx="79">
                  <c:v>-3.1578947368420964</c:v>
                </c:pt>
                <c:pt idx="8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1D-4C75-B207-5CB43DD16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3"/>
        <c:overlap val="-23"/>
        <c:axId val="416500672"/>
        <c:axId val="416501232"/>
        <c:extLst>
          <c:ext xmlns:c15="http://schemas.microsoft.com/office/drawing/2012/chart" uri="{02D57815-91ED-43cb-92C2-25804820EDAC}">
            <c15:filteredBarSeries>
              <c15:ser>
                <c:idx val="2"/>
                <c:order val="1"/>
                <c:tx>
                  <c:strRef>
                    <c:extLst>
                      <c:ext uri="{02D57815-91ED-43cb-92C2-25804820EDAC}">
                        <c15:formulaRef>
                          <c15:sqref>'4.6.Tablo'!#REF!</c15:sqref>
                        </c15:formulaRef>
                      </c:ext>
                    </c:extLst>
                    <c:strCache>
                      <c:ptCount val="1"/>
                      <c:pt idx="0">
                        <c:v>#BAŞV!</c:v>
                      </c:pt>
                    </c:strCache>
                  </c:strRef>
                </c:tx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wrap="square" lIns="38100" tIns="19050" rIns="38100" bIns="19050" anchor="ctr">
                      <a:spAutoFit/>
                    </a:bodyPr>
                    <a:lstStyle/>
                    <a:p>
                      <a:pPr>
                        <a:defRPr sz="1200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endParaRPr lang="tr-T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'2.13.Tablo'!$C$5:$C$85</c15:sqref>
                        </c15:formulaRef>
                      </c:ext>
                    </c:extLst>
                    <c:strCache>
                      <c:ptCount val="81"/>
                      <c:pt idx="0">
                        <c:v>İstanbul</c:v>
                      </c:pt>
                      <c:pt idx="1">
                        <c:v>Tekirdağ</c:v>
                      </c:pt>
                      <c:pt idx="2">
                        <c:v>Edirne</c:v>
                      </c:pt>
                      <c:pt idx="3">
                        <c:v>Kırklareli</c:v>
                      </c:pt>
                      <c:pt idx="4">
                        <c:v>Balıkesir</c:v>
                      </c:pt>
                      <c:pt idx="5">
                        <c:v>Çanakkale</c:v>
                      </c:pt>
                      <c:pt idx="6">
                        <c:v>İzmir</c:v>
                      </c:pt>
                      <c:pt idx="7">
                        <c:v>Aydın</c:v>
                      </c:pt>
                      <c:pt idx="8">
                        <c:v>Denizli</c:v>
                      </c:pt>
                      <c:pt idx="9">
                        <c:v>Muğla</c:v>
                      </c:pt>
                      <c:pt idx="10">
                        <c:v>Manisa</c:v>
                      </c:pt>
                      <c:pt idx="11">
                        <c:v>Afyonkarahisar</c:v>
                      </c:pt>
                      <c:pt idx="12">
                        <c:v>Kütahya</c:v>
                      </c:pt>
                      <c:pt idx="13">
                        <c:v>Uşak</c:v>
                      </c:pt>
                      <c:pt idx="14">
                        <c:v>Bursa</c:v>
                      </c:pt>
                      <c:pt idx="15">
                        <c:v>Eskişehir</c:v>
                      </c:pt>
                      <c:pt idx="16">
                        <c:v>Bilecik</c:v>
                      </c:pt>
                      <c:pt idx="17">
                        <c:v>Kocaeli</c:v>
                      </c:pt>
                      <c:pt idx="18">
                        <c:v>Sakarya</c:v>
                      </c:pt>
                      <c:pt idx="19">
                        <c:v>Düzce</c:v>
                      </c:pt>
                      <c:pt idx="20">
                        <c:v>Bolu</c:v>
                      </c:pt>
                      <c:pt idx="21">
                        <c:v>Yalova</c:v>
                      </c:pt>
                      <c:pt idx="22">
                        <c:v>Ankara</c:v>
                      </c:pt>
                      <c:pt idx="23">
                        <c:v>Konya</c:v>
                      </c:pt>
                      <c:pt idx="24">
                        <c:v>Karaman</c:v>
                      </c:pt>
                      <c:pt idx="25">
                        <c:v>Antalya</c:v>
                      </c:pt>
                      <c:pt idx="26">
                        <c:v>Isparta</c:v>
                      </c:pt>
                      <c:pt idx="27">
                        <c:v>Burdur</c:v>
                      </c:pt>
                      <c:pt idx="28">
                        <c:v>Adana</c:v>
                      </c:pt>
                      <c:pt idx="29">
                        <c:v>Mersin</c:v>
                      </c:pt>
                      <c:pt idx="30">
                        <c:v>Hatay</c:v>
                      </c:pt>
                      <c:pt idx="31">
                        <c:v>Kahramanmaraş</c:v>
                      </c:pt>
                      <c:pt idx="32">
                        <c:v>Osmaniye</c:v>
                      </c:pt>
                      <c:pt idx="33">
                        <c:v>Kırıkkale</c:v>
                      </c:pt>
                      <c:pt idx="34">
                        <c:v>Aksaray</c:v>
                      </c:pt>
                      <c:pt idx="35">
                        <c:v>Niğde</c:v>
                      </c:pt>
                      <c:pt idx="36">
                        <c:v>Nevşehir</c:v>
                      </c:pt>
                      <c:pt idx="37">
                        <c:v>Kırşehir</c:v>
                      </c:pt>
                      <c:pt idx="38">
                        <c:v>Kayseri</c:v>
                      </c:pt>
                      <c:pt idx="39">
                        <c:v>Sivas</c:v>
                      </c:pt>
                      <c:pt idx="40">
                        <c:v>Yozgat</c:v>
                      </c:pt>
                      <c:pt idx="41">
                        <c:v>Zonguldak</c:v>
                      </c:pt>
                      <c:pt idx="42">
                        <c:v>Karabük</c:v>
                      </c:pt>
                      <c:pt idx="43">
                        <c:v>Bartın</c:v>
                      </c:pt>
                      <c:pt idx="44">
                        <c:v>Kastamonu</c:v>
                      </c:pt>
                      <c:pt idx="45">
                        <c:v>Çankırı</c:v>
                      </c:pt>
                      <c:pt idx="46">
                        <c:v>Sinop</c:v>
                      </c:pt>
                      <c:pt idx="47">
                        <c:v>Samsun</c:v>
                      </c:pt>
                      <c:pt idx="48">
                        <c:v>Tokat</c:v>
                      </c:pt>
                      <c:pt idx="49">
                        <c:v>Çorum</c:v>
                      </c:pt>
                      <c:pt idx="50">
                        <c:v>Amasya</c:v>
                      </c:pt>
                      <c:pt idx="51">
                        <c:v>Trabzon</c:v>
                      </c:pt>
                      <c:pt idx="52">
                        <c:v>Ordu</c:v>
                      </c:pt>
                      <c:pt idx="53">
                        <c:v>Giresun</c:v>
                      </c:pt>
                      <c:pt idx="54">
                        <c:v>Rize</c:v>
                      </c:pt>
                      <c:pt idx="55">
                        <c:v>Artvin</c:v>
                      </c:pt>
                      <c:pt idx="56">
                        <c:v>Gümüşhane</c:v>
                      </c:pt>
                      <c:pt idx="57">
                        <c:v>Erzurum</c:v>
                      </c:pt>
                      <c:pt idx="58">
                        <c:v>Erzincan</c:v>
                      </c:pt>
                      <c:pt idx="59">
                        <c:v>Bayburt</c:v>
                      </c:pt>
                      <c:pt idx="60">
                        <c:v>Ağrı</c:v>
                      </c:pt>
                      <c:pt idx="61">
                        <c:v>Kars</c:v>
                      </c:pt>
                      <c:pt idx="62">
                        <c:v>Iğdır</c:v>
                      </c:pt>
                      <c:pt idx="63">
                        <c:v>Ardahan</c:v>
                      </c:pt>
                      <c:pt idx="64">
                        <c:v>Malatya</c:v>
                      </c:pt>
                      <c:pt idx="65">
                        <c:v>Elazığ</c:v>
                      </c:pt>
                      <c:pt idx="66">
                        <c:v>Bingöl</c:v>
                      </c:pt>
                      <c:pt idx="67">
                        <c:v>Tunceli</c:v>
                      </c:pt>
                      <c:pt idx="68">
                        <c:v>Van</c:v>
                      </c:pt>
                      <c:pt idx="69">
                        <c:v>Muş</c:v>
                      </c:pt>
                      <c:pt idx="70">
                        <c:v>Bitlis</c:v>
                      </c:pt>
                      <c:pt idx="71">
                        <c:v>Hakkari</c:v>
                      </c:pt>
                      <c:pt idx="72">
                        <c:v>Gaziantep</c:v>
                      </c:pt>
                      <c:pt idx="73">
                        <c:v>Adıyaman</c:v>
                      </c:pt>
                      <c:pt idx="74">
                        <c:v>Kilis</c:v>
                      </c:pt>
                      <c:pt idx="75">
                        <c:v>Şanlıurfa</c:v>
                      </c:pt>
                      <c:pt idx="76">
                        <c:v>Diyarbakır</c:v>
                      </c:pt>
                      <c:pt idx="77">
                        <c:v>Mardin</c:v>
                      </c:pt>
                      <c:pt idx="78">
                        <c:v>Batman</c:v>
                      </c:pt>
                      <c:pt idx="79">
                        <c:v>Şırnak</c:v>
                      </c:pt>
                      <c:pt idx="80">
                        <c:v>Siirt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'4.6.Tablo'!#REF!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A1D-4C75-B207-5CB43DD1621D}"/>
                  </c:ext>
                </c:extLst>
              </c15:ser>
            </c15:filteredBarSeries>
            <c15:filteredBarSeries>
              <c15:ser>
                <c:idx val="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'4.6.Tablo'!#REF!</c15:sqref>
                        </c15:formulaRef>
                      </c:ext>
                    </c:extLst>
                    <c:strCache>
                      <c:ptCount val="1"/>
                      <c:pt idx="0">
                        <c:v>#BAŞV!</c:v>
                      </c:pt>
                    </c:strCache>
                  </c:strRef>
                </c:tx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wrap="square" lIns="38100" tIns="19050" rIns="38100" bIns="19050" anchor="ctr">
                      <a:spAutoFit/>
                    </a:bodyPr>
                    <a:lstStyle/>
                    <a:p>
                      <a:pPr>
                        <a:defRPr sz="1200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endParaRPr lang="tr-T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'2.13.Tablo'!$C$5:$C$85</c15:sqref>
                        </c15:formulaRef>
                      </c:ext>
                    </c:extLst>
                    <c:strCache>
                      <c:ptCount val="81"/>
                      <c:pt idx="0">
                        <c:v>İstanbul</c:v>
                      </c:pt>
                      <c:pt idx="1">
                        <c:v>Tekirdağ</c:v>
                      </c:pt>
                      <c:pt idx="2">
                        <c:v>Edirne</c:v>
                      </c:pt>
                      <c:pt idx="3">
                        <c:v>Kırklareli</c:v>
                      </c:pt>
                      <c:pt idx="4">
                        <c:v>Balıkesir</c:v>
                      </c:pt>
                      <c:pt idx="5">
                        <c:v>Çanakkale</c:v>
                      </c:pt>
                      <c:pt idx="6">
                        <c:v>İzmir</c:v>
                      </c:pt>
                      <c:pt idx="7">
                        <c:v>Aydın</c:v>
                      </c:pt>
                      <c:pt idx="8">
                        <c:v>Denizli</c:v>
                      </c:pt>
                      <c:pt idx="9">
                        <c:v>Muğla</c:v>
                      </c:pt>
                      <c:pt idx="10">
                        <c:v>Manisa</c:v>
                      </c:pt>
                      <c:pt idx="11">
                        <c:v>Afyonkarahisar</c:v>
                      </c:pt>
                      <c:pt idx="12">
                        <c:v>Kütahya</c:v>
                      </c:pt>
                      <c:pt idx="13">
                        <c:v>Uşak</c:v>
                      </c:pt>
                      <c:pt idx="14">
                        <c:v>Bursa</c:v>
                      </c:pt>
                      <c:pt idx="15">
                        <c:v>Eskişehir</c:v>
                      </c:pt>
                      <c:pt idx="16">
                        <c:v>Bilecik</c:v>
                      </c:pt>
                      <c:pt idx="17">
                        <c:v>Kocaeli</c:v>
                      </c:pt>
                      <c:pt idx="18">
                        <c:v>Sakarya</c:v>
                      </c:pt>
                      <c:pt idx="19">
                        <c:v>Düzce</c:v>
                      </c:pt>
                      <c:pt idx="20">
                        <c:v>Bolu</c:v>
                      </c:pt>
                      <c:pt idx="21">
                        <c:v>Yalova</c:v>
                      </c:pt>
                      <c:pt idx="22">
                        <c:v>Ankara</c:v>
                      </c:pt>
                      <c:pt idx="23">
                        <c:v>Konya</c:v>
                      </c:pt>
                      <c:pt idx="24">
                        <c:v>Karaman</c:v>
                      </c:pt>
                      <c:pt idx="25">
                        <c:v>Antalya</c:v>
                      </c:pt>
                      <c:pt idx="26">
                        <c:v>Isparta</c:v>
                      </c:pt>
                      <c:pt idx="27">
                        <c:v>Burdur</c:v>
                      </c:pt>
                      <c:pt idx="28">
                        <c:v>Adana</c:v>
                      </c:pt>
                      <c:pt idx="29">
                        <c:v>Mersin</c:v>
                      </c:pt>
                      <c:pt idx="30">
                        <c:v>Hatay</c:v>
                      </c:pt>
                      <c:pt idx="31">
                        <c:v>Kahramanmaraş</c:v>
                      </c:pt>
                      <c:pt idx="32">
                        <c:v>Osmaniye</c:v>
                      </c:pt>
                      <c:pt idx="33">
                        <c:v>Kırıkkale</c:v>
                      </c:pt>
                      <c:pt idx="34">
                        <c:v>Aksaray</c:v>
                      </c:pt>
                      <c:pt idx="35">
                        <c:v>Niğde</c:v>
                      </c:pt>
                      <c:pt idx="36">
                        <c:v>Nevşehir</c:v>
                      </c:pt>
                      <c:pt idx="37">
                        <c:v>Kırşehir</c:v>
                      </c:pt>
                      <c:pt idx="38">
                        <c:v>Kayseri</c:v>
                      </c:pt>
                      <c:pt idx="39">
                        <c:v>Sivas</c:v>
                      </c:pt>
                      <c:pt idx="40">
                        <c:v>Yozgat</c:v>
                      </c:pt>
                      <c:pt idx="41">
                        <c:v>Zonguldak</c:v>
                      </c:pt>
                      <c:pt idx="42">
                        <c:v>Karabük</c:v>
                      </c:pt>
                      <c:pt idx="43">
                        <c:v>Bartın</c:v>
                      </c:pt>
                      <c:pt idx="44">
                        <c:v>Kastamonu</c:v>
                      </c:pt>
                      <c:pt idx="45">
                        <c:v>Çankırı</c:v>
                      </c:pt>
                      <c:pt idx="46">
                        <c:v>Sinop</c:v>
                      </c:pt>
                      <c:pt idx="47">
                        <c:v>Samsun</c:v>
                      </c:pt>
                      <c:pt idx="48">
                        <c:v>Tokat</c:v>
                      </c:pt>
                      <c:pt idx="49">
                        <c:v>Çorum</c:v>
                      </c:pt>
                      <c:pt idx="50">
                        <c:v>Amasya</c:v>
                      </c:pt>
                      <c:pt idx="51">
                        <c:v>Trabzon</c:v>
                      </c:pt>
                      <c:pt idx="52">
                        <c:v>Ordu</c:v>
                      </c:pt>
                      <c:pt idx="53">
                        <c:v>Giresun</c:v>
                      </c:pt>
                      <c:pt idx="54">
                        <c:v>Rize</c:v>
                      </c:pt>
                      <c:pt idx="55">
                        <c:v>Artvin</c:v>
                      </c:pt>
                      <c:pt idx="56">
                        <c:v>Gümüşhane</c:v>
                      </c:pt>
                      <c:pt idx="57">
                        <c:v>Erzurum</c:v>
                      </c:pt>
                      <c:pt idx="58">
                        <c:v>Erzincan</c:v>
                      </c:pt>
                      <c:pt idx="59">
                        <c:v>Bayburt</c:v>
                      </c:pt>
                      <c:pt idx="60">
                        <c:v>Ağrı</c:v>
                      </c:pt>
                      <c:pt idx="61">
                        <c:v>Kars</c:v>
                      </c:pt>
                      <c:pt idx="62">
                        <c:v>Iğdır</c:v>
                      </c:pt>
                      <c:pt idx="63">
                        <c:v>Ardahan</c:v>
                      </c:pt>
                      <c:pt idx="64">
                        <c:v>Malatya</c:v>
                      </c:pt>
                      <c:pt idx="65">
                        <c:v>Elazığ</c:v>
                      </c:pt>
                      <c:pt idx="66">
                        <c:v>Bingöl</c:v>
                      </c:pt>
                      <c:pt idx="67">
                        <c:v>Tunceli</c:v>
                      </c:pt>
                      <c:pt idx="68">
                        <c:v>Van</c:v>
                      </c:pt>
                      <c:pt idx="69">
                        <c:v>Muş</c:v>
                      </c:pt>
                      <c:pt idx="70">
                        <c:v>Bitlis</c:v>
                      </c:pt>
                      <c:pt idx="71">
                        <c:v>Hakkari</c:v>
                      </c:pt>
                      <c:pt idx="72">
                        <c:v>Gaziantep</c:v>
                      </c:pt>
                      <c:pt idx="73">
                        <c:v>Adıyaman</c:v>
                      </c:pt>
                      <c:pt idx="74">
                        <c:v>Kilis</c:v>
                      </c:pt>
                      <c:pt idx="75">
                        <c:v>Şanlıurfa</c:v>
                      </c:pt>
                      <c:pt idx="76">
                        <c:v>Diyarbakır</c:v>
                      </c:pt>
                      <c:pt idx="77">
                        <c:v>Mardin</c:v>
                      </c:pt>
                      <c:pt idx="78">
                        <c:v>Batman</c:v>
                      </c:pt>
                      <c:pt idx="79">
                        <c:v>Şırnak</c:v>
                      </c:pt>
                      <c:pt idx="80">
                        <c:v>Siirt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'4.6.Tablo'!#REF!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A1D-4C75-B207-5CB43DD1621D}"/>
                  </c:ext>
                </c:extLst>
              </c15:ser>
            </c15:filteredBarSeries>
          </c:ext>
        </c:extLst>
      </c:barChart>
      <c:catAx>
        <c:axId val="41650067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 sz="1200" b="1"/>
            </a:pPr>
            <a:endParaRPr lang="tr-TR"/>
          </a:p>
        </c:txPr>
        <c:crossAx val="416501232"/>
        <c:crosses val="autoZero"/>
        <c:auto val="1"/>
        <c:lblAlgn val="ctr"/>
        <c:lblOffset val="1000"/>
        <c:noMultiLvlLbl val="0"/>
      </c:catAx>
      <c:valAx>
        <c:axId val="41650123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400" b="1"/>
            </a:pPr>
            <a:endParaRPr lang="tr-TR"/>
          </a:p>
        </c:txPr>
        <c:crossAx val="416500672"/>
        <c:crosses val="autoZero"/>
        <c:crossBetween val="between"/>
      </c:valAx>
      <c:spPr>
        <a:solidFill>
          <a:sysClr val="window" lastClr="FFFFFF"/>
        </a:solidFill>
        <a:ln>
          <a:noFill/>
        </a:ln>
      </c:spPr>
    </c:plotArea>
    <c:plotVisOnly val="1"/>
    <c:dispBlanksAs val="gap"/>
    <c:showDLblsOverMax val="0"/>
  </c:chart>
  <c:spPr>
    <a:solidFill>
      <a:sysClr val="window" lastClr="FFFFFF"/>
    </a:solidFill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tr-TR"/>
              <a:t>2.13.DSİ'ce İşletilen ve Devredilen Sulama Tesislerinin Sulama Oranı, 2023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8658376320707176E-2"/>
          <c:y val="0.15423852253609258"/>
          <c:w val="0.8847702969713056"/>
          <c:h val="0.603115595439997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'2.13.Tablo'!$D$3:$H$3</c:f>
              <c:strCache>
                <c:ptCount val="1"/>
                <c:pt idx="0">
                  <c:v>Sulama Oranı                                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'2.13.Tablo'!$C$5:$C$85</c:f>
              <c:strCache>
                <c:ptCount val="81"/>
                <c:pt idx="0">
                  <c:v>İstanbul</c:v>
                </c:pt>
                <c:pt idx="1">
                  <c:v>Tekirdağ</c:v>
                </c:pt>
                <c:pt idx="2">
                  <c:v>Edirne</c:v>
                </c:pt>
                <c:pt idx="3">
                  <c:v>Kırklareli</c:v>
                </c:pt>
                <c:pt idx="4">
                  <c:v>Balıkesir</c:v>
                </c:pt>
                <c:pt idx="5">
                  <c:v>Çanakkale</c:v>
                </c:pt>
                <c:pt idx="6">
                  <c:v>İzmir</c:v>
                </c:pt>
                <c:pt idx="7">
                  <c:v>Aydın</c:v>
                </c:pt>
                <c:pt idx="8">
                  <c:v>Denizli</c:v>
                </c:pt>
                <c:pt idx="9">
                  <c:v>Muğla</c:v>
                </c:pt>
                <c:pt idx="10">
                  <c:v>Manisa</c:v>
                </c:pt>
                <c:pt idx="11">
                  <c:v>Afyonkarahisar</c:v>
                </c:pt>
                <c:pt idx="12">
                  <c:v>Kütahya</c:v>
                </c:pt>
                <c:pt idx="13">
                  <c:v>Uşak</c:v>
                </c:pt>
                <c:pt idx="14">
                  <c:v>Bursa</c:v>
                </c:pt>
                <c:pt idx="15">
                  <c:v>Eskişehir</c:v>
                </c:pt>
                <c:pt idx="16">
                  <c:v>Bilecik</c:v>
                </c:pt>
                <c:pt idx="17">
                  <c:v>Kocaeli</c:v>
                </c:pt>
                <c:pt idx="18">
                  <c:v>Sakarya</c:v>
                </c:pt>
                <c:pt idx="19">
                  <c:v>Düzce</c:v>
                </c:pt>
                <c:pt idx="20">
                  <c:v>Bolu</c:v>
                </c:pt>
                <c:pt idx="21">
                  <c:v>Yalova</c:v>
                </c:pt>
                <c:pt idx="22">
                  <c:v>Ankara</c:v>
                </c:pt>
                <c:pt idx="23">
                  <c:v>Konya</c:v>
                </c:pt>
                <c:pt idx="24">
                  <c:v>Karaman</c:v>
                </c:pt>
                <c:pt idx="25">
                  <c:v>Antalya</c:v>
                </c:pt>
                <c:pt idx="26">
                  <c:v>Isparta</c:v>
                </c:pt>
                <c:pt idx="27">
                  <c:v>Burdur</c:v>
                </c:pt>
                <c:pt idx="28">
                  <c:v>Adana</c:v>
                </c:pt>
                <c:pt idx="29">
                  <c:v>Mersin</c:v>
                </c:pt>
                <c:pt idx="30">
                  <c:v>Hatay</c:v>
                </c:pt>
                <c:pt idx="31">
                  <c:v>Kahramanmaraş</c:v>
                </c:pt>
                <c:pt idx="32">
                  <c:v>Osmaniye</c:v>
                </c:pt>
                <c:pt idx="33">
                  <c:v>Kırıkkale</c:v>
                </c:pt>
                <c:pt idx="34">
                  <c:v>Aksaray</c:v>
                </c:pt>
                <c:pt idx="35">
                  <c:v>Niğde</c:v>
                </c:pt>
                <c:pt idx="36">
                  <c:v>Nevşehir</c:v>
                </c:pt>
                <c:pt idx="37">
                  <c:v>Kırşehir</c:v>
                </c:pt>
                <c:pt idx="38">
                  <c:v>Kayseri</c:v>
                </c:pt>
                <c:pt idx="39">
                  <c:v>Sivas</c:v>
                </c:pt>
                <c:pt idx="40">
                  <c:v>Yozgat</c:v>
                </c:pt>
                <c:pt idx="41">
                  <c:v>Zonguldak</c:v>
                </c:pt>
                <c:pt idx="42">
                  <c:v>Karabük</c:v>
                </c:pt>
                <c:pt idx="43">
                  <c:v>Bartın</c:v>
                </c:pt>
                <c:pt idx="44">
                  <c:v>Kastamonu</c:v>
                </c:pt>
                <c:pt idx="45">
                  <c:v>Çankırı</c:v>
                </c:pt>
                <c:pt idx="46">
                  <c:v>Sinop</c:v>
                </c:pt>
                <c:pt idx="47">
                  <c:v>Samsun</c:v>
                </c:pt>
                <c:pt idx="48">
                  <c:v>Tokat</c:v>
                </c:pt>
                <c:pt idx="49">
                  <c:v>Çorum</c:v>
                </c:pt>
                <c:pt idx="50">
                  <c:v>Amasya</c:v>
                </c:pt>
                <c:pt idx="51">
                  <c:v>Trabzon</c:v>
                </c:pt>
                <c:pt idx="52">
                  <c:v>Ordu</c:v>
                </c:pt>
                <c:pt idx="53">
                  <c:v>Giresun</c:v>
                </c:pt>
                <c:pt idx="54">
                  <c:v>Rize</c:v>
                </c:pt>
                <c:pt idx="55">
                  <c:v>Artvin</c:v>
                </c:pt>
                <c:pt idx="56">
                  <c:v>Gümüşhane</c:v>
                </c:pt>
                <c:pt idx="57">
                  <c:v>Erzurum</c:v>
                </c:pt>
                <c:pt idx="58">
                  <c:v>Erzincan</c:v>
                </c:pt>
                <c:pt idx="59">
                  <c:v>Bayburt</c:v>
                </c:pt>
                <c:pt idx="60">
                  <c:v>Ağrı</c:v>
                </c:pt>
                <c:pt idx="61">
                  <c:v>Kars</c:v>
                </c:pt>
                <c:pt idx="62">
                  <c:v>Iğdır</c:v>
                </c:pt>
                <c:pt idx="63">
                  <c:v>Ardahan</c:v>
                </c:pt>
                <c:pt idx="64">
                  <c:v>Malatya</c:v>
                </c:pt>
                <c:pt idx="65">
                  <c:v>Elazığ</c:v>
                </c:pt>
                <c:pt idx="66">
                  <c:v>Bingöl</c:v>
                </c:pt>
                <c:pt idx="67">
                  <c:v>Tunceli</c:v>
                </c:pt>
                <c:pt idx="68">
                  <c:v>Van</c:v>
                </c:pt>
                <c:pt idx="69">
                  <c:v>Muş</c:v>
                </c:pt>
                <c:pt idx="70">
                  <c:v>Bitlis</c:v>
                </c:pt>
                <c:pt idx="71">
                  <c:v>Hakkari</c:v>
                </c:pt>
                <c:pt idx="72">
                  <c:v>Gaziantep</c:v>
                </c:pt>
                <c:pt idx="73">
                  <c:v>Adıyaman</c:v>
                </c:pt>
                <c:pt idx="74">
                  <c:v>Kilis</c:v>
                </c:pt>
                <c:pt idx="75">
                  <c:v>Şanlıurfa</c:v>
                </c:pt>
                <c:pt idx="76">
                  <c:v>Diyarbakır</c:v>
                </c:pt>
                <c:pt idx="77">
                  <c:v>Mardin</c:v>
                </c:pt>
                <c:pt idx="78">
                  <c:v>Batman</c:v>
                </c:pt>
                <c:pt idx="79">
                  <c:v>Şırnak</c:v>
                </c:pt>
                <c:pt idx="80">
                  <c:v>Siirt</c:v>
                </c:pt>
              </c:strCache>
            </c:strRef>
          </c:cat>
          <c:val>
            <c:numRef>
              <c:f>'2.13.Tablo'!$H$5:$H$85</c:f>
              <c:numCache>
                <c:formatCode>0.00</c:formatCode>
                <c:ptCount val="81"/>
                <c:pt idx="1">
                  <c:v>0.17</c:v>
                </c:pt>
                <c:pt idx="2">
                  <c:v>0.67</c:v>
                </c:pt>
                <c:pt idx="3">
                  <c:v>0.43</c:v>
                </c:pt>
                <c:pt idx="4">
                  <c:v>0.69</c:v>
                </c:pt>
                <c:pt idx="5">
                  <c:v>0.59</c:v>
                </c:pt>
                <c:pt idx="6">
                  <c:v>0.78</c:v>
                </c:pt>
                <c:pt idx="7">
                  <c:v>0.94</c:v>
                </c:pt>
                <c:pt idx="8">
                  <c:v>0.64</c:v>
                </c:pt>
                <c:pt idx="9">
                  <c:v>0.53</c:v>
                </c:pt>
                <c:pt idx="10">
                  <c:v>0.83</c:v>
                </c:pt>
                <c:pt idx="11">
                  <c:v>0.4</c:v>
                </c:pt>
                <c:pt idx="12">
                  <c:v>0.23</c:v>
                </c:pt>
                <c:pt idx="13">
                  <c:v>0.27</c:v>
                </c:pt>
                <c:pt idx="14">
                  <c:v>0.76</c:v>
                </c:pt>
                <c:pt idx="15">
                  <c:v>0.68</c:v>
                </c:pt>
                <c:pt idx="16">
                  <c:v>0.4</c:v>
                </c:pt>
                <c:pt idx="17">
                  <c:v>0.35</c:v>
                </c:pt>
                <c:pt idx="18">
                  <c:v>0.24</c:v>
                </c:pt>
                <c:pt idx="19">
                  <c:v>0.11</c:v>
                </c:pt>
                <c:pt idx="20">
                  <c:v>0.26</c:v>
                </c:pt>
                <c:pt idx="21">
                  <c:v>0.48</c:v>
                </c:pt>
                <c:pt idx="22">
                  <c:v>0.47</c:v>
                </c:pt>
                <c:pt idx="23">
                  <c:v>0.64</c:v>
                </c:pt>
                <c:pt idx="24">
                  <c:v>0.6</c:v>
                </c:pt>
                <c:pt idx="25">
                  <c:v>0.54</c:v>
                </c:pt>
                <c:pt idx="26">
                  <c:v>0.35</c:v>
                </c:pt>
                <c:pt idx="27">
                  <c:v>0.51</c:v>
                </c:pt>
                <c:pt idx="28">
                  <c:v>0.98</c:v>
                </c:pt>
                <c:pt idx="29">
                  <c:v>0.83</c:v>
                </c:pt>
                <c:pt idx="30">
                  <c:v>0.73</c:v>
                </c:pt>
                <c:pt idx="31">
                  <c:v>0.73</c:v>
                </c:pt>
                <c:pt idx="32">
                  <c:v>0.72</c:v>
                </c:pt>
                <c:pt idx="33">
                  <c:v>0.45</c:v>
                </c:pt>
                <c:pt idx="34">
                  <c:v>0.69</c:v>
                </c:pt>
                <c:pt idx="35">
                  <c:v>0.45</c:v>
                </c:pt>
                <c:pt idx="36">
                  <c:v>0.51</c:v>
                </c:pt>
                <c:pt idx="37">
                  <c:v>0.37</c:v>
                </c:pt>
                <c:pt idx="38">
                  <c:v>0.84</c:v>
                </c:pt>
                <c:pt idx="39">
                  <c:v>0.35</c:v>
                </c:pt>
                <c:pt idx="40">
                  <c:v>0.28000000000000003</c:v>
                </c:pt>
                <c:pt idx="42">
                  <c:v>0.15</c:v>
                </c:pt>
                <c:pt idx="44">
                  <c:v>0.46</c:v>
                </c:pt>
                <c:pt idx="45">
                  <c:v>0.4</c:v>
                </c:pt>
                <c:pt idx="46">
                  <c:v>0.41</c:v>
                </c:pt>
                <c:pt idx="47">
                  <c:v>0.62</c:v>
                </c:pt>
                <c:pt idx="48">
                  <c:v>0.6</c:v>
                </c:pt>
                <c:pt idx="49">
                  <c:v>0.63</c:v>
                </c:pt>
                <c:pt idx="50">
                  <c:v>0.61</c:v>
                </c:pt>
                <c:pt idx="53">
                  <c:v>0.09</c:v>
                </c:pt>
                <c:pt idx="56">
                  <c:v>0.14000000000000001</c:v>
                </c:pt>
                <c:pt idx="57">
                  <c:v>0.44</c:v>
                </c:pt>
                <c:pt idx="58">
                  <c:v>0.54</c:v>
                </c:pt>
                <c:pt idx="59">
                  <c:v>0.36</c:v>
                </c:pt>
                <c:pt idx="60">
                  <c:v>0.25</c:v>
                </c:pt>
                <c:pt idx="61">
                  <c:v>0.68</c:v>
                </c:pt>
                <c:pt idx="62">
                  <c:v>0.67</c:v>
                </c:pt>
                <c:pt idx="64">
                  <c:v>0.73</c:v>
                </c:pt>
                <c:pt idx="65">
                  <c:v>0.09</c:v>
                </c:pt>
                <c:pt idx="66">
                  <c:v>0.45</c:v>
                </c:pt>
                <c:pt idx="67">
                  <c:v>0.52</c:v>
                </c:pt>
                <c:pt idx="68">
                  <c:v>0.31</c:v>
                </c:pt>
                <c:pt idx="69">
                  <c:v>0.4</c:v>
                </c:pt>
                <c:pt idx="70">
                  <c:v>0.61</c:v>
                </c:pt>
                <c:pt idx="72">
                  <c:v>0.8</c:v>
                </c:pt>
                <c:pt idx="73">
                  <c:v>0.53</c:v>
                </c:pt>
                <c:pt idx="74">
                  <c:v>0.16</c:v>
                </c:pt>
                <c:pt idx="75">
                  <c:v>1.1200000000000001</c:v>
                </c:pt>
                <c:pt idx="76">
                  <c:v>0.52</c:v>
                </c:pt>
                <c:pt idx="77">
                  <c:v>0.42</c:v>
                </c:pt>
                <c:pt idx="78">
                  <c:v>0.84</c:v>
                </c:pt>
                <c:pt idx="79">
                  <c:v>0.92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91-466C-87C2-DDD06FFEC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3"/>
        <c:overlap val="-23"/>
        <c:axId val="416500672"/>
        <c:axId val="416501232"/>
        <c:extLst/>
      </c:barChart>
      <c:catAx>
        <c:axId val="41650067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 sz="1200" b="1"/>
            </a:pPr>
            <a:endParaRPr lang="tr-TR"/>
          </a:p>
        </c:txPr>
        <c:crossAx val="416501232"/>
        <c:crosses val="autoZero"/>
        <c:auto val="1"/>
        <c:lblAlgn val="ctr"/>
        <c:lblOffset val="100"/>
        <c:noMultiLvlLbl val="0"/>
      </c:catAx>
      <c:valAx>
        <c:axId val="41650123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400" b="1"/>
            </a:pPr>
            <a:endParaRPr lang="tr-TR"/>
          </a:p>
        </c:txPr>
        <c:crossAx val="416500672"/>
        <c:crosses val="autoZero"/>
        <c:crossBetween val="between"/>
      </c:valAx>
      <c:spPr>
        <a:solidFill>
          <a:sysClr val="window" lastClr="FFFFFF"/>
        </a:solidFill>
        <a:ln>
          <a:noFill/>
        </a:ln>
      </c:spPr>
    </c:plotArea>
    <c:plotVisOnly val="1"/>
    <c:dispBlanksAs val="gap"/>
    <c:showDLblsOverMax val="0"/>
  </c:chart>
  <c:spPr>
    <a:solidFill>
      <a:sysClr val="window" lastClr="FFFFFF"/>
    </a:solidFill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2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1419225</xdr:colOff>
      <xdr:row>1</xdr:row>
      <xdr:rowOff>9525</xdr:rowOff>
    </xdr:from>
    <xdr:to>
      <xdr:col>7</xdr:col>
      <xdr:colOff>1800225</xdr:colOff>
      <xdr:row>1</xdr:row>
      <xdr:rowOff>295576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350" y="200025"/>
          <a:ext cx="381000" cy="286051"/>
        </a:xfrm>
        <a:prstGeom prst="rect">
          <a:avLst/>
        </a:prstGeom>
      </xdr:spPr>
    </xdr:pic>
    <xdr:clientData/>
  </xdr:twoCellAnchor>
  <xdr:twoCellAnchor>
    <xdr:from>
      <xdr:col>0</xdr:col>
      <xdr:colOff>148167</xdr:colOff>
      <xdr:row>119</xdr:row>
      <xdr:rowOff>41804</xdr:rowOff>
    </xdr:from>
    <xdr:to>
      <xdr:col>32</xdr:col>
      <xdr:colOff>505089</xdr:colOff>
      <xdr:row>147</xdr:row>
      <xdr:rowOff>120386</xdr:rowOff>
    </xdr:to>
    <xdr:graphicFrame macro="">
      <xdr:nvGraphicFramePr>
        <xdr:cNvPr id="15" name="Grafik 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154781</xdr:colOff>
      <xdr:row>89</xdr:row>
      <xdr:rowOff>35720</xdr:rowOff>
    </xdr:from>
    <xdr:to>
      <xdr:col>32</xdr:col>
      <xdr:colOff>583406</xdr:colOff>
      <xdr:row>119</xdr:row>
      <xdr:rowOff>23813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0.00864</cdr:x>
      <cdr:y>0.01354</cdr:y>
    </cdr:from>
    <cdr:to>
      <cdr:x>0.03402</cdr:x>
      <cdr:y>0.08976</cdr:y>
    </cdr:to>
    <cdr:pic>
      <cdr:nvPicPr>
        <cdr:cNvPr id="2" name="Resim 1">
          <a:extLst xmlns:a="http://schemas.openxmlformats.org/drawingml/2006/main">
            <a:ext uri="{FF2B5EF4-FFF2-40B4-BE49-F238E27FC236}">
              <a16:creationId xmlns:a16="http://schemas.microsoft.com/office/drawing/2014/main" id="{3A204276-D71D-4FA1-98F8-A1B39044098A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188068" y="73286"/>
          <a:ext cx="552500" cy="412547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0.00864</cdr:x>
      <cdr:y>0.01354</cdr:y>
    </cdr:from>
    <cdr:to>
      <cdr:x>0.03326</cdr:x>
      <cdr:y>0.08976</cdr:y>
    </cdr:to>
    <cdr:pic>
      <cdr:nvPicPr>
        <cdr:cNvPr id="2" name="Resim 1">
          <a:extLst xmlns:a="http://schemas.openxmlformats.org/drawingml/2006/main">
            <a:ext uri="{FF2B5EF4-FFF2-40B4-BE49-F238E27FC236}">
              <a16:creationId xmlns:a16="http://schemas.microsoft.com/office/drawing/2014/main" id="{E10C0B49-70A1-44EA-85BA-4F060FCD5AD8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188664" y="77220"/>
          <a:ext cx="537617" cy="434690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95"/>
  <sheetViews>
    <sheetView tabSelected="1" zoomScale="90" zoomScaleNormal="90" workbookViewId="0">
      <selection activeCell="J19" sqref="J19"/>
    </sheetView>
  </sheetViews>
  <sheetFormatPr defaultRowHeight="15" x14ac:dyDescent="0.25"/>
  <cols>
    <col min="1" max="1" width="2.5703125" customWidth="1"/>
    <col min="2" max="2" width="17.42578125" customWidth="1"/>
    <col min="3" max="3" width="27.140625" customWidth="1"/>
    <col min="4" max="7" width="27.7109375" customWidth="1"/>
    <col min="8" max="8" width="27.7109375" style="20" customWidth="1"/>
    <col min="10" max="10" width="9.140625" style="42" customWidth="1"/>
  </cols>
  <sheetData>
    <row r="1" spans="2:11" s="1" customFormat="1" ht="15" customHeight="1" thickBot="1" x14ac:dyDescent="0.3">
      <c r="C1" s="5"/>
      <c r="D1" s="5"/>
      <c r="E1" s="5"/>
      <c r="F1" s="5"/>
      <c r="G1" s="5"/>
      <c r="H1" s="5"/>
      <c r="J1" s="41"/>
    </row>
    <row r="2" spans="2:11" s="1" customFormat="1" ht="24.75" customHeight="1" thickBot="1" x14ac:dyDescent="0.3">
      <c r="B2" s="32" t="s">
        <v>172</v>
      </c>
      <c r="C2" s="33"/>
      <c r="D2" s="33"/>
      <c r="E2" s="33"/>
      <c r="F2" s="33"/>
      <c r="G2" s="33"/>
      <c r="H2" s="34"/>
      <c r="J2" s="41"/>
      <c r="K2" s="14"/>
    </row>
    <row r="3" spans="2:11" ht="48.75" customHeight="1" thickBot="1" x14ac:dyDescent="0.3">
      <c r="B3" s="13" t="s">
        <v>4</v>
      </c>
      <c r="C3" s="13" t="s">
        <v>0</v>
      </c>
      <c r="D3" s="35" t="s">
        <v>2</v>
      </c>
      <c r="E3" s="36"/>
      <c r="F3" s="36"/>
      <c r="G3" s="36"/>
      <c r="H3" s="37"/>
    </row>
    <row r="4" spans="2:11" ht="22.5" customHeight="1" thickBot="1" x14ac:dyDescent="0.3">
      <c r="B4" s="13" t="s">
        <v>5</v>
      </c>
      <c r="C4" s="13" t="s">
        <v>3</v>
      </c>
      <c r="D4" s="6">
        <v>2019</v>
      </c>
      <c r="E4" s="6">
        <v>2020</v>
      </c>
      <c r="F4" s="6">
        <v>2021</v>
      </c>
      <c r="G4" s="29">
        <v>2022</v>
      </c>
      <c r="H4" s="44">
        <v>2023</v>
      </c>
      <c r="J4" s="42" t="s">
        <v>1</v>
      </c>
    </row>
    <row r="5" spans="2:11" ht="22.5" customHeight="1" x14ac:dyDescent="0.25">
      <c r="B5" s="18" t="s">
        <v>6</v>
      </c>
      <c r="C5" s="19" t="s">
        <v>7</v>
      </c>
      <c r="D5" s="15"/>
      <c r="E5" s="25"/>
      <c r="F5" s="26"/>
      <c r="G5" s="26"/>
      <c r="H5" s="38"/>
      <c r="J5" s="43" t="e">
        <f>((H5-G5)*100)/G5</f>
        <v>#DIV/0!</v>
      </c>
    </row>
    <row r="6" spans="2:11" ht="22.5" customHeight="1" x14ac:dyDescent="0.25">
      <c r="B6" s="7" t="s">
        <v>8</v>
      </c>
      <c r="C6" s="11" t="s">
        <v>9</v>
      </c>
      <c r="D6" s="16">
        <v>0.50902777777777775</v>
      </c>
      <c r="E6" s="23">
        <v>0.30222844112769487</v>
      </c>
      <c r="F6" s="24">
        <v>0.34549129353233832</v>
      </c>
      <c r="G6" s="24">
        <v>0.41</v>
      </c>
      <c r="H6" s="39">
        <v>0.17</v>
      </c>
      <c r="J6" s="43">
        <f t="shared" ref="J6:J69" si="0">((H6-G6)*100)/G6</f>
        <v>-58.536585365853654</v>
      </c>
    </row>
    <row r="7" spans="2:11" ht="22.5" customHeight="1" x14ac:dyDescent="0.25">
      <c r="B7" s="7" t="s">
        <v>10</v>
      </c>
      <c r="C7" s="11" t="s">
        <v>11</v>
      </c>
      <c r="D7" s="16">
        <v>0.64027114157005915</v>
      </c>
      <c r="E7" s="23">
        <v>0.58620768007271074</v>
      </c>
      <c r="F7" s="24">
        <v>0.66915961305925031</v>
      </c>
      <c r="G7" s="24">
        <v>0.63</v>
      </c>
      <c r="H7" s="39">
        <v>0.67</v>
      </c>
      <c r="J7" s="43">
        <f t="shared" si="0"/>
        <v>6.3492063492063551</v>
      </c>
    </row>
    <row r="8" spans="2:11" ht="22.5" customHeight="1" x14ac:dyDescent="0.25">
      <c r="B8" s="7" t="s">
        <v>12</v>
      </c>
      <c r="C8" s="11" t="s">
        <v>13</v>
      </c>
      <c r="D8" s="16">
        <v>0.50350766489736831</v>
      </c>
      <c r="E8" s="23">
        <v>0.30964652556932415</v>
      </c>
      <c r="F8" s="24">
        <v>0.45185875644259238</v>
      </c>
      <c r="G8" s="24">
        <v>0.48</v>
      </c>
      <c r="H8" s="39">
        <v>0.43</v>
      </c>
      <c r="J8" s="43">
        <f t="shared" si="0"/>
        <v>-10.416666666666666</v>
      </c>
    </row>
    <row r="9" spans="2:11" ht="22.5" customHeight="1" x14ac:dyDescent="0.25">
      <c r="B9" s="7" t="s">
        <v>14</v>
      </c>
      <c r="C9" s="11" t="s">
        <v>15</v>
      </c>
      <c r="D9" s="16">
        <v>0.70125616894752896</v>
      </c>
      <c r="E9" s="23">
        <v>0.73276568001043163</v>
      </c>
      <c r="F9" s="24">
        <v>0.74890825178079712</v>
      </c>
      <c r="G9" s="24">
        <v>0.83</v>
      </c>
      <c r="H9" s="39">
        <v>0.69</v>
      </c>
      <c r="J9" s="43">
        <f t="shared" si="0"/>
        <v>-16.867469879518076</v>
      </c>
    </row>
    <row r="10" spans="2:11" ht="22.5" customHeight="1" x14ac:dyDescent="0.25">
      <c r="B10" s="7" t="s">
        <v>16</v>
      </c>
      <c r="C10" s="11" t="s">
        <v>17</v>
      </c>
      <c r="D10" s="16">
        <v>0.70165480851876605</v>
      </c>
      <c r="E10" s="23">
        <v>0.69273020278436814</v>
      </c>
      <c r="F10" s="24">
        <v>0.74071355029320918</v>
      </c>
      <c r="G10" s="24">
        <v>0.71</v>
      </c>
      <c r="H10" s="39">
        <v>0.59</v>
      </c>
      <c r="J10" s="43">
        <f t="shared" si="0"/>
        <v>-16.901408450704228</v>
      </c>
    </row>
    <row r="11" spans="2:11" ht="22.5" customHeight="1" x14ac:dyDescent="0.25">
      <c r="B11" s="7" t="s">
        <v>18</v>
      </c>
      <c r="C11" s="11" t="s">
        <v>19</v>
      </c>
      <c r="D11" s="16">
        <v>0.65037824352249263</v>
      </c>
      <c r="E11" s="23">
        <v>0.585164913616677</v>
      </c>
      <c r="F11" s="24">
        <v>0.68077619703701409</v>
      </c>
      <c r="G11" s="24">
        <v>0.64</v>
      </c>
      <c r="H11" s="39">
        <v>0.78</v>
      </c>
      <c r="J11" s="43">
        <f t="shared" si="0"/>
        <v>21.875000000000004</v>
      </c>
    </row>
    <row r="12" spans="2:11" ht="22.5" customHeight="1" x14ac:dyDescent="0.25">
      <c r="B12" s="7" t="s">
        <v>20</v>
      </c>
      <c r="C12" s="11" t="s">
        <v>21</v>
      </c>
      <c r="D12" s="16">
        <v>0.97319481030483768</v>
      </c>
      <c r="E12" s="23">
        <v>1.0224786686338641</v>
      </c>
      <c r="F12" s="24">
        <v>0.8936171747035736</v>
      </c>
      <c r="G12" s="24">
        <v>1.01</v>
      </c>
      <c r="H12" s="39">
        <v>0.94</v>
      </c>
      <c r="J12" s="43">
        <f t="shared" si="0"/>
        <v>-6.9306930693069368</v>
      </c>
    </row>
    <row r="13" spans="2:11" ht="22.5" customHeight="1" x14ac:dyDescent="0.25">
      <c r="B13" s="7" t="s">
        <v>22</v>
      </c>
      <c r="C13" s="11" t="s">
        <v>23</v>
      </c>
      <c r="D13" s="16">
        <v>0.72456380040142288</v>
      </c>
      <c r="E13" s="23">
        <v>0.6986670174515478</v>
      </c>
      <c r="F13" s="24">
        <v>0.58494178224721494</v>
      </c>
      <c r="G13" s="24">
        <v>0.66</v>
      </c>
      <c r="H13" s="39">
        <v>0.64</v>
      </c>
      <c r="J13" s="43">
        <f t="shared" si="0"/>
        <v>-3.0303030303030329</v>
      </c>
    </row>
    <row r="14" spans="2:11" ht="22.5" customHeight="1" x14ac:dyDescent="0.25">
      <c r="B14" s="8" t="s">
        <v>24</v>
      </c>
      <c r="C14" s="11" t="s">
        <v>25</v>
      </c>
      <c r="D14" s="16">
        <v>0.51495250573206686</v>
      </c>
      <c r="E14" s="23">
        <v>0.57275953859804796</v>
      </c>
      <c r="F14" s="24">
        <v>0.56001451964184878</v>
      </c>
      <c r="G14" s="24">
        <v>0.61</v>
      </c>
      <c r="H14" s="39">
        <v>0.53</v>
      </c>
      <c r="J14" s="43">
        <f t="shared" si="0"/>
        <v>-13.114754098360651</v>
      </c>
    </row>
    <row r="15" spans="2:11" ht="22.5" customHeight="1" x14ac:dyDescent="0.25">
      <c r="B15" s="8" t="s">
        <v>26</v>
      </c>
      <c r="C15" s="11" t="s">
        <v>27</v>
      </c>
      <c r="D15" s="16">
        <v>0.38377083740598605</v>
      </c>
      <c r="E15" s="23">
        <v>0.35276998777568902</v>
      </c>
      <c r="F15" s="24">
        <v>0.29952767980371109</v>
      </c>
      <c r="G15" s="24">
        <v>0.3</v>
      </c>
      <c r="H15" s="39">
        <v>0.83</v>
      </c>
      <c r="J15" s="43">
        <f t="shared" si="0"/>
        <v>176.66666666666669</v>
      </c>
    </row>
    <row r="16" spans="2:11" ht="22.5" customHeight="1" x14ac:dyDescent="0.25">
      <c r="B16" s="8" t="s">
        <v>28</v>
      </c>
      <c r="C16" s="11" t="s">
        <v>29</v>
      </c>
      <c r="D16" s="16">
        <v>0.36304448206864703</v>
      </c>
      <c r="E16" s="23">
        <v>0.40328923413035561</v>
      </c>
      <c r="F16" s="24">
        <v>0.44821076606368532</v>
      </c>
      <c r="G16" s="24">
        <v>0.51</v>
      </c>
      <c r="H16" s="39">
        <v>0.4</v>
      </c>
      <c r="J16" s="43">
        <f t="shared" si="0"/>
        <v>-21.568627450980387</v>
      </c>
    </row>
    <row r="17" spans="2:16" ht="22.5" customHeight="1" x14ac:dyDescent="0.25">
      <c r="B17" s="8" t="s">
        <v>30</v>
      </c>
      <c r="C17" s="11" t="s">
        <v>31</v>
      </c>
      <c r="D17" s="16">
        <v>0.24142895506746428</v>
      </c>
      <c r="E17" s="23">
        <v>0.3193877996594035</v>
      </c>
      <c r="F17" s="24">
        <v>0.38067628688348049</v>
      </c>
      <c r="G17" s="24">
        <v>0.28000000000000003</v>
      </c>
      <c r="H17" s="39">
        <v>0.23</v>
      </c>
      <c r="J17" s="43">
        <f t="shared" si="0"/>
        <v>-17.857142857142861</v>
      </c>
    </row>
    <row r="18" spans="2:16" ht="22.5" customHeight="1" x14ac:dyDescent="0.25">
      <c r="B18" s="8" t="s">
        <v>32</v>
      </c>
      <c r="C18" s="11" t="s">
        <v>33</v>
      </c>
      <c r="D18" s="16">
        <v>0.25830427601394751</v>
      </c>
      <c r="E18" s="23">
        <v>0.35516480282519131</v>
      </c>
      <c r="F18" s="24">
        <v>0.33378675994299778</v>
      </c>
      <c r="G18" s="24">
        <v>0.28999999999999998</v>
      </c>
      <c r="H18" s="39">
        <v>0.27</v>
      </c>
      <c r="J18" s="43">
        <f t="shared" si="0"/>
        <v>-6.8965517241379182</v>
      </c>
    </row>
    <row r="19" spans="2:16" ht="22.5" customHeight="1" x14ac:dyDescent="0.25">
      <c r="B19" s="8" t="s">
        <v>34</v>
      </c>
      <c r="C19" s="11" t="s">
        <v>35</v>
      </c>
      <c r="D19" s="16">
        <v>0.54693853099904766</v>
      </c>
      <c r="E19" s="23">
        <v>0.60960328894198668</v>
      </c>
      <c r="F19" s="24">
        <v>0.60119793922538578</v>
      </c>
      <c r="G19" s="24">
        <v>0.63</v>
      </c>
      <c r="H19" s="39">
        <v>0.76</v>
      </c>
      <c r="J19" s="43">
        <f t="shared" si="0"/>
        <v>20.634920634920636</v>
      </c>
    </row>
    <row r="20" spans="2:16" ht="22.5" customHeight="1" x14ac:dyDescent="0.25">
      <c r="B20" s="8" t="s">
        <v>36</v>
      </c>
      <c r="C20" s="11" t="s">
        <v>37</v>
      </c>
      <c r="D20" s="16">
        <v>0.69099962202819687</v>
      </c>
      <c r="E20" s="23">
        <v>0.67443352394567546</v>
      </c>
      <c r="F20" s="24">
        <v>0.76425473296226665</v>
      </c>
      <c r="G20" s="24">
        <v>0.77</v>
      </c>
      <c r="H20" s="39">
        <v>0.68</v>
      </c>
      <c r="J20" s="43">
        <f t="shared" si="0"/>
        <v>-11.688311688311684</v>
      </c>
    </row>
    <row r="21" spans="2:16" ht="22.5" customHeight="1" x14ac:dyDescent="0.25">
      <c r="B21" s="8" t="s">
        <v>38</v>
      </c>
      <c r="C21" s="11" t="s">
        <v>39</v>
      </c>
      <c r="D21" s="16">
        <v>0.41260673985971325</v>
      </c>
      <c r="E21" s="23">
        <v>0.15771308523409364</v>
      </c>
      <c r="F21" s="24">
        <v>0.38278753993610226</v>
      </c>
      <c r="G21" s="24">
        <v>0.41</v>
      </c>
      <c r="H21" s="39">
        <v>0.4</v>
      </c>
      <c r="J21" s="43">
        <f t="shared" si="0"/>
        <v>-2.4390243902438913</v>
      </c>
    </row>
    <row r="22" spans="2:16" ht="22.5" customHeight="1" x14ac:dyDescent="0.25">
      <c r="B22" s="8" t="s">
        <v>40</v>
      </c>
      <c r="C22" s="11" t="s">
        <v>41</v>
      </c>
      <c r="D22" s="16">
        <v>0.49642207398423288</v>
      </c>
      <c r="E22" s="23">
        <v>0.25737919024814976</v>
      </c>
      <c r="F22" s="24">
        <v>0.32268175881584676</v>
      </c>
      <c r="G22" s="24">
        <v>0.4</v>
      </c>
      <c r="H22" s="39">
        <v>0.35</v>
      </c>
      <c r="J22" s="43">
        <f t="shared" si="0"/>
        <v>-12.500000000000011</v>
      </c>
    </row>
    <row r="23" spans="2:16" ht="22.5" customHeight="1" x14ac:dyDescent="0.25">
      <c r="B23" s="8" t="s">
        <v>42</v>
      </c>
      <c r="C23" s="11" t="s">
        <v>43</v>
      </c>
      <c r="D23" s="16">
        <v>0.44217279602196213</v>
      </c>
      <c r="E23" s="23">
        <v>0.45446658404042328</v>
      </c>
      <c r="F23" s="24">
        <v>0.50986892829606789</v>
      </c>
      <c r="G23" s="24">
        <v>0.54</v>
      </c>
      <c r="H23" s="39">
        <v>0.24</v>
      </c>
      <c r="J23" s="43">
        <f t="shared" si="0"/>
        <v>-55.555555555555557</v>
      </c>
    </row>
    <row r="24" spans="2:16" ht="22.5" customHeight="1" x14ac:dyDescent="0.25">
      <c r="B24" s="8" t="s">
        <v>44</v>
      </c>
      <c r="C24" s="11" t="s">
        <v>45</v>
      </c>
      <c r="D24" s="16">
        <v>2.6153272727272726E-2</v>
      </c>
      <c r="E24" s="23">
        <v>5.3636363636363635E-2</v>
      </c>
      <c r="F24" s="24">
        <v>0.13019985196150999</v>
      </c>
      <c r="G24" s="24">
        <v>0.11</v>
      </c>
      <c r="H24" s="39">
        <v>0.11</v>
      </c>
      <c r="J24" s="43">
        <f t="shared" si="0"/>
        <v>0</v>
      </c>
    </row>
    <row r="25" spans="2:16" ht="22.5" customHeight="1" x14ac:dyDescent="0.25">
      <c r="B25" s="8" t="s">
        <v>46</v>
      </c>
      <c r="C25" s="11" t="s">
        <v>47</v>
      </c>
      <c r="D25" s="16">
        <v>0.10663709511037756</v>
      </c>
      <c r="E25" s="23">
        <v>0.19792655250670518</v>
      </c>
      <c r="F25" s="24">
        <v>0.24350175233644861</v>
      </c>
      <c r="G25" s="24">
        <v>0.24350175233644861</v>
      </c>
      <c r="H25" s="39">
        <v>0.26</v>
      </c>
      <c r="J25" s="43">
        <f t="shared" si="0"/>
        <v>6.7754122938530736</v>
      </c>
      <c r="P25" t="s">
        <v>170</v>
      </c>
    </row>
    <row r="26" spans="2:16" ht="22.5" customHeight="1" x14ac:dyDescent="0.25">
      <c r="B26" s="8" t="s">
        <v>48</v>
      </c>
      <c r="C26" s="11" t="s">
        <v>49</v>
      </c>
      <c r="D26" s="16">
        <v>0.11971830985915492</v>
      </c>
      <c r="E26" s="23">
        <v>0.3155339805825243</v>
      </c>
      <c r="F26" s="24">
        <v>0.37362459546925564</v>
      </c>
      <c r="G26" s="24">
        <v>0.47</v>
      </c>
      <c r="H26" s="39">
        <v>0.48</v>
      </c>
      <c r="J26" s="43">
        <f t="shared" si="0"/>
        <v>2.1276595744680873</v>
      </c>
    </row>
    <row r="27" spans="2:16" ht="22.5" customHeight="1" x14ac:dyDescent="0.25">
      <c r="B27" s="8" t="s">
        <v>50</v>
      </c>
      <c r="C27" s="11" t="s">
        <v>51</v>
      </c>
      <c r="D27" s="16">
        <v>0.47947254375964055</v>
      </c>
      <c r="E27" s="23">
        <v>0.5522336541652838</v>
      </c>
      <c r="F27" s="24">
        <v>0.37359286775631501</v>
      </c>
      <c r="G27" s="24">
        <v>0.41</v>
      </c>
      <c r="H27" s="39">
        <v>0.47</v>
      </c>
      <c r="J27" s="43">
        <f t="shared" si="0"/>
        <v>14.634146341463415</v>
      </c>
    </row>
    <row r="28" spans="2:16" ht="22.5" customHeight="1" x14ac:dyDescent="0.25">
      <c r="B28" s="8" t="s">
        <v>52</v>
      </c>
      <c r="C28" s="11" t="s">
        <v>53</v>
      </c>
      <c r="D28" s="16">
        <v>0.79954842225094569</v>
      </c>
      <c r="E28" s="23">
        <v>0.87360023191423908</v>
      </c>
      <c r="F28" s="24">
        <v>0.77016852942427727</v>
      </c>
      <c r="G28" s="24">
        <v>0.9</v>
      </c>
      <c r="H28" s="39">
        <v>0.64</v>
      </c>
      <c r="J28" s="43">
        <f t="shared" si="0"/>
        <v>-28.888888888888889</v>
      </c>
    </row>
    <row r="29" spans="2:16" ht="22.5" customHeight="1" x14ac:dyDescent="0.25">
      <c r="B29" s="8" t="s">
        <v>54</v>
      </c>
      <c r="C29" s="11" t="s">
        <v>55</v>
      </c>
      <c r="D29" s="16">
        <v>0.70244247073072263</v>
      </c>
      <c r="E29" s="23">
        <v>0.73936870421245426</v>
      </c>
      <c r="F29" s="24">
        <v>0.36616586538461537</v>
      </c>
      <c r="G29" s="24">
        <v>0.73</v>
      </c>
      <c r="H29" s="39">
        <v>0.6</v>
      </c>
      <c r="J29" s="43">
        <f t="shared" si="0"/>
        <v>-17.808219178082194</v>
      </c>
    </row>
    <row r="30" spans="2:16" ht="22.5" customHeight="1" x14ac:dyDescent="0.25">
      <c r="B30" s="8" t="s">
        <v>56</v>
      </c>
      <c r="C30" s="11" t="s">
        <v>57</v>
      </c>
      <c r="D30" s="16">
        <v>0.60158355020414778</v>
      </c>
      <c r="E30" s="23">
        <v>0.62191556570058337</v>
      </c>
      <c r="F30" s="24">
        <v>0.57813382915073952</v>
      </c>
      <c r="G30" s="24">
        <v>0.55000000000000004</v>
      </c>
      <c r="H30" s="39">
        <v>0.54</v>
      </c>
      <c r="J30" s="43">
        <f t="shared" si="0"/>
        <v>-1.8181818181818197</v>
      </c>
    </row>
    <row r="31" spans="2:16" ht="22.5" customHeight="1" x14ac:dyDescent="0.25">
      <c r="B31" s="8" t="s">
        <v>58</v>
      </c>
      <c r="C31" s="11" t="s">
        <v>59</v>
      </c>
      <c r="D31" s="16">
        <v>0.36325238938053095</v>
      </c>
      <c r="E31" s="23">
        <v>0.37028848706527834</v>
      </c>
      <c r="F31" s="24">
        <v>0.36643999533037591</v>
      </c>
      <c r="G31" s="24">
        <v>0.38</v>
      </c>
      <c r="H31" s="39">
        <v>0.35</v>
      </c>
      <c r="J31" s="43">
        <f t="shared" si="0"/>
        <v>-7.8947368421052699</v>
      </c>
    </row>
    <row r="32" spans="2:16" ht="22.5" customHeight="1" x14ac:dyDescent="0.25">
      <c r="B32" s="8" t="s">
        <v>60</v>
      </c>
      <c r="C32" s="11" t="s">
        <v>61</v>
      </c>
      <c r="D32" s="16">
        <v>0.57266052907586529</v>
      </c>
      <c r="E32" s="23">
        <v>0.55053374059262528</v>
      </c>
      <c r="F32" s="24">
        <v>0.44020863517820924</v>
      </c>
      <c r="G32" s="24">
        <v>0.55000000000000004</v>
      </c>
      <c r="H32" s="39">
        <v>0.51</v>
      </c>
      <c r="J32" s="43">
        <f t="shared" si="0"/>
        <v>-7.2727272727272787</v>
      </c>
    </row>
    <row r="33" spans="2:10" ht="22.5" customHeight="1" x14ac:dyDescent="0.25">
      <c r="B33" s="8" t="s">
        <v>62</v>
      </c>
      <c r="C33" s="11" t="s">
        <v>63</v>
      </c>
      <c r="D33" s="16">
        <v>0.98504271502538399</v>
      </c>
      <c r="E33" s="23">
        <v>0.96466308380032573</v>
      </c>
      <c r="F33" s="24">
        <v>1.0014408490003792</v>
      </c>
      <c r="G33" s="24">
        <v>1.06</v>
      </c>
      <c r="H33" s="39">
        <v>0.98</v>
      </c>
      <c r="J33" s="43">
        <f t="shared" si="0"/>
        <v>-7.547169811320761</v>
      </c>
    </row>
    <row r="34" spans="2:10" ht="22.5" customHeight="1" x14ac:dyDescent="0.25">
      <c r="B34" s="8" t="s">
        <v>64</v>
      </c>
      <c r="C34" s="11" t="s">
        <v>65</v>
      </c>
      <c r="D34" s="16">
        <v>0.76539926510127254</v>
      </c>
      <c r="E34" s="23">
        <v>0.7051677105383759</v>
      </c>
      <c r="F34" s="24">
        <v>0.69129732564237023</v>
      </c>
      <c r="G34" s="24">
        <v>0.72</v>
      </c>
      <c r="H34" s="39">
        <v>0.83</v>
      </c>
      <c r="J34" s="43">
        <f t="shared" si="0"/>
        <v>15.277777777777775</v>
      </c>
    </row>
    <row r="35" spans="2:10" ht="22.5" customHeight="1" x14ac:dyDescent="0.25">
      <c r="B35" s="8" t="s">
        <v>66</v>
      </c>
      <c r="C35" s="11" t="s">
        <v>67</v>
      </c>
      <c r="D35" s="16">
        <v>0.78323720116154183</v>
      </c>
      <c r="E35" s="23">
        <v>0.79355582958749349</v>
      </c>
      <c r="F35" s="24">
        <v>0.89375074585305703</v>
      </c>
      <c r="G35" s="24">
        <v>0.93</v>
      </c>
      <c r="H35" s="39">
        <v>0.73</v>
      </c>
      <c r="J35" s="43">
        <f t="shared" si="0"/>
        <v>-21.505376344086027</v>
      </c>
    </row>
    <row r="36" spans="2:10" ht="22.5" customHeight="1" x14ac:dyDescent="0.25">
      <c r="B36" s="8" t="s">
        <v>68</v>
      </c>
      <c r="C36" s="11" t="s">
        <v>69</v>
      </c>
      <c r="D36" s="16">
        <v>0.68946829975276369</v>
      </c>
      <c r="E36" s="23">
        <v>0.73181367919095119</v>
      </c>
      <c r="F36" s="24"/>
      <c r="G36" s="24">
        <v>0.78</v>
      </c>
      <c r="H36" s="39">
        <v>0.73</v>
      </c>
      <c r="J36" s="43">
        <f t="shared" si="0"/>
        <v>-6.4102564102564159</v>
      </c>
    </row>
    <row r="37" spans="2:10" ht="22.5" customHeight="1" x14ac:dyDescent="0.25">
      <c r="B37" s="8" t="s">
        <v>70</v>
      </c>
      <c r="C37" s="11" t="s">
        <v>71</v>
      </c>
      <c r="D37" s="16">
        <v>0.72465046782169407</v>
      </c>
      <c r="E37" s="23">
        <v>0.79509054039631433</v>
      </c>
      <c r="F37" s="24">
        <v>0.67378607420980308</v>
      </c>
      <c r="G37" s="24">
        <v>0.65</v>
      </c>
      <c r="H37" s="39">
        <v>0.72</v>
      </c>
      <c r="J37" s="43">
        <f t="shared" si="0"/>
        <v>10.769230769230761</v>
      </c>
    </row>
    <row r="38" spans="2:10" ht="22.5" customHeight="1" x14ac:dyDescent="0.25">
      <c r="B38" s="8" t="s">
        <v>72</v>
      </c>
      <c r="C38" s="11" t="s">
        <v>73</v>
      </c>
      <c r="D38" s="16">
        <v>0.4707037443590682</v>
      </c>
      <c r="E38" s="23">
        <v>0.38971825832418588</v>
      </c>
      <c r="F38" s="24">
        <v>0.44046237275235467</v>
      </c>
      <c r="G38" s="24">
        <v>0.5</v>
      </c>
      <c r="H38" s="39">
        <v>0.45</v>
      </c>
      <c r="J38" s="43">
        <f t="shared" si="0"/>
        <v>-9.9999999999999982</v>
      </c>
    </row>
    <row r="39" spans="2:10" ht="22.5" customHeight="1" x14ac:dyDescent="0.25">
      <c r="B39" s="8" t="s">
        <v>74</v>
      </c>
      <c r="C39" s="11" t="s">
        <v>75</v>
      </c>
      <c r="D39" s="16">
        <v>0.64630594050666434</v>
      </c>
      <c r="E39" s="23">
        <v>0.65582089552238809</v>
      </c>
      <c r="F39" s="24">
        <v>0.44914278235833005</v>
      </c>
      <c r="G39" s="24">
        <v>0.62</v>
      </c>
      <c r="H39" s="39">
        <v>0.69</v>
      </c>
      <c r="J39" s="43">
        <f t="shared" si="0"/>
        <v>11.290322580645153</v>
      </c>
    </row>
    <row r="40" spans="2:10" ht="22.5" customHeight="1" x14ac:dyDescent="0.25">
      <c r="B40" s="8" t="s">
        <v>76</v>
      </c>
      <c r="C40" s="11" t="s">
        <v>77</v>
      </c>
      <c r="D40" s="16">
        <v>0.59994551151069342</v>
      </c>
      <c r="E40" s="23">
        <v>0.56861463015937885</v>
      </c>
      <c r="F40" s="24">
        <v>0.55926985424329112</v>
      </c>
      <c r="G40" s="24">
        <v>0.56999999999999995</v>
      </c>
      <c r="H40" s="39">
        <v>0.45</v>
      </c>
      <c r="J40" s="43">
        <f t="shared" si="0"/>
        <v>-21.052631578947359</v>
      </c>
    </row>
    <row r="41" spans="2:10" ht="22.5" customHeight="1" x14ac:dyDescent="0.25">
      <c r="B41" s="8" t="s">
        <v>78</v>
      </c>
      <c r="C41" s="11" t="s">
        <v>79</v>
      </c>
      <c r="D41" s="16">
        <v>8.5135764158262225E-2</v>
      </c>
      <c r="E41" s="23">
        <v>0.18190845616757176</v>
      </c>
      <c r="F41" s="24">
        <v>0.32117979290869159</v>
      </c>
      <c r="G41" s="24">
        <v>0.28999999999999998</v>
      </c>
      <c r="H41" s="39">
        <v>0.51</v>
      </c>
      <c r="J41" s="43">
        <f t="shared" si="0"/>
        <v>75.862068965517253</v>
      </c>
    </row>
    <row r="42" spans="2:10" ht="22.5" customHeight="1" x14ac:dyDescent="0.25">
      <c r="B42" s="8" t="s">
        <v>80</v>
      </c>
      <c r="C42" s="11" t="s">
        <v>81</v>
      </c>
      <c r="D42" s="16">
        <v>0.21503598405995361</v>
      </c>
      <c r="E42" s="23">
        <v>0.22199269692227439</v>
      </c>
      <c r="F42" s="24">
        <v>0.282366208734878</v>
      </c>
      <c r="G42" s="24">
        <v>0.282366208734878</v>
      </c>
      <c r="H42" s="39">
        <v>0.37</v>
      </c>
      <c r="J42" s="43">
        <f t="shared" si="0"/>
        <v>31.035509403819621</v>
      </c>
    </row>
    <row r="43" spans="2:10" ht="22.5" customHeight="1" x14ac:dyDescent="0.25">
      <c r="B43" s="8" t="s">
        <v>82</v>
      </c>
      <c r="C43" s="11" t="s">
        <v>83</v>
      </c>
      <c r="D43" s="16">
        <v>0.76186780125683162</v>
      </c>
      <c r="E43" s="23">
        <v>0.84341108360170514</v>
      </c>
      <c r="F43" s="24">
        <v>0.89191216765244996</v>
      </c>
      <c r="G43" s="24">
        <v>0.9</v>
      </c>
      <c r="H43" s="39">
        <v>0.84</v>
      </c>
      <c r="J43" s="43">
        <f t="shared" si="0"/>
        <v>-6.6666666666666723</v>
      </c>
    </row>
    <row r="44" spans="2:10" ht="22.5" customHeight="1" x14ac:dyDescent="0.25">
      <c r="B44" s="8" t="s">
        <v>84</v>
      </c>
      <c r="C44" s="11" t="s">
        <v>85</v>
      </c>
      <c r="D44" s="16">
        <v>0.31555387977711707</v>
      </c>
      <c r="E44" s="23">
        <v>0.38154578447285392</v>
      </c>
      <c r="F44" s="24">
        <v>0.4211037534283939</v>
      </c>
      <c r="G44" s="24">
        <v>0.49</v>
      </c>
      <c r="H44" s="39">
        <v>0.35</v>
      </c>
      <c r="J44" s="43">
        <f t="shared" si="0"/>
        <v>-28.571428571428577</v>
      </c>
    </row>
    <row r="45" spans="2:10" ht="22.5" customHeight="1" x14ac:dyDescent="0.25">
      <c r="B45" s="8" t="s">
        <v>86</v>
      </c>
      <c r="C45" s="11" t="s">
        <v>87</v>
      </c>
      <c r="D45" s="16">
        <v>0.22599421223783525</v>
      </c>
      <c r="E45" s="23">
        <v>0.22674871973929236</v>
      </c>
      <c r="F45" s="24">
        <v>0.17674871973929238</v>
      </c>
      <c r="G45" s="24">
        <v>0.31</v>
      </c>
      <c r="H45" s="39">
        <v>0.28000000000000003</v>
      </c>
      <c r="J45" s="43">
        <f t="shared" si="0"/>
        <v>-9.6774193548387011</v>
      </c>
    </row>
    <row r="46" spans="2:10" ht="22.5" customHeight="1" x14ac:dyDescent="0.25">
      <c r="B46" s="8" t="s">
        <v>88</v>
      </c>
      <c r="C46" s="11" t="s">
        <v>89</v>
      </c>
      <c r="D46" s="16"/>
      <c r="E46" s="23"/>
      <c r="F46" s="24"/>
      <c r="G46" s="24"/>
      <c r="H46" s="39"/>
      <c r="J46" s="43" t="e">
        <f t="shared" si="0"/>
        <v>#DIV/0!</v>
      </c>
    </row>
    <row r="47" spans="2:10" ht="22.5" customHeight="1" x14ac:dyDescent="0.25">
      <c r="B47" s="8" t="s">
        <v>90</v>
      </c>
      <c r="C47" s="11" t="s">
        <v>91</v>
      </c>
      <c r="D47" s="16">
        <v>4.2007104795737125E-2</v>
      </c>
      <c r="E47" s="23">
        <v>4.3960923623445829E-2</v>
      </c>
      <c r="F47" s="24">
        <v>9.0497335701598583E-2</v>
      </c>
      <c r="G47" s="24">
        <v>0.08</v>
      </c>
      <c r="H47" s="39">
        <v>0.15</v>
      </c>
      <c r="J47" s="43">
        <f t="shared" si="0"/>
        <v>87.499999999999986</v>
      </c>
    </row>
    <row r="48" spans="2:10" ht="22.5" customHeight="1" x14ac:dyDescent="0.25">
      <c r="B48" s="8" t="s">
        <v>92</v>
      </c>
      <c r="C48" s="11" t="s">
        <v>93</v>
      </c>
      <c r="D48" s="16"/>
      <c r="E48" s="23"/>
      <c r="F48" s="24"/>
      <c r="G48" s="24"/>
      <c r="H48" s="39"/>
      <c r="J48" s="43" t="e">
        <f t="shared" si="0"/>
        <v>#DIV/0!</v>
      </c>
    </row>
    <row r="49" spans="2:10" ht="22.5" customHeight="1" x14ac:dyDescent="0.25">
      <c r="B49" s="8" t="s">
        <v>94</v>
      </c>
      <c r="C49" s="11" t="s">
        <v>95</v>
      </c>
      <c r="D49" s="16">
        <v>0.30012274615941753</v>
      </c>
      <c r="E49" s="23">
        <v>0.3534861725872962</v>
      </c>
      <c r="F49" s="24">
        <v>0.32653061224489793</v>
      </c>
      <c r="G49" s="24">
        <v>0.32</v>
      </c>
      <c r="H49" s="39">
        <v>0.46</v>
      </c>
      <c r="J49" s="43">
        <f t="shared" si="0"/>
        <v>43.750000000000007</v>
      </c>
    </row>
    <row r="50" spans="2:10" ht="22.5" customHeight="1" x14ac:dyDescent="0.25">
      <c r="B50" s="8" t="s">
        <v>96</v>
      </c>
      <c r="C50" s="11" t="s">
        <v>97</v>
      </c>
      <c r="D50" s="16">
        <v>0.40817364561154484</v>
      </c>
      <c r="E50" s="23">
        <v>0.35130551677782951</v>
      </c>
      <c r="F50" s="24">
        <v>0.62905337581285736</v>
      </c>
      <c r="G50" s="24">
        <v>0.4</v>
      </c>
      <c r="H50" s="39">
        <v>0.4</v>
      </c>
      <c r="J50" s="43">
        <f t="shared" si="0"/>
        <v>0</v>
      </c>
    </row>
    <row r="51" spans="2:10" ht="22.5" customHeight="1" x14ac:dyDescent="0.25">
      <c r="B51" s="8" t="s">
        <v>98</v>
      </c>
      <c r="C51" s="11" t="s">
        <v>99</v>
      </c>
      <c r="D51" s="16">
        <v>0.31341534856473346</v>
      </c>
      <c r="E51" s="23">
        <v>0.2979466426858513</v>
      </c>
      <c r="F51" s="24">
        <v>0.31380395683453238</v>
      </c>
      <c r="G51" s="24">
        <v>0.32</v>
      </c>
      <c r="H51" s="39">
        <v>0.41</v>
      </c>
      <c r="J51" s="43">
        <f t="shared" si="0"/>
        <v>28.124999999999989</v>
      </c>
    </row>
    <row r="52" spans="2:10" ht="22.5" customHeight="1" x14ac:dyDescent="0.25">
      <c r="B52" s="8" t="s">
        <v>100</v>
      </c>
      <c r="C52" s="11" t="s">
        <v>101</v>
      </c>
      <c r="D52" s="16">
        <v>0.54784579937071076</v>
      </c>
      <c r="E52" s="23">
        <v>0.61460422548924154</v>
      </c>
      <c r="F52" s="24">
        <v>0.63102987697715285</v>
      </c>
      <c r="G52" s="24">
        <v>0.64</v>
      </c>
      <c r="H52" s="39">
        <v>0.62</v>
      </c>
      <c r="J52" s="43">
        <f t="shared" si="0"/>
        <v>-3.1250000000000027</v>
      </c>
    </row>
    <row r="53" spans="2:10" ht="22.5" customHeight="1" x14ac:dyDescent="0.25">
      <c r="B53" s="8" t="s">
        <v>102</v>
      </c>
      <c r="C53" s="11" t="s">
        <v>103</v>
      </c>
      <c r="D53" s="16">
        <v>0.51046465862524015</v>
      </c>
      <c r="E53" s="23">
        <v>0.66279953310598949</v>
      </c>
      <c r="F53" s="24">
        <v>0.65689499977496735</v>
      </c>
      <c r="G53" s="24">
        <v>0.69</v>
      </c>
      <c r="H53" s="39">
        <v>0.6</v>
      </c>
      <c r="J53" s="43">
        <f t="shared" si="0"/>
        <v>-13.043478260869561</v>
      </c>
    </row>
    <row r="54" spans="2:10" ht="22.5" customHeight="1" x14ac:dyDescent="0.25">
      <c r="B54" s="8" t="s">
        <v>104</v>
      </c>
      <c r="C54" s="11" t="s">
        <v>105</v>
      </c>
      <c r="D54" s="16">
        <v>0.24453841726618702</v>
      </c>
      <c r="E54" s="23">
        <v>0.63199819981998195</v>
      </c>
      <c r="F54" s="24">
        <v>0.61767486837863972</v>
      </c>
      <c r="G54" s="24">
        <v>0.59</v>
      </c>
      <c r="H54" s="39">
        <v>0.63</v>
      </c>
      <c r="J54" s="43">
        <f t="shared" si="0"/>
        <v>6.7796610169491593</v>
      </c>
    </row>
    <row r="55" spans="2:10" ht="22.5" customHeight="1" x14ac:dyDescent="0.25">
      <c r="B55" s="8" t="s">
        <v>106</v>
      </c>
      <c r="C55" s="11" t="s">
        <v>107</v>
      </c>
      <c r="D55" s="16">
        <v>0.62360771800368953</v>
      </c>
      <c r="E55" s="23">
        <v>0.72775090990676572</v>
      </c>
      <c r="F55" s="24">
        <v>0.72315899685895202</v>
      </c>
      <c r="G55" s="24">
        <v>0.74</v>
      </c>
      <c r="H55" s="39">
        <v>0.61</v>
      </c>
      <c r="J55" s="43">
        <f t="shared" si="0"/>
        <v>-17.567567567567568</v>
      </c>
    </row>
    <row r="56" spans="2:10" ht="22.5" customHeight="1" x14ac:dyDescent="0.25">
      <c r="B56" s="8" t="s">
        <v>108</v>
      </c>
      <c r="C56" s="11" t="s">
        <v>109</v>
      </c>
      <c r="D56" s="16"/>
      <c r="E56" s="23"/>
      <c r="F56" s="24"/>
      <c r="G56" s="24"/>
      <c r="H56" s="39"/>
      <c r="J56" s="43" t="e">
        <f t="shared" si="0"/>
        <v>#DIV/0!</v>
      </c>
    </row>
    <row r="57" spans="2:10" ht="22.5" customHeight="1" x14ac:dyDescent="0.25">
      <c r="B57" s="8" t="s">
        <v>110</v>
      </c>
      <c r="C57" s="11" t="s">
        <v>111</v>
      </c>
      <c r="D57" s="16"/>
      <c r="E57" s="23"/>
      <c r="F57" s="24"/>
      <c r="G57" s="24"/>
      <c r="H57" s="39"/>
      <c r="J57" s="43" t="e">
        <f t="shared" si="0"/>
        <v>#DIV/0!</v>
      </c>
    </row>
    <row r="58" spans="2:10" ht="22.5" customHeight="1" x14ac:dyDescent="0.25">
      <c r="B58" s="8" t="s">
        <v>112</v>
      </c>
      <c r="C58" s="11" t="s">
        <v>113</v>
      </c>
      <c r="D58" s="16"/>
      <c r="E58" s="23"/>
      <c r="F58" s="24"/>
      <c r="G58" s="24"/>
      <c r="H58" s="39">
        <v>0.09</v>
      </c>
      <c r="J58" s="43" t="e">
        <f t="shared" si="0"/>
        <v>#DIV/0!</v>
      </c>
    </row>
    <row r="59" spans="2:10" ht="22.5" customHeight="1" x14ac:dyDescent="0.25">
      <c r="B59" s="8" t="s">
        <v>114</v>
      </c>
      <c r="C59" s="11" t="s">
        <v>115</v>
      </c>
      <c r="D59" s="16"/>
      <c r="E59" s="23"/>
      <c r="F59" s="24"/>
      <c r="G59" s="24"/>
      <c r="H59" s="39"/>
      <c r="J59" s="43" t="e">
        <f t="shared" si="0"/>
        <v>#DIV/0!</v>
      </c>
    </row>
    <row r="60" spans="2:10" ht="22.5" customHeight="1" x14ac:dyDescent="0.25">
      <c r="B60" s="8" t="s">
        <v>116</v>
      </c>
      <c r="C60" s="11" t="s">
        <v>117</v>
      </c>
      <c r="D60" s="16"/>
      <c r="E60" s="23"/>
      <c r="F60" s="24"/>
      <c r="G60" s="24"/>
      <c r="H60" s="39"/>
      <c r="J60" s="43" t="e">
        <f t="shared" si="0"/>
        <v>#DIV/0!</v>
      </c>
    </row>
    <row r="61" spans="2:10" ht="22.5" customHeight="1" x14ac:dyDescent="0.25">
      <c r="B61" s="8" t="s">
        <v>118</v>
      </c>
      <c r="C61" s="11" t="s">
        <v>119</v>
      </c>
      <c r="D61" s="16">
        <v>0.14841549295774648</v>
      </c>
      <c r="E61" s="23">
        <v>0.12134495641344957</v>
      </c>
      <c r="F61" s="24">
        <v>6.5385992125044742E-2</v>
      </c>
      <c r="G61" s="24">
        <v>0.27</v>
      </c>
      <c r="H61" s="39">
        <v>0.14000000000000001</v>
      </c>
      <c r="J61" s="43">
        <f t="shared" si="0"/>
        <v>-48.148148148148145</v>
      </c>
    </row>
    <row r="62" spans="2:10" ht="22.5" customHeight="1" x14ac:dyDescent="0.25">
      <c r="B62" s="8" t="s">
        <v>120</v>
      </c>
      <c r="C62" s="11" t="s">
        <v>121</v>
      </c>
      <c r="D62" s="16">
        <v>0.3909541683355266</v>
      </c>
      <c r="E62" s="23">
        <v>0.42362362080612476</v>
      </c>
      <c r="F62" s="24">
        <v>0.56343447421751858</v>
      </c>
      <c r="G62" s="24">
        <v>0.51</v>
      </c>
      <c r="H62" s="39">
        <v>0.44</v>
      </c>
      <c r="J62" s="43">
        <f t="shared" si="0"/>
        <v>-13.725490196078432</v>
      </c>
    </row>
    <row r="63" spans="2:10" ht="22.5" customHeight="1" x14ac:dyDescent="0.25">
      <c r="B63" s="8" t="s">
        <v>122</v>
      </c>
      <c r="C63" s="11" t="s">
        <v>123</v>
      </c>
      <c r="D63" s="16">
        <v>0.39271402510215997</v>
      </c>
      <c r="E63" s="23">
        <v>0.42189694702546154</v>
      </c>
      <c r="F63" s="24">
        <v>0.47770483890430793</v>
      </c>
      <c r="G63" s="24">
        <v>0.47770483890430793</v>
      </c>
      <c r="H63" s="39">
        <v>0.54</v>
      </c>
      <c r="J63" s="43">
        <f t="shared" si="0"/>
        <v>13.040512890465161</v>
      </c>
    </row>
    <row r="64" spans="2:10" ht="22.5" customHeight="1" x14ac:dyDescent="0.25">
      <c r="B64" s="8" t="s">
        <v>124</v>
      </c>
      <c r="C64" s="11" t="s">
        <v>125</v>
      </c>
      <c r="D64" s="16"/>
      <c r="E64" s="23"/>
      <c r="F64" s="24">
        <v>0.36482179341657206</v>
      </c>
      <c r="G64" s="24">
        <v>0.15</v>
      </c>
      <c r="H64" s="39">
        <v>0.36</v>
      </c>
      <c r="J64" s="43">
        <f t="shared" si="0"/>
        <v>140</v>
      </c>
    </row>
    <row r="65" spans="2:10" ht="22.5" customHeight="1" x14ac:dyDescent="0.25">
      <c r="B65" s="8" t="s">
        <v>126</v>
      </c>
      <c r="C65" s="11" t="s">
        <v>127</v>
      </c>
      <c r="D65" s="16">
        <v>0.14866214057507987</v>
      </c>
      <c r="E65" s="23">
        <v>0.10212700051626226</v>
      </c>
      <c r="F65" s="24">
        <v>0.25868912769871238</v>
      </c>
      <c r="G65" s="24">
        <v>0.17</v>
      </c>
      <c r="H65" s="39">
        <v>0.25</v>
      </c>
      <c r="J65" s="43">
        <f t="shared" si="0"/>
        <v>47.058823529411754</v>
      </c>
    </row>
    <row r="66" spans="2:10" ht="22.5" customHeight="1" x14ac:dyDescent="0.25">
      <c r="B66" s="8" t="s">
        <v>128</v>
      </c>
      <c r="C66" s="11" t="s">
        <v>129</v>
      </c>
      <c r="D66" s="16">
        <v>0.40542141230068329</v>
      </c>
      <c r="E66" s="23">
        <v>0.43666182873730042</v>
      </c>
      <c r="F66" s="24">
        <v>0.75108853410740206</v>
      </c>
      <c r="G66" s="24">
        <v>0.52</v>
      </c>
      <c r="H66" s="39">
        <v>0.68</v>
      </c>
      <c r="J66" s="43">
        <f t="shared" si="0"/>
        <v>30.769230769230774</v>
      </c>
    </row>
    <row r="67" spans="2:10" ht="22.5" customHeight="1" x14ac:dyDescent="0.25">
      <c r="B67" s="8" t="s">
        <v>130</v>
      </c>
      <c r="C67" s="11" t="s">
        <v>131</v>
      </c>
      <c r="D67" s="16">
        <v>0.62468174474959615</v>
      </c>
      <c r="E67" s="23">
        <v>0.66239180728349323</v>
      </c>
      <c r="F67" s="24">
        <v>0.68615310415939068</v>
      </c>
      <c r="G67" s="24">
        <v>0.7</v>
      </c>
      <c r="H67" s="39">
        <v>0.67</v>
      </c>
      <c r="J67" s="43">
        <f t="shared" si="0"/>
        <v>-4.285714285714274</v>
      </c>
    </row>
    <row r="68" spans="2:10" ht="22.5" customHeight="1" x14ac:dyDescent="0.25">
      <c r="B68" s="8" t="s">
        <v>132</v>
      </c>
      <c r="C68" s="11" t="s">
        <v>133</v>
      </c>
      <c r="D68" s="16"/>
      <c r="E68" s="23"/>
      <c r="F68" s="24"/>
      <c r="G68" s="24"/>
      <c r="H68" s="39"/>
      <c r="J68" s="43" t="e">
        <f t="shared" si="0"/>
        <v>#DIV/0!</v>
      </c>
    </row>
    <row r="69" spans="2:10" ht="22.5" customHeight="1" x14ac:dyDescent="0.25">
      <c r="B69" s="8" t="s">
        <v>134</v>
      </c>
      <c r="C69" s="11" t="s">
        <v>135</v>
      </c>
      <c r="D69" s="16">
        <v>0.54214026908556512</v>
      </c>
      <c r="E69" s="23">
        <v>0.61323384093039757</v>
      </c>
      <c r="F69" s="24">
        <v>0.65581601061477224</v>
      </c>
      <c r="G69" s="24">
        <v>0.68</v>
      </c>
      <c r="H69" s="39">
        <v>0.73</v>
      </c>
      <c r="J69" s="43">
        <f t="shared" si="0"/>
        <v>7.3529411764705772</v>
      </c>
    </row>
    <row r="70" spans="2:10" ht="22.5" customHeight="1" x14ac:dyDescent="0.25">
      <c r="B70" s="8" t="s">
        <v>136</v>
      </c>
      <c r="C70" s="11" t="s">
        <v>137</v>
      </c>
      <c r="D70" s="16">
        <v>0.31408603820469017</v>
      </c>
      <c r="E70" s="23">
        <v>0.28830091144062031</v>
      </c>
      <c r="F70" s="24">
        <v>0.17883409945674886</v>
      </c>
      <c r="G70" s="24">
        <v>0.13</v>
      </c>
      <c r="H70" s="39">
        <v>0.09</v>
      </c>
      <c r="J70" s="43">
        <f t="shared" ref="J70:J85" si="1">((H70-G70)*100)/G70</f>
        <v>-30.769230769230774</v>
      </c>
    </row>
    <row r="71" spans="2:10" ht="22.5" customHeight="1" x14ac:dyDescent="0.25">
      <c r="B71" s="8" t="s">
        <v>138</v>
      </c>
      <c r="C71" s="11" t="s">
        <v>139</v>
      </c>
      <c r="D71" s="16">
        <v>0.201257225433526</v>
      </c>
      <c r="E71" s="23">
        <v>0.24988962472406182</v>
      </c>
      <c r="F71" s="24">
        <v>0.313202170963365</v>
      </c>
      <c r="G71" s="24">
        <v>0.24</v>
      </c>
      <c r="H71" s="39">
        <v>0.45</v>
      </c>
      <c r="J71" s="43">
        <f t="shared" si="1"/>
        <v>87.500000000000014</v>
      </c>
    </row>
    <row r="72" spans="2:10" ht="22.5" customHeight="1" x14ac:dyDescent="0.25">
      <c r="B72" s="8" t="s">
        <v>140</v>
      </c>
      <c r="C72" s="11" t="s">
        <v>141</v>
      </c>
      <c r="D72" s="16">
        <v>0.18600000000000003</v>
      </c>
      <c r="E72" s="23">
        <v>0.35324590163934427</v>
      </c>
      <c r="F72" s="24">
        <v>0.30508196721311476</v>
      </c>
      <c r="G72" s="24">
        <v>0.38</v>
      </c>
      <c r="H72" s="39">
        <v>0.52</v>
      </c>
      <c r="J72" s="43">
        <f t="shared" si="1"/>
        <v>36.842105263157897</v>
      </c>
    </row>
    <row r="73" spans="2:10" ht="22.5" customHeight="1" x14ac:dyDescent="0.25">
      <c r="B73" s="8" t="s">
        <v>142</v>
      </c>
      <c r="C73" s="11" t="s">
        <v>143</v>
      </c>
      <c r="D73" s="16">
        <v>0.20957846553255449</v>
      </c>
      <c r="E73" s="23">
        <v>0.24103897354420933</v>
      </c>
      <c r="F73" s="24">
        <v>0.22903637370308852</v>
      </c>
      <c r="G73" s="24">
        <v>0.33</v>
      </c>
      <c r="H73" s="39">
        <v>0.31</v>
      </c>
      <c r="J73" s="43">
        <f t="shared" si="1"/>
        <v>-6.0606060606060659</v>
      </c>
    </row>
    <row r="74" spans="2:10" ht="22.5" customHeight="1" x14ac:dyDescent="0.25">
      <c r="B74" s="8" t="s">
        <v>144</v>
      </c>
      <c r="C74" s="11" t="s">
        <v>145</v>
      </c>
      <c r="D74" s="16">
        <v>0.12123412479293208</v>
      </c>
      <c r="E74" s="23">
        <v>0.2109716796875</v>
      </c>
      <c r="F74" s="24">
        <v>0.31937988281250002</v>
      </c>
      <c r="G74" s="24">
        <v>0.35</v>
      </c>
      <c r="H74" s="39">
        <v>0.4</v>
      </c>
      <c r="J74" s="43">
        <f t="shared" si="1"/>
        <v>14.285714285714299</v>
      </c>
    </row>
    <row r="75" spans="2:10" ht="22.5" customHeight="1" x14ac:dyDescent="0.25">
      <c r="B75" s="8" t="s">
        <v>146</v>
      </c>
      <c r="C75" s="11" t="s">
        <v>147</v>
      </c>
      <c r="D75" s="16">
        <v>0.26666666666666666</v>
      </c>
      <c r="E75" s="23">
        <v>0.35</v>
      </c>
      <c r="F75" s="24">
        <v>0.27750291036088476</v>
      </c>
      <c r="G75" s="24">
        <v>0.4</v>
      </c>
      <c r="H75" s="39">
        <v>0.61</v>
      </c>
      <c r="J75" s="43">
        <f t="shared" si="1"/>
        <v>52.499999999999986</v>
      </c>
    </row>
    <row r="76" spans="2:10" ht="22.5" customHeight="1" x14ac:dyDescent="0.25">
      <c r="B76" s="8" t="s">
        <v>148</v>
      </c>
      <c r="C76" s="11" t="s">
        <v>149</v>
      </c>
      <c r="D76" s="16"/>
      <c r="E76" s="23"/>
      <c r="F76" s="24"/>
      <c r="G76" s="24"/>
      <c r="H76" s="39"/>
      <c r="J76" s="43" t="e">
        <f t="shared" si="1"/>
        <v>#DIV/0!</v>
      </c>
    </row>
    <row r="77" spans="2:10" ht="22.5" customHeight="1" x14ac:dyDescent="0.25">
      <c r="B77" s="8" t="s">
        <v>150</v>
      </c>
      <c r="C77" s="11" t="s">
        <v>151</v>
      </c>
      <c r="D77" s="16">
        <v>0.61580269979128799</v>
      </c>
      <c r="E77" s="23">
        <v>0.81678589859589157</v>
      </c>
      <c r="F77" s="24">
        <v>0.83379094650205765</v>
      </c>
      <c r="G77" s="24">
        <v>0.77</v>
      </c>
      <c r="H77" s="39">
        <v>0.8</v>
      </c>
      <c r="J77" s="43">
        <f t="shared" si="1"/>
        <v>3.8961038961038996</v>
      </c>
    </row>
    <row r="78" spans="2:10" ht="22.5" customHeight="1" x14ac:dyDescent="0.25">
      <c r="B78" s="8" t="s">
        <v>152</v>
      </c>
      <c r="C78" s="11" t="s">
        <v>153</v>
      </c>
      <c r="D78" s="16">
        <v>0.39510510971305818</v>
      </c>
      <c r="E78" s="23">
        <v>0.55952804037245008</v>
      </c>
      <c r="F78" s="24">
        <v>0.59287085080673818</v>
      </c>
      <c r="G78" s="24">
        <v>0.6</v>
      </c>
      <c r="H78" s="39">
        <v>0.53</v>
      </c>
      <c r="J78" s="43">
        <f t="shared" si="1"/>
        <v>-11.666666666666659</v>
      </c>
    </row>
    <row r="79" spans="2:10" ht="22.5" customHeight="1" x14ac:dyDescent="0.25">
      <c r="B79" s="8" t="s">
        <v>154</v>
      </c>
      <c r="C79" s="11" t="s">
        <v>155</v>
      </c>
      <c r="D79" s="16">
        <v>1</v>
      </c>
      <c r="E79" s="23">
        <v>1</v>
      </c>
      <c r="F79" s="24">
        <v>0.89458955223880599</v>
      </c>
      <c r="G79" s="24">
        <v>0.24</v>
      </c>
      <c r="H79" s="39">
        <v>0.16</v>
      </c>
      <c r="J79" s="43">
        <f t="shared" si="1"/>
        <v>-33.333333333333329</v>
      </c>
    </row>
    <row r="80" spans="2:10" ht="22.5" customHeight="1" x14ac:dyDescent="0.25">
      <c r="B80" s="8" t="s">
        <v>156</v>
      </c>
      <c r="C80" s="11" t="s">
        <v>157</v>
      </c>
      <c r="D80" s="16">
        <v>0.90384647574739529</v>
      </c>
      <c r="E80" s="23">
        <v>1.1764552482071342</v>
      </c>
      <c r="F80" s="24">
        <v>1.2063260232290622</v>
      </c>
      <c r="G80" s="24">
        <v>1.07</v>
      </c>
      <c r="H80" s="39">
        <v>1.1200000000000001</v>
      </c>
      <c r="J80" s="43">
        <f t="shared" si="1"/>
        <v>4.6728971962616859</v>
      </c>
    </row>
    <row r="81" spans="2:10" ht="22.5" customHeight="1" x14ac:dyDescent="0.25">
      <c r="B81" s="8" t="s">
        <v>158</v>
      </c>
      <c r="C81" s="11" t="s">
        <v>159</v>
      </c>
      <c r="D81" s="16">
        <v>0.65292475678338324</v>
      </c>
      <c r="E81" s="23">
        <v>0.64607364229711428</v>
      </c>
      <c r="F81" s="24">
        <v>0.61269888666126349</v>
      </c>
      <c r="G81" s="24">
        <v>0.61269888666126349</v>
      </c>
      <c r="H81" s="39">
        <v>0.52</v>
      </c>
      <c r="J81" s="43">
        <f t="shared" si="1"/>
        <v>-15.129599331639222</v>
      </c>
    </row>
    <row r="82" spans="2:10" ht="22.5" customHeight="1" x14ac:dyDescent="0.25">
      <c r="B82" s="8" t="s">
        <v>160</v>
      </c>
      <c r="C82" s="11" t="s">
        <v>161</v>
      </c>
      <c r="D82" s="16">
        <v>0.35967179948297179</v>
      </c>
      <c r="E82" s="23">
        <v>0.49075630252100838</v>
      </c>
      <c r="F82" s="24">
        <v>0.39918302507659142</v>
      </c>
      <c r="G82" s="24">
        <v>0.37</v>
      </c>
      <c r="H82" s="39">
        <v>0.42</v>
      </c>
      <c r="J82" s="43">
        <f t="shared" si="1"/>
        <v>13.51351351351351</v>
      </c>
    </row>
    <row r="83" spans="2:10" ht="22.5" customHeight="1" x14ac:dyDescent="0.25">
      <c r="B83" s="8" t="s">
        <v>162</v>
      </c>
      <c r="C83" s="11" t="s">
        <v>163</v>
      </c>
      <c r="D83" s="16">
        <v>0.51525960980400909</v>
      </c>
      <c r="E83" s="23">
        <v>0.67010549629888672</v>
      </c>
      <c r="F83" s="24">
        <v>0.40760869565217389</v>
      </c>
      <c r="G83" s="24">
        <v>0.4</v>
      </c>
      <c r="H83" s="39">
        <v>0.84</v>
      </c>
      <c r="J83" s="43">
        <f t="shared" si="1"/>
        <v>109.99999999999997</v>
      </c>
    </row>
    <row r="84" spans="2:10" ht="22.5" customHeight="1" x14ac:dyDescent="0.25">
      <c r="B84" s="8" t="s">
        <v>164</v>
      </c>
      <c r="C84" s="11" t="s">
        <v>165</v>
      </c>
      <c r="D84" s="16">
        <v>0.50615805679096815</v>
      </c>
      <c r="E84" s="23">
        <v>0.47765993841943211</v>
      </c>
      <c r="F84" s="24">
        <v>0.76373846770958687</v>
      </c>
      <c r="G84" s="24">
        <v>0.95</v>
      </c>
      <c r="H84" s="39">
        <v>0.92</v>
      </c>
      <c r="J84" s="43">
        <f t="shared" si="1"/>
        <v>-3.1578947368420964</v>
      </c>
    </row>
    <row r="85" spans="2:10" ht="22.5" customHeight="1" thickBot="1" x14ac:dyDescent="0.3">
      <c r="B85" s="9" t="s">
        <v>166</v>
      </c>
      <c r="C85" s="12" t="s">
        <v>167</v>
      </c>
      <c r="D85" s="17"/>
      <c r="E85" s="27"/>
      <c r="F85" s="28"/>
      <c r="G85" s="28"/>
      <c r="H85" s="40"/>
      <c r="J85" s="43" t="e">
        <f t="shared" si="1"/>
        <v>#DIV/0!</v>
      </c>
    </row>
    <row r="86" spans="2:10" ht="21" customHeight="1" x14ac:dyDescent="0.25">
      <c r="B86" s="10"/>
    </row>
    <row r="87" spans="2:10" ht="21" customHeight="1" x14ac:dyDescent="0.25">
      <c r="B87" s="10" t="s">
        <v>168</v>
      </c>
    </row>
    <row r="88" spans="2:10" ht="21" customHeight="1" x14ac:dyDescent="0.25">
      <c r="B88" s="10" t="s">
        <v>169</v>
      </c>
    </row>
    <row r="89" spans="2:10" ht="78.75" customHeight="1" x14ac:dyDescent="0.25">
      <c r="B89" s="30" t="s">
        <v>171</v>
      </c>
      <c r="C89" s="31"/>
      <c r="D89" s="31"/>
      <c r="E89" s="31"/>
      <c r="F89" s="31"/>
      <c r="G89" s="31"/>
      <c r="H89" s="31"/>
    </row>
    <row r="94" spans="2:10" ht="15" customHeight="1" x14ac:dyDescent="0.25">
      <c r="C94" s="3"/>
      <c r="D94" s="3"/>
      <c r="E94" s="3"/>
      <c r="F94" s="3"/>
      <c r="G94" s="3"/>
      <c r="H94" s="21"/>
      <c r="I94" s="4"/>
    </row>
    <row r="95" spans="2:10" x14ac:dyDescent="0.25">
      <c r="C95" s="2"/>
      <c r="D95" s="2"/>
      <c r="E95" s="2"/>
      <c r="F95" s="2"/>
      <c r="G95" s="2"/>
      <c r="H95" s="22"/>
    </row>
  </sheetData>
  <mergeCells count="3">
    <mergeCell ref="B89:H89"/>
    <mergeCell ref="B2:H2"/>
    <mergeCell ref="D3:H3"/>
  </mergeCells>
  <pageMargins left="0.70866141732283472" right="0.70866141732283472" top="0" bottom="0" header="0.31496062992125984" footer="0.31496062992125984"/>
  <pageSetup paperSize="9" scale="2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2.13.Tablo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2024-10-31T13:13:27Z</dcterms:modified>
</cp:coreProperties>
</file>