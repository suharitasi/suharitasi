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taylans\Desktop\RİP 2025\2024 Rip 11.12.2025 15.30 Yayımlanacak İstatistikler\"/>
    </mc:Choice>
  </mc:AlternateContent>
  <xr:revisionPtr revIDLastSave="0" documentId="13_ncr:1_{2732C781-747B-4594-AAFD-4C77428961C2}" xr6:coauthVersionLast="47" xr6:coauthVersionMax="47" xr10:uidLastSave="{00000000-0000-0000-0000-000000000000}"/>
  <bookViews>
    <workbookView xWindow="-28920" yWindow="-1920" windowWidth="29040" windowHeight="15840" xr2:uid="{00000000-000D-0000-FFFF-FFFF00000000}"/>
  </bookViews>
  <sheets>
    <sheet name="1.2.Tabl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30" i="1" l="1"/>
  <c r="AH30" i="1"/>
  <c r="AJ29" i="1"/>
  <c r="AJ28" i="1"/>
  <c r="AJ27" i="1"/>
  <c r="AJ26" i="1"/>
  <c r="AJ25" i="1"/>
  <c r="AJ24" i="1"/>
  <c r="AJ23" i="1"/>
  <c r="AJ22" i="1"/>
  <c r="AJ21" i="1"/>
  <c r="AJ20" i="1"/>
  <c r="AJ19" i="1"/>
  <c r="AJ18" i="1"/>
  <c r="AJ17" i="1"/>
  <c r="AJ16" i="1"/>
  <c r="AJ15" i="1"/>
  <c r="AJ14" i="1"/>
  <c r="AJ13" i="1"/>
  <c r="AJ12" i="1"/>
  <c r="AJ11" i="1"/>
  <c r="AJ10" i="1"/>
  <c r="AJ9" i="1"/>
  <c r="AJ8" i="1"/>
  <c r="AJ7" i="1"/>
  <c r="AJ6" i="1"/>
  <c r="AJ5" i="1"/>
  <c r="AJ30" i="1" s="1"/>
  <c r="AF30" i="1"/>
  <c r="AG12" i="1" s="1"/>
  <c r="AE30" i="1"/>
  <c r="AG23" i="1"/>
  <c r="AG22" i="1"/>
  <c r="AG19" i="1"/>
  <c r="AG18" i="1"/>
  <c r="AG11" i="1"/>
  <c r="AK30" i="1"/>
  <c r="AL30" i="1"/>
  <c r="AM6" i="1" s="1"/>
  <c r="AC30" i="1"/>
  <c r="AD18" i="1" s="1"/>
  <c r="AB30" i="1"/>
  <c r="AD29" i="1"/>
  <c r="Z30" i="1"/>
  <c r="AA22" i="1" s="1"/>
  <c r="Y30" i="1"/>
  <c r="AG14" i="1" l="1"/>
  <c r="AG15" i="1"/>
  <c r="AG16" i="1"/>
  <c r="AG17" i="1"/>
  <c r="AG21" i="1"/>
  <c r="AG25" i="1"/>
  <c r="AG5" i="1"/>
  <c r="AG26" i="1"/>
  <c r="AG9" i="1"/>
  <c r="AG10" i="1"/>
  <c r="AG13" i="1"/>
  <c r="AG20" i="1"/>
  <c r="AG24" i="1"/>
  <c r="AG6" i="1"/>
  <c r="AG27" i="1"/>
  <c r="AG7" i="1"/>
  <c r="AG28" i="1"/>
  <c r="AG8" i="1"/>
  <c r="AG29" i="1"/>
  <c r="AD9" i="1"/>
  <c r="AD11" i="1"/>
  <c r="AM20" i="1"/>
  <c r="AM17" i="1"/>
  <c r="AM14" i="1"/>
  <c r="AD6" i="1"/>
  <c r="AM25" i="1"/>
  <c r="AM23" i="1"/>
  <c r="AM21" i="1"/>
  <c r="AD21" i="1"/>
  <c r="AM16" i="1"/>
  <c r="AD25" i="1"/>
  <c r="AD26" i="1"/>
  <c r="AM13" i="1"/>
  <c r="AD5" i="1"/>
  <c r="AD7" i="1"/>
  <c r="AM24" i="1"/>
  <c r="AM22" i="1"/>
  <c r="AD20" i="1"/>
  <c r="AM18" i="1"/>
  <c r="AD23" i="1"/>
  <c r="AM15" i="1"/>
  <c r="AD27" i="1"/>
  <c r="AM12" i="1"/>
  <c r="AD8" i="1"/>
  <c r="AD10" i="1"/>
  <c r="AD19" i="1"/>
  <c r="AM19" i="1"/>
  <c r="AD22" i="1"/>
  <c r="AD24" i="1"/>
  <c r="AD28" i="1"/>
  <c r="AM5" i="1"/>
  <c r="AD12" i="1"/>
  <c r="AD13" i="1"/>
  <c r="AM11" i="1"/>
  <c r="AD14" i="1"/>
  <c r="AM10" i="1"/>
  <c r="AD15" i="1"/>
  <c r="AM29" i="1"/>
  <c r="AM9" i="1"/>
  <c r="AD16" i="1"/>
  <c r="AM28" i="1"/>
  <c r="AM8" i="1"/>
  <c r="AD17" i="1"/>
  <c r="AM27" i="1"/>
  <c r="AM7" i="1"/>
  <c r="AM26" i="1"/>
  <c r="AA23" i="1"/>
  <c r="AA28" i="1"/>
  <c r="AA20" i="1"/>
  <c r="AA5" i="1"/>
  <c r="AA15" i="1"/>
  <c r="AA7" i="1"/>
  <c r="AA12" i="1"/>
  <c r="AA8" i="1"/>
  <c r="AA16" i="1"/>
  <c r="AA24" i="1"/>
  <c r="AA9" i="1"/>
  <c r="AA25" i="1"/>
  <c r="AA10" i="1"/>
  <c r="AA18" i="1"/>
  <c r="AA26" i="1"/>
  <c r="AA17" i="1"/>
  <c r="AA11" i="1"/>
  <c r="AA19" i="1"/>
  <c r="AA27" i="1"/>
  <c r="AA13" i="1"/>
  <c r="AA21" i="1"/>
  <c r="AA29" i="1"/>
  <c r="AA6" i="1"/>
  <c r="AA14" i="1"/>
  <c r="W30" i="1"/>
  <c r="X5" i="1" s="1"/>
  <c r="V30" i="1"/>
  <c r="AM30" i="1" l="1"/>
  <c r="AG30" i="1"/>
  <c r="AD30" i="1"/>
  <c r="AA30" i="1"/>
  <c r="X29" i="1"/>
  <c r="X28" i="1"/>
  <c r="X27" i="1"/>
  <c r="X26" i="1"/>
  <c r="X25" i="1"/>
  <c r="X24" i="1"/>
  <c r="X23" i="1"/>
  <c r="X22" i="1"/>
  <c r="X21" i="1"/>
  <c r="X20" i="1"/>
  <c r="X19" i="1"/>
  <c r="X18" i="1"/>
  <c r="X17" i="1"/>
  <c r="X16" i="1"/>
  <c r="X15" i="1"/>
  <c r="X14" i="1"/>
  <c r="X13" i="1"/>
  <c r="X12" i="1"/>
  <c r="X11" i="1"/>
  <c r="X10" i="1"/>
  <c r="X9" i="1"/>
  <c r="X8" i="1"/>
  <c r="X7" i="1"/>
  <c r="X6" i="1"/>
  <c r="X30" i="1" l="1"/>
  <c r="T30" i="1"/>
  <c r="U5" i="1" s="1"/>
  <c r="S30" i="1"/>
  <c r="U6" i="1" l="1"/>
  <c r="U7" i="1"/>
  <c r="U23" i="1"/>
  <c r="U26" i="1"/>
  <c r="U14" i="1"/>
  <c r="U22" i="1"/>
  <c r="U15" i="1"/>
  <c r="U8" i="1"/>
  <c r="U16" i="1"/>
  <c r="U24" i="1"/>
  <c r="U9" i="1"/>
  <c r="U17" i="1"/>
  <c r="U25" i="1"/>
  <c r="U10" i="1"/>
  <c r="U18" i="1"/>
  <c r="U11" i="1"/>
  <c r="U19" i="1"/>
  <c r="U27" i="1"/>
  <c r="U12" i="1"/>
  <c r="U20" i="1"/>
  <c r="U28" i="1"/>
  <c r="U13" i="1"/>
  <c r="U21" i="1"/>
  <c r="U29" i="1"/>
  <c r="N30" i="1"/>
  <c r="O22" i="1" s="1"/>
  <c r="M30" i="1"/>
  <c r="K30" i="1"/>
  <c r="J30" i="1"/>
  <c r="L29" i="1"/>
  <c r="L28" i="1"/>
  <c r="L27" i="1"/>
  <c r="L26" i="1"/>
  <c r="L25" i="1"/>
  <c r="L24" i="1"/>
  <c r="L23" i="1"/>
  <c r="L22" i="1"/>
  <c r="L21" i="1"/>
  <c r="L20" i="1"/>
  <c r="L19" i="1"/>
  <c r="L18" i="1"/>
  <c r="L17" i="1"/>
  <c r="L16" i="1"/>
  <c r="L15" i="1"/>
  <c r="L14" i="1"/>
  <c r="L13" i="1"/>
  <c r="L12" i="1"/>
  <c r="L11" i="1"/>
  <c r="L10" i="1"/>
  <c r="L9" i="1"/>
  <c r="L8" i="1"/>
  <c r="L7" i="1"/>
  <c r="L6" i="1"/>
  <c r="L5" i="1"/>
  <c r="H30" i="1"/>
  <c r="G30" i="1"/>
  <c r="I29" i="1"/>
  <c r="I28" i="1"/>
  <c r="I27" i="1"/>
  <c r="I26" i="1"/>
  <c r="I25" i="1"/>
  <c r="I24" i="1"/>
  <c r="I23" i="1"/>
  <c r="I22" i="1"/>
  <c r="I21" i="1"/>
  <c r="I20" i="1"/>
  <c r="I19" i="1"/>
  <c r="I18" i="1"/>
  <c r="I17" i="1"/>
  <c r="I16" i="1"/>
  <c r="I15" i="1"/>
  <c r="I14" i="1"/>
  <c r="I13" i="1"/>
  <c r="I12" i="1"/>
  <c r="I11" i="1"/>
  <c r="I10" i="1"/>
  <c r="I9" i="1"/>
  <c r="I8" i="1"/>
  <c r="I7" i="1"/>
  <c r="I6" i="1"/>
  <c r="I5" i="1"/>
  <c r="I30" i="1" l="1"/>
  <c r="L30" i="1"/>
  <c r="U30" i="1"/>
  <c r="O8" i="1"/>
  <c r="O16" i="1"/>
  <c r="O24" i="1"/>
  <c r="O10" i="1"/>
  <c r="O18" i="1"/>
  <c r="O26" i="1"/>
  <c r="O7" i="1"/>
  <c r="O15" i="1"/>
  <c r="O23" i="1"/>
  <c r="O9" i="1"/>
  <c r="O17" i="1"/>
  <c r="O25" i="1"/>
  <c r="O11" i="1"/>
  <c r="O19" i="1"/>
  <c r="O27" i="1"/>
  <c r="O12" i="1"/>
  <c r="O20" i="1"/>
  <c r="O28" i="1"/>
  <c r="O5" i="1"/>
  <c r="O13" i="1"/>
  <c r="O21" i="1"/>
  <c r="O29" i="1"/>
  <c r="O6" i="1"/>
  <c r="O14" i="1"/>
  <c r="Q30" i="1"/>
  <c r="R29" i="1" s="1"/>
  <c r="P30" i="1"/>
  <c r="O30" i="1" l="1"/>
  <c r="R9" i="1"/>
  <c r="R10" i="1"/>
  <c r="R26" i="1"/>
  <c r="R13" i="1"/>
  <c r="R6" i="1"/>
  <c r="R22" i="1"/>
  <c r="R7" i="1"/>
  <c r="R15" i="1"/>
  <c r="R23" i="1"/>
  <c r="R25" i="1"/>
  <c r="R5" i="1"/>
  <c r="R21" i="1"/>
  <c r="R14" i="1"/>
  <c r="R8" i="1"/>
  <c r="R16" i="1"/>
  <c r="R24" i="1"/>
  <c r="R27" i="1"/>
  <c r="R17" i="1"/>
  <c r="R18" i="1"/>
  <c r="R11" i="1"/>
  <c r="R19" i="1"/>
  <c r="R12" i="1"/>
  <c r="R20" i="1"/>
  <c r="R28" i="1"/>
  <c r="E30" i="1"/>
  <c r="D30" i="1"/>
  <c r="F29" i="1"/>
  <c r="F28" i="1"/>
  <c r="F27" i="1"/>
  <c r="F26" i="1"/>
  <c r="F25" i="1"/>
  <c r="F24" i="1"/>
  <c r="F23" i="1"/>
  <c r="F22" i="1"/>
  <c r="F21" i="1"/>
  <c r="F20" i="1"/>
  <c r="F19" i="1"/>
  <c r="F18" i="1"/>
  <c r="F17" i="1"/>
  <c r="F16" i="1"/>
  <c r="F15" i="1"/>
  <c r="F14" i="1"/>
  <c r="F13" i="1"/>
  <c r="F12" i="1"/>
  <c r="F11" i="1"/>
  <c r="F10" i="1"/>
  <c r="F9" i="1"/>
  <c r="F8" i="1"/>
  <c r="F7" i="1"/>
  <c r="F6" i="1"/>
  <c r="F5" i="1"/>
  <c r="R30" i="1" l="1"/>
  <c r="F30" i="1"/>
</calcChain>
</file>

<file path=xl/sharedStrings.xml><?xml version="1.0" encoding="utf-8"?>
<sst xmlns="http://schemas.openxmlformats.org/spreadsheetml/2006/main" count="94" uniqueCount="63">
  <si>
    <t>Havzanın Adı</t>
  </si>
  <si>
    <t>Potansiyel İştirak Oranı (%)</t>
  </si>
  <si>
    <t>Toplam</t>
  </si>
  <si>
    <t>Fırat - Dicle (*)(**)</t>
  </si>
  <si>
    <t xml:space="preserve">Marmara </t>
  </si>
  <si>
    <t xml:space="preserve">Susurluk </t>
  </si>
  <si>
    <t xml:space="preserve">Kuzey Ege </t>
  </si>
  <si>
    <t xml:space="preserve">Gediz </t>
  </si>
  <si>
    <t xml:space="preserve">Küçük Menderes </t>
  </si>
  <si>
    <t xml:space="preserve">Büyük Menderes </t>
  </si>
  <si>
    <t xml:space="preserve">Batı Akdeniz </t>
  </si>
  <si>
    <t xml:space="preserve">Antalya </t>
  </si>
  <si>
    <t xml:space="preserve">Burdur Göller </t>
  </si>
  <si>
    <t xml:space="preserve">Akarçay </t>
  </si>
  <si>
    <t xml:space="preserve">Sakarya </t>
  </si>
  <si>
    <t xml:space="preserve">Batı Karadeniz </t>
  </si>
  <si>
    <t xml:space="preserve">Yeşilırmak </t>
  </si>
  <si>
    <t xml:space="preserve">Kızılırmak </t>
  </si>
  <si>
    <t xml:space="preserve">Konya Kapalı </t>
  </si>
  <si>
    <t xml:space="preserve">Doğu Akdeniz </t>
  </si>
  <si>
    <t xml:space="preserve">Seyhan </t>
  </si>
  <si>
    <t xml:space="preserve">Asi </t>
  </si>
  <si>
    <t xml:space="preserve">Ceyhan </t>
  </si>
  <si>
    <t xml:space="preserve">Doğu Karadeniz </t>
  </si>
  <si>
    <t xml:space="preserve">Çoruh </t>
  </si>
  <si>
    <t xml:space="preserve">Aras </t>
  </si>
  <si>
    <t xml:space="preserve">Van Gölü </t>
  </si>
  <si>
    <t>Havza No</t>
  </si>
  <si>
    <r>
      <t>Havza Yağışalanı (km</t>
    </r>
    <r>
      <rPr>
        <b/>
        <vertAlign val="superscript"/>
        <sz val="12"/>
        <rFont val="Times New Roman"/>
        <family val="1"/>
        <charset val="162"/>
      </rPr>
      <t>2</t>
    </r>
    <r>
      <rPr>
        <b/>
        <sz val="12"/>
        <rFont val="Times New Roman"/>
        <family val="1"/>
        <charset val="162"/>
      </rPr>
      <t>)</t>
    </r>
  </si>
  <si>
    <r>
      <t>Ortalama Yıllık Akış (km</t>
    </r>
    <r>
      <rPr>
        <b/>
        <vertAlign val="superscript"/>
        <sz val="12"/>
        <rFont val="Times New Roman"/>
        <family val="1"/>
        <charset val="162"/>
      </rPr>
      <t>3</t>
    </r>
    <r>
      <rPr>
        <b/>
        <sz val="12"/>
        <rFont val="Times New Roman"/>
        <family val="1"/>
        <charset val="162"/>
      </rPr>
      <t>)(***)</t>
    </r>
  </si>
  <si>
    <r>
      <rPr>
        <b/>
        <sz val="12"/>
        <color theme="1"/>
        <rFont val="Times New Roman"/>
        <family val="1"/>
        <charset val="162"/>
      </rPr>
      <t>(***)</t>
    </r>
    <r>
      <rPr>
        <sz val="12"/>
        <color theme="1"/>
        <rFont val="Times New Roman"/>
        <family val="1"/>
        <charset val="162"/>
      </rPr>
      <t xml:space="preserve"> Bu değerler havzaların en mansabındaki baz istasyon akışlarından elde edilmiştir.</t>
    </r>
  </si>
  <si>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</si>
  <si>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</si>
  <si>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</si>
  <si>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</si>
  <si>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</si>
  <si>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</si>
  <si>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</si>
  <si>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</si>
  <si>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</si>
  <si>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</si>
  <si>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</si>
  <si>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</si>
  <si>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</si>
  <si>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</si>
  <si>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</si>
  <si>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</si>
  <si>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</si>
  <si>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</si>
  <si>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</si>
  <si>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</si>
  <si>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</si>
  <si>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</si>
  <si>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</si>
  <si>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</si>
  <si>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</si>
  <si>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Meriç Ergene</t>
  </si>
  <si>
    <t>Havza Yağışalanı (km2)</t>
  </si>
  <si>
    <t>Ortalama Yıllık Akış (km3)(***)</t>
  </si>
  <si>
    <r>
      <rPr>
        <b/>
        <sz val="12"/>
        <rFont val="Times New Roman"/>
        <family val="1"/>
        <charset val="162"/>
      </rPr>
      <t xml:space="preserve">(*) </t>
    </r>
    <r>
      <rPr>
        <sz val="12"/>
        <rFont val="Times New Roman"/>
        <family val="1"/>
        <charset val="162"/>
      </rPr>
      <t>Fırat Nehri anakol yıllık akışı 31,61 km</t>
    </r>
    <r>
      <rPr>
        <vertAlign val="superscript"/>
        <sz val="12"/>
        <rFont val="Times New Roman"/>
        <family val="1"/>
        <charset val="162"/>
      </rPr>
      <t>3</t>
    </r>
    <r>
      <rPr>
        <sz val="12"/>
        <rFont val="Times New Roman"/>
        <family val="1"/>
        <charset val="162"/>
      </rPr>
      <t xml:space="preserve"> (2013-2015), 30,64 km³ (2016,2017), 31,13 km³ (2018) tür.</t>
    </r>
  </si>
  <si>
    <r>
      <rPr>
        <b/>
        <sz val="12"/>
        <rFont val="Times New Roman"/>
        <family val="1"/>
        <charset val="162"/>
      </rPr>
      <t>(**)</t>
    </r>
    <r>
      <rPr>
        <sz val="12"/>
        <rFont val="Times New Roman"/>
        <family val="1"/>
        <charset val="162"/>
      </rPr>
      <t xml:space="preserve"> Dicle Nehri anakol yıllık akışı 21,33 km</t>
    </r>
    <r>
      <rPr>
        <vertAlign val="superscript"/>
        <sz val="12"/>
        <rFont val="Times New Roman"/>
        <family val="1"/>
        <charset val="162"/>
      </rPr>
      <t>3</t>
    </r>
    <r>
      <rPr>
        <sz val="12"/>
        <rFont val="Times New Roman"/>
        <family val="1"/>
        <charset val="162"/>
      </rPr>
      <t xml:space="preserve"> (2013-2015), 24,78 km³ (2016,2017), 25,19 km³ (2018) tür.</t>
    </r>
  </si>
  <si>
    <r>
      <t xml:space="preserve">NOT: 1- </t>
    </r>
    <r>
      <rPr>
        <sz val="12"/>
        <color theme="1"/>
        <rFont val="Times New Roman"/>
        <family val="1"/>
        <charset val="162"/>
      </rPr>
      <t>2013-2015 yılı verileri değişmemiştir.</t>
    </r>
    <r>
      <rPr>
        <b/>
        <sz val="12"/>
        <color theme="1"/>
        <rFont val="Times New Roman"/>
        <family val="1"/>
        <charset val="162"/>
      </rPr>
      <t xml:space="preserve">
          2- </t>
    </r>
    <r>
      <rPr>
        <sz val="12"/>
        <color theme="1"/>
        <rFont val="Times New Roman"/>
        <family val="1"/>
        <charset val="162"/>
      </rPr>
      <t>Verilerin 2016,</t>
    </r>
    <r>
      <rPr>
        <sz val="12"/>
        <color rgb="FFFF0000"/>
        <rFont val="Times New Roman"/>
        <family val="1"/>
        <charset val="162"/>
      </rPr>
      <t xml:space="preserve"> </t>
    </r>
    <r>
      <rPr>
        <sz val="12"/>
        <rFont val="Times New Roman"/>
        <family val="1"/>
        <charset val="162"/>
      </rPr>
      <t>2017</t>
    </r>
    <r>
      <rPr>
        <sz val="12"/>
        <color theme="1"/>
        <rFont val="Times New Roman"/>
        <family val="1"/>
        <charset val="162"/>
      </rPr>
      <t xml:space="preserve"> yılındaki değişikliklerinin nedeni; 
         Tarım ve Orman Bakanlığımız bünyesinde; Hidroloji İhtisas Heyeti faaliyetlerinde yer alan “Türkiye’nin Su Bütçesinin Belirlenmesi      Projesi” çalışması kapsamında Türkiye’nin alansal ortalama yağışı, yüzey ve yeraltısusyu potansiyeli ile evapotranspirasyon değerlerinin güncellenmesinin yapılmasıdır."Türkiye Yüzey Suyu Potansiyeli Projesi" çalışması; Genel Müdürlüğümüzce Türkiye’nin 25 havzası için, havzayı temsil edebilecek ana kol, yan kol ve havza çıkışlarında bulunan ve 1981-2010 periyoda sahip 401 adet AGİ belirlenerek, 2014 Eylül ayında başlayıp 2015 yılı sonu itibariyle tamamlanmış olup söz konusu proje çalışması sonucu elde edilen sonuçlar 2016, 2017, yılı tablomuzda yer almıştır.
        </t>
    </r>
    <r>
      <rPr>
        <b/>
        <sz val="12"/>
        <color theme="1"/>
        <rFont val="Times New Roman"/>
        <family val="1"/>
        <charset val="162"/>
      </rPr>
      <t xml:space="preserve"> 3- </t>
    </r>
    <r>
      <rPr>
        <sz val="12"/>
        <color theme="1"/>
        <rFont val="Times New Roman"/>
        <family val="1"/>
        <charset val="162"/>
      </rPr>
      <t xml:space="preserve">Tamamlanan havza master plan çalışmaları sonucunda 2018 yılında veriler güncellenmiştir.
</t>
    </r>
    <r>
      <rPr>
        <b/>
        <sz val="12"/>
        <color theme="1"/>
        <rFont val="Times New Roman"/>
        <family val="1"/>
        <charset val="162"/>
      </rPr>
      <t xml:space="preserve">        </t>
    </r>
    <r>
      <rPr>
        <sz val="12"/>
        <color theme="1"/>
        <rFont val="Times New Roman"/>
        <family val="1"/>
        <charset val="162"/>
      </rPr>
      <t xml:space="preserve"> 4- 2022 yılı verileri 2022 yılında ihale edilerek 2023 yılında tamamlanan "Havza Su Potansiyellerinin Belirlenmesi İşi" kapsamında belirlenmiştir. Bu çerçevede yapılan çalışmanın ana veri kaynağını, DSİ tarafından tamamlanan Havza Master Planları ile Su Yönetimi Genel Müdürlüğü (SYGM) tarafından tamamlanan ve/veya devam eden Kuraklık Yönetim Planları ve Sektörel Su Tahsis Planları oluşturmuştur.</t>
    </r>
    <r>
      <rPr>
        <b/>
        <sz val="12"/>
        <color theme="1"/>
        <rFont val="Times New Roman"/>
        <family val="1"/>
        <charset val="162"/>
      </rPr>
      <t xml:space="preserve">
         5-</t>
    </r>
    <r>
      <rPr>
        <sz val="12"/>
        <color theme="1"/>
        <rFont val="Times New Roman"/>
        <family val="1"/>
        <charset val="162"/>
      </rPr>
      <t xml:space="preserve"> Ulusal Havza Kodlaması kullanılmıştır.</t>
    </r>
  </si>
  <si>
    <t>1.2.Havzalara Göre Yıllık Ortalama Yüzeysuyu Su Potansiyeli, 2013-2024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</si>
</sst>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1"/>
      <color theme="1"/>
      <name val="Calibri"/>
      <family val="2"/>
      <charset val="162"/>
      <scheme val="minor"/>
    </font>
    <font>
      <b/>
      <sz val="12"/>
      <name val="Times New Roman"/>
      <family val="1"/>
      <charset val="162"/>
    </font>
    <font>
      <sz val="12"/>
      <name val="Calibri"/>
      <family val="2"/>
      <charset val="162"/>
      <scheme val="minor"/>
    </font>
    <font>
      <b/>
      <sz val="12"/>
      <color theme="1"/>
      <name val="Times New Roman"/>
      <family val="1"/>
      <charset val="162"/>
    </font>
    <font>
      <sz val="12"/>
      <color theme="1"/>
      <name val="Times New Roman"/>
      <family val="1"/>
      <charset val="162"/>
    </font>
    <font>
      <b/>
      <vertAlign val="superscript"/>
      <sz val="12"/>
      <name val="Times New Roman"/>
      <family val="1"/>
      <charset val="162"/>
    </font>
    <font>
      <sz val="12"/>
      <name val="Times New Roman"/>
      <family val="1"/>
      <charset val="162"/>
    </font>
    <font>
      <sz val="12"/>
      <color theme="1"/>
      <name val="Calibri"/>
      <family val="2"/>
      <charset val="162"/>
      <scheme val="minor"/>
    </font>
    <font>
      <sz val="12"/>
      <color rgb="FFFF0000"/>
      <name val="Times New Roman"/>
      <family val="1"/>
      <charset val="162"/>
    </font>
    <font>
      <vertAlign val="superscript"/>
      <sz val="12"/>
      <name val="Times New Roman"/>
      <family val="1"/>
      <charset val="16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s>
  <cellStyleXfs count="1">
    <xf numFmtId="0" fontId="0" fillId="0" borderId="0"/>
  </cellStyleXfs>
  <cellXfs count="56">
    <xf numFmtId="0" fontId="0" fillId="0" borderId="0" xfId="0"/>
    <xf numFmtId="0" fontId="0" fillId="0" borderId="0" xfId="0" applyAlignment="1">
      <alignment horizontal="center"/>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6" fillId="2" borderId="3" xfId="0" applyFont="1" applyFill="1" applyBorder="1" applyAlignment="1">
      <alignment horizontal="right" vertical="center"/>
    </xf>
    <xf numFmtId="164" fontId="6" fillId="2" borderId="4" xfId="0" applyNumberFormat="1" applyFont="1" applyFill="1" applyBorder="1" applyAlignment="1">
      <alignment horizontal="right" vertical="center"/>
    </xf>
    <xf numFmtId="0" fontId="6" fillId="2" borderId="1" xfId="0" applyFont="1" applyFill="1" applyBorder="1" applyAlignment="1">
      <alignment horizontal="right" vertical="center"/>
    </xf>
    <xf numFmtId="164" fontId="6" fillId="2" borderId="2" xfId="0" applyNumberFormat="1" applyFont="1" applyFill="1" applyBorder="1" applyAlignment="1">
      <alignment horizontal="right" vertical="center"/>
    </xf>
    <xf numFmtId="164" fontId="6" fillId="2" borderId="8" xfId="0" applyNumberFormat="1" applyFont="1" applyFill="1" applyBorder="1" applyAlignment="1">
      <alignment horizontal="right" vertical="center"/>
    </xf>
    <xf numFmtId="0" fontId="1" fillId="2" borderId="6" xfId="0" applyFont="1" applyFill="1" applyBorder="1" applyAlignment="1">
      <alignment horizontal="right" vertical="center"/>
    </xf>
    <xf numFmtId="0" fontId="1" fillId="2" borderId="7" xfId="0" applyFont="1" applyFill="1" applyBorder="1" applyAlignment="1">
      <alignment horizontal="right" vertical="center"/>
    </xf>
    <xf numFmtId="0" fontId="0" fillId="0" borderId="11" xfId="0" applyBorder="1"/>
    <xf numFmtId="0" fontId="3" fillId="3" borderId="15" xfId="0" quotePrefix="1" applyFont="1" applyFill="1" applyBorder="1" applyAlignment="1">
      <alignment horizontal="center" vertical="center"/>
    </xf>
    <xf numFmtId="0" fontId="3" fillId="3" borderId="10" xfId="0" quotePrefix="1" applyFont="1" applyFill="1" applyBorder="1" applyAlignment="1">
      <alignment horizontal="center" vertical="center"/>
    </xf>
    <xf numFmtId="0" fontId="7" fillId="0" borderId="0" xfId="0" applyFont="1"/>
    <xf numFmtId="3" fontId="1" fillId="2" borderId="6" xfId="0" applyNumberFormat="1" applyFont="1" applyFill="1" applyBorder="1" applyAlignment="1">
      <alignment horizontal="right"/>
    </xf>
    <xf numFmtId="4" fontId="1" fillId="2" borderId="6" xfId="0" applyNumberFormat="1" applyFont="1" applyFill="1" applyBorder="1" applyAlignment="1">
      <alignment horizontal="right" vertical="center"/>
    </xf>
    <xf numFmtId="0" fontId="1" fillId="2" borderId="17" xfId="0" applyFont="1" applyFill="1" applyBorder="1" applyAlignment="1">
      <alignment horizontal="center" vertical="center" wrapText="1"/>
    </xf>
    <xf numFmtId="164" fontId="6" fillId="2" borderId="21" xfId="0" applyNumberFormat="1" applyFont="1" applyFill="1" applyBorder="1" applyAlignment="1">
      <alignment horizontal="right" vertical="center"/>
    </xf>
    <xf numFmtId="164" fontId="6" fillId="2" borderId="22" xfId="0" applyNumberFormat="1" applyFont="1" applyFill="1" applyBorder="1" applyAlignment="1">
      <alignment horizontal="right" vertical="center"/>
    </xf>
    <xf numFmtId="164" fontId="6" fillId="2" borderId="23" xfId="0" applyNumberFormat="1" applyFont="1" applyFill="1" applyBorder="1" applyAlignment="1">
      <alignment horizontal="right" vertical="center"/>
    </xf>
    <xf numFmtId="0" fontId="1" fillId="2" borderId="17" xfId="0" applyFont="1" applyFill="1" applyBorder="1" applyAlignment="1">
      <alignment horizontal="right" vertical="center"/>
    </xf>
    <xf numFmtId="0" fontId="1" fillId="2" borderId="9" xfId="0" applyFont="1" applyFill="1" applyBorder="1" applyAlignment="1">
      <alignment horizontal="center" vertical="center" wrapText="1" shrinkToFit="1"/>
    </xf>
    <xf numFmtId="3" fontId="1" fillId="2" borderId="9" xfId="0" applyNumberFormat="1" applyFont="1" applyFill="1" applyBorder="1" applyAlignment="1">
      <alignment horizontal="right"/>
    </xf>
    <xf numFmtId="0" fontId="1" fillId="2" borderId="5" xfId="0" applyFont="1" applyFill="1" applyBorder="1" applyAlignment="1">
      <alignment horizontal="center" vertical="center" wrapText="1"/>
    </xf>
    <xf numFmtId="3" fontId="1" fillId="2" borderId="27" xfId="0" applyNumberFormat="1" applyFont="1" applyFill="1" applyBorder="1" applyAlignment="1">
      <alignment horizontal="right"/>
    </xf>
    <xf numFmtId="165" fontId="6" fillId="2" borderId="24" xfId="0" applyNumberFormat="1" applyFont="1" applyFill="1" applyBorder="1" applyAlignment="1">
      <alignment horizontal="right" vertical="center"/>
    </xf>
    <xf numFmtId="165" fontId="6" fillId="2" borderId="25" xfId="0" applyNumberFormat="1" applyFont="1" applyFill="1" applyBorder="1" applyAlignment="1">
      <alignment horizontal="right" vertical="center"/>
    </xf>
    <xf numFmtId="165" fontId="6" fillId="2" borderId="26" xfId="0" applyNumberFormat="1" applyFont="1" applyFill="1" applyBorder="1" applyAlignment="1">
      <alignment horizontal="right" vertical="center"/>
    </xf>
    <xf numFmtId="0" fontId="1" fillId="2" borderId="17"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4" fillId="3" borderId="28" xfId="0" applyFont="1" applyFill="1" applyBorder="1" applyAlignment="1">
      <alignment vertical="center"/>
    </xf>
    <xf numFmtId="0" fontId="4" fillId="3" borderId="29" xfId="0" applyFont="1" applyFill="1" applyBorder="1" applyAlignment="1">
      <alignment vertical="center"/>
    </xf>
    <xf numFmtId="0" fontId="2" fillId="2" borderId="29" xfId="0" applyFont="1" applyFill="1" applyBorder="1"/>
    <xf numFmtId="0" fontId="4" fillId="3" borderId="30" xfId="0" applyFont="1" applyFill="1" applyBorder="1" applyAlignment="1">
      <alignment vertical="center"/>
    </xf>
    <xf numFmtId="0" fontId="1" fillId="2" borderId="27" xfId="0" applyFont="1" applyFill="1" applyBorder="1" applyAlignment="1">
      <alignment horizontal="center" vertical="center" wrapText="1" shrinkToFit="1"/>
    </xf>
    <xf numFmtId="3" fontId="6" fillId="2" borderId="32" xfId="0" applyNumberFormat="1" applyFont="1" applyFill="1" applyBorder="1" applyAlignment="1">
      <alignment horizontal="right"/>
    </xf>
    <xf numFmtId="3" fontId="6" fillId="2" borderId="33" xfId="0" applyNumberFormat="1" applyFont="1" applyFill="1" applyBorder="1" applyAlignment="1">
      <alignment horizontal="right"/>
    </xf>
    <xf numFmtId="3" fontId="6" fillId="2" borderId="34" xfId="0" applyNumberFormat="1" applyFont="1" applyFill="1" applyBorder="1" applyAlignment="1">
      <alignment horizontal="right"/>
    </xf>
    <xf numFmtId="0" fontId="6" fillId="2" borderId="35" xfId="0" applyFont="1" applyFill="1" applyBorder="1" applyAlignment="1">
      <alignment horizontal="right" vertical="center"/>
    </xf>
    <xf numFmtId="164" fontId="6" fillId="2" borderId="36" xfId="0" applyNumberFormat="1" applyFont="1" applyFill="1" applyBorder="1" applyAlignment="1">
      <alignment horizontal="right" vertical="center"/>
    </xf>
    <xf numFmtId="0" fontId="4" fillId="0" borderId="0" xfId="0" applyFont="1" applyAlignment="1">
      <alignment horizontal="left" vertical="top" wrapText="1"/>
    </xf>
    <xf numFmtId="0" fontId="3" fillId="0" borderId="13" xfId="0" applyFont="1" applyBorder="1" applyAlignment="1">
      <alignment horizontal="center" vertical="center" wrapText="1"/>
    </xf>
    <xf numFmtId="0" fontId="3" fillId="0" borderId="16"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37" xfId="0" applyFont="1" applyFill="1" applyBorder="1" applyAlignment="1">
      <alignment horizontal="center" vertical="center" wrapText="1"/>
    </xf>
    <xf numFmtId="0" fontId="1" fillId="2" borderId="31" xfId="0" applyFont="1" applyFill="1" applyBorder="1" applyAlignment="1">
      <alignment horizontal="center" vertical="center" wrapText="1"/>
    </xf>
    <xf numFmtId="0" fontId="3" fillId="3" borderId="20" xfId="0" applyFont="1" applyFill="1" applyBorder="1" applyAlignment="1">
      <alignment horizontal="left" vertical="top" wrapText="1"/>
    </xf>
    <xf numFmtId="0" fontId="1" fillId="2" borderId="13" xfId="0" applyFont="1" applyFill="1" applyBorder="1" applyAlignment="1">
      <alignment vertical="center"/>
    </xf>
    <xf numFmtId="0" fontId="1" fillId="2" borderId="12" xfId="0" applyFont="1" applyFill="1" applyBorder="1" applyAlignment="1">
      <alignment vertical="center"/>
    </xf>
    <xf numFmtId="0" fontId="1" fillId="2" borderId="14" xfId="0" applyFont="1" applyFill="1" applyBorder="1" applyAlignment="1">
      <alignment vertical="center"/>
    </xf>
    <xf numFmtId="0" fontId="1" fillId="2" borderId="5" xfId="0" applyFont="1" applyFill="1" applyBorder="1" applyAlignment="1">
      <alignment horizontal="right"/>
    </xf>
    <xf numFmtId="0" fontId="1" fillId="2" borderId="9" xfId="0" applyFont="1" applyFill="1" applyBorder="1" applyAlignment="1">
      <alignment horizontal="right"/>
    </xf>
    <xf numFmtId="0" fontId="6"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tr-TR"/>
              <a:t>1.2.</a:t>
            </a:r>
            <a:r>
              <a:rPr lang="en-US"/>
              <a:t>Havza Yağışalanı (km²)</a:t>
            </a:r>
            <a:r>
              <a:rPr lang="tr-TR"/>
              <a:t>, 2024</a:t>
            </a:r>
            <a:endParaRPr lang="en-US"/>
          </a:p>
        </c:rich>
      </c:tx>
      <c:overlay val="0"/>
    </c:title>
    <c:autoTitleDeleted val="0"/>
    <c:plotArea>
      <c:layout>
        <c:manualLayout>
          <c:layoutTarget val="inner"/>
          <c:xMode val="edge"/>
          <c:yMode val="edge"/>
          <c:x val="7.5374395648323614E-2"/>
          <c:y val="0.12750775471247913"/>
          <c:w val="0.89935804242982231"/>
          <c:h val="0.60701785516247087"/>
        </c:manualLayout>
      </c:layout>
      <c:barChart>
        <c:barDir val="col"/>
        <c:grouping val="clustered"/>
        <c:varyColors val="0"/>
        <c:ser>
          <c:idx val="0"/>
          <c:order val="0"/>
          <c:tx>
            <c:strRef>
              <c:f>'1.2.Tablo'!$AK$4</c:f>
              <c:strCache>
                <c:ptCount val="1"/>
                <c:pt idx="0">
                  <c:v>Havza Yağışalanı (km2)</c:v>
                </c:pt>
              </c:strCache>
            </c:strRef>
          </c:tx>
          <c:invertIfNegative val="0"/>
          <c:dLbls>
            <c:numFmt formatCode="#,##0" sourceLinked="0"/>
            <c:spPr>
              <a:noFill/>
              <a:ln>
                <a:noFill/>
              </a:ln>
              <a:effectLst/>
            </c:spPr>
            <c:txPr>
              <a:bodyPr rot="-5400000" vert="horz"/>
              <a:lstStyle/>
              <a:p>
                <a:pPr>
                  <a:defRPr sz="1400" b="1">
                    <a:solidFill>
                      <a:sysClr val="windowText" lastClr="000000"/>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'1.2.Tablo'!$C$5:$C$29</c:f>
              <c:strCache>
                <c:ptCount val="25"/>
                <c:pt idx="0">
                  <c:v>Meriç Ergene</c:v>
                </c:pt>
                <c:pt idx="1">
                  <c:v>Marmara </c:v>
                </c:pt>
                <c:pt idx="2">
                  <c:v>Susurluk </c:v>
                </c:pt>
                <c:pt idx="3">
                  <c:v>Kuzey Ege </c:v>
                </c:pt>
                <c:pt idx="4">
                  <c:v>Gediz </c:v>
                </c:pt>
                <c:pt idx="5">
                  <c:v>Küçük Menderes </c:v>
                </c:pt>
                <c:pt idx="6">
                  <c:v>Büyük Menderes </c:v>
                </c:pt>
                <c:pt idx="7">
                  <c:v>Batı Akdeniz </c:v>
                </c:pt>
                <c:pt idx="8">
                  <c:v>Antalya </c:v>
                </c:pt>
                <c:pt idx="9">
                  <c:v>Burdur Göller </c:v>
                </c:pt>
                <c:pt idx="10">
                  <c:v>Akarçay </c:v>
                </c:pt>
                <c:pt idx="11">
                  <c:v>Sakarya </c:v>
                </c:pt>
                <c:pt idx="12">
                  <c:v>Batı Karadeniz </c:v>
                </c:pt>
                <c:pt idx="13">
                  <c:v>Yeşilırmak </c:v>
                </c:pt>
                <c:pt idx="14">
                  <c:v>Kızılırmak </c:v>
                </c:pt>
                <c:pt idx="15">
                  <c:v>Konya Kapalı </c:v>
                </c:pt>
                <c:pt idx="16">
                  <c:v>Doğu Akdeniz </c:v>
                </c:pt>
                <c:pt idx="17">
                  <c:v>Seyhan </c:v>
                </c:pt>
                <c:pt idx="18">
                  <c:v>Asi </c:v>
                </c:pt>
                <c:pt idx="19">
                  <c:v>Ceyhan </c:v>
                </c:pt>
                <c:pt idx="20">
                  <c:v>Fırat - Dicle (*)(**)</c:v>
                </c:pt>
                <c:pt idx="21">
                  <c:v>Doğu Karadeniz </c:v>
                </c:pt>
                <c:pt idx="22">
                  <c:v>Çoruh </c:v>
                </c:pt>
                <c:pt idx="23">
                  <c:v>Aras </c:v>
                </c:pt>
                <c:pt idx="24">
                  <c:v>Van Gölü </c:v>
                </c:pt>
              </c:strCache>
            </c:strRef>
          </c:cat>
          <c:val>
            <c:numRef>
              <c:f>'1.2.Tablo'!$AK$5:$AK$29</c:f>
              <c:numCache>
                <c:formatCode>#,##0.0</c:formatCode>
                <c:ptCount val="25"/>
                <c:pt idx="0">
                  <c:v>14486</c:v>
                </c:pt>
                <c:pt idx="1">
                  <c:v>23074</c:v>
                </c:pt>
                <c:pt idx="2">
                  <c:v>24319</c:v>
                </c:pt>
                <c:pt idx="3">
                  <c:v>9861</c:v>
                </c:pt>
                <c:pt idx="4">
                  <c:v>17137</c:v>
                </c:pt>
                <c:pt idx="5">
                  <c:v>6963</c:v>
                </c:pt>
                <c:pt idx="6">
                  <c:v>25960</c:v>
                </c:pt>
                <c:pt idx="7">
                  <c:v>20956</c:v>
                </c:pt>
                <c:pt idx="8">
                  <c:v>20249</c:v>
                </c:pt>
                <c:pt idx="9">
                  <c:v>6294</c:v>
                </c:pt>
                <c:pt idx="10">
                  <c:v>7995</c:v>
                </c:pt>
                <c:pt idx="11">
                  <c:v>63303</c:v>
                </c:pt>
                <c:pt idx="12">
                  <c:v>28855</c:v>
                </c:pt>
                <c:pt idx="13">
                  <c:v>39595</c:v>
                </c:pt>
                <c:pt idx="14">
                  <c:v>82181</c:v>
                </c:pt>
                <c:pt idx="15">
                  <c:v>49930</c:v>
                </c:pt>
                <c:pt idx="16">
                  <c:v>21150</c:v>
                </c:pt>
                <c:pt idx="17">
                  <c:v>22035</c:v>
                </c:pt>
                <c:pt idx="18">
                  <c:v>7886</c:v>
                </c:pt>
                <c:pt idx="19">
                  <c:v>21391</c:v>
                </c:pt>
                <c:pt idx="20">
                  <c:v>176143</c:v>
                </c:pt>
                <c:pt idx="21">
                  <c:v>22846</c:v>
                </c:pt>
                <c:pt idx="22">
                  <c:v>20248</c:v>
                </c:pt>
                <c:pt idx="23">
                  <c:v>27775</c:v>
                </c:pt>
                <c:pt idx="24">
                  <c:v>17861</c:v>
                </c:pt>
              </c:numCache>
            </c:numRef>
          </c:val>
          <c:extLst>
            <c:ext xmlns:c16="http://schemas.microsoft.com/office/drawing/2014/chart" uri="{C3380CC4-5D6E-409C-BE32-E72D297353CC}">
              <c16:uniqueId val="{00000000-CF55-4123-8C90-C9FE469BE9BE}"/>
            </c:ext>
          </c:extLst>
        </c:ser>
        <c:dLbls>
          <c:showLegendKey val="0"/>
          <c:showVal val="0"/>
          <c:showCatName val="0"/>
          <c:showSerName val="0"/>
          <c:showPercent val="0"/>
          <c:showBubbleSize val="0"/>
        </c:dLbls>
        <c:gapWidth val="150"/>
        <c:axId val="417298608"/>
        <c:axId val="417323808"/>
      </c:barChart>
      <c:catAx>
        <c:axId val="417298608"/>
        <c:scaling>
          <c:orientation val="minMax"/>
        </c:scaling>
        <c:delete val="0"/>
        <c:axPos val="b"/>
        <c:majorGridlines>
          <c:spPr>
            <a:ln>
              <a:solidFill>
                <a:schemeClr val="tx2">
                  <a:lumMod val="20000"/>
                  <a:lumOff val="80000"/>
                </a:schemeClr>
              </a:solidFill>
            </a:ln>
          </c:spPr>
        </c:majorGridlines>
        <c:numFmt formatCode="General" sourceLinked="1"/>
        <c:majorTickMark val="out"/>
        <c:minorTickMark val="none"/>
        <c:tickLblPos val="nextTo"/>
        <c:txPr>
          <a:bodyPr rot="-5400000" vert="horz"/>
          <a:lstStyle/>
          <a:p>
            <a:pPr>
              <a:defRPr sz="1400"/>
            </a:pPr>
            <a:endParaRPr lang="tr-TR"/>
          </a:p>
        </c:txPr>
        <c:crossAx val="417323808"/>
        <c:crosses val="autoZero"/>
        <c:auto val="1"/>
        <c:lblAlgn val="ctr"/>
        <c:lblOffset val="100"/>
        <c:noMultiLvlLbl val="0"/>
      </c:catAx>
      <c:valAx>
        <c:axId val="417323808"/>
        <c:scaling>
          <c:orientation val="minMax"/>
        </c:scaling>
        <c:delete val="0"/>
        <c:axPos val="l"/>
        <c:majorGridlines>
          <c:spPr>
            <a:ln>
              <a:solidFill>
                <a:schemeClr val="accent1">
                  <a:lumMod val="20000"/>
                  <a:lumOff val="80000"/>
                </a:schemeClr>
              </a:solidFill>
            </a:ln>
          </c:spPr>
        </c:majorGridlines>
        <c:numFmt formatCode="#,##0" sourceLinked="0"/>
        <c:majorTickMark val="out"/>
        <c:minorTickMark val="none"/>
        <c:tickLblPos val="nextTo"/>
        <c:txPr>
          <a:bodyPr/>
          <a:lstStyle/>
          <a:p>
            <a:pPr>
              <a:defRPr sz="1400" b="1"/>
            </a:pPr>
            <a:endParaRPr lang="tr-TR"/>
          </a:p>
        </c:txPr>
        <c:crossAx val="417298608"/>
        <c:crosses val="autoZero"/>
        <c:crossBetween val="between"/>
      </c:valAx>
    </c:plotArea>
    <c:legend>
      <c:legendPos val="r"/>
      <c:legendEntry>
        <c:idx val="0"/>
        <c:txPr>
          <a:bodyPr/>
          <a:lstStyle/>
          <a:p>
            <a:pPr>
              <a:defRPr sz="1400" b="1">
                <a:solidFill>
                  <a:schemeClr val="tx2">
                    <a:lumMod val="60000"/>
                    <a:lumOff val="40000"/>
                  </a:schemeClr>
                </a:solidFill>
              </a:defRPr>
            </a:pPr>
            <a:endParaRPr lang="tr-TR"/>
          </a:p>
        </c:txPr>
      </c:legendEntry>
      <c:layout>
        <c:manualLayout>
          <c:xMode val="edge"/>
          <c:yMode val="edge"/>
          <c:x val="0.39190435817120173"/>
          <c:y val="0.93861173339248083"/>
          <c:w val="0.17905080269874241"/>
          <c:h val="5.4796707229778099E-2"/>
        </c:manualLayout>
      </c:layout>
      <c:overlay val="0"/>
      <c:txPr>
        <a:bodyPr/>
        <a:lstStyle/>
        <a:p>
          <a:pPr>
            <a:defRPr sz="1400"/>
          </a:pPr>
          <a:endParaRPr lang="tr-TR"/>
        </a:p>
      </c:txPr>
    </c:legend>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tr-TR"/>
              <a:t>1.2.Ortalama Yıllık Akış (km³)(***), 2024</a:t>
            </a:r>
          </a:p>
        </c:rich>
      </c:tx>
      <c:overlay val="0"/>
    </c:title>
    <c:autoTitleDeleted val="0"/>
    <c:plotArea>
      <c:layout>
        <c:manualLayout>
          <c:layoutTarget val="inner"/>
          <c:xMode val="edge"/>
          <c:yMode val="edge"/>
          <c:x val="6.6076576762720551E-2"/>
          <c:y val="0.1000060821274346"/>
          <c:w val="0.91505485561617761"/>
          <c:h val="0.62020969303970697"/>
        </c:manualLayout>
      </c:layout>
      <c:barChart>
        <c:barDir val="col"/>
        <c:grouping val="clustered"/>
        <c:varyColors val="0"/>
        <c:ser>
          <c:idx val="0"/>
          <c:order val="0"/>
          <c:tx>
            <c:strRef>
              <c:f>'1.2.Tablo'!$AL$4</c:f>
              <c:strCache>
                <c:ptCount val="1"/>
                <c:pt idx="0">
                  <c:v>Ortalama Yıllık Akış (km3)(***)</c:v>
                </c:pt>
              </c:strCache>
            </c:strRef>
          </c:tx>
          <c:invertIfNegative val="0"/>
          <c:dLbls>
            <c:numFmt formatCode="#,##0.00" sourceLinked="0"/>
            <c:spPr>
              <a:noFill/>
              <a:ln>
                <a:noFill/>
              </a:ln>
              <a:effectLst/>
            </c:spPr>
            <c:txPr>
              <a:bodyPr rot="-5400000" vert="horz"/>
              <a:lstStyle/>
              <a:p>
                <a:pPr>
                  <a:defRPr sz="1400" b="1">
                    <a:solidFill>
                      <a:sysClr val="windowText" lastClr="000000"/>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'1.2.Tablo'!$C$5:$C$29</c:f>
              <c:strCache>
                <c:ptCount val="25"/>
                <c:pt idx="0">
                  <c:v>Meriç Ergene</c:v>
                </c:pt>
                <c:pt idx="1">
                  <c:v>Marmara </c:v>
                </c:pt>
                <c:pt idx="2">
                  <c:v>Susurluk </c:v>
                </c:pt>
                <c:pt idx="3">
                  <c:v>Kuzey Ege </c:v>
                </c:pt>
                <c:pt idx="4">
                  <c:v>Gediz </c:v>
                </c:pt>
                <c:pt idx="5">
                  <c:v>Küçük Menderes </c:v>
                </c:pt>
                <c:pt idx="6">
                  <c:v>Büyük Menderes </c:v>
                </c:pt>
                <c:pt idx="7">
                  <c:v>Batı Akdeniz </c:v>
                </c:pt>
                <c:pt idx="8">
                  <c:v>Antalya </c:v>
                </c:pt>
                <c:pt idx="9">
                  <c:v>Burdur Göller </c:v>
                </c:pt>
                <c:pt idx="10">
                  <c:v>Akarçay </c:v>
                </c:pt>
                <c:pt idx="11">
                  <c:v>Sakarya </c:v>
                </c:pt>
                <c:pt idx="12">
                  <c:v>Batı Karadeniz </c:v>
                </c:pt>
                <c:pt idx="13">
                  <c:v>Yeşilırmak </c:v>
                </c:pt>
                <c:pt idx="14">
                  <c:v>Kızılırmak </c:v>
                </c:pt>
                <c:pt idx="15">
                  <c:v>Konya Kapalı </c:v>
                </c:pt>
                <c:pt idx="16">
                  <c:v>Doğu Akdeniz </c:v>
                </c:pt>
                <c:pt idx="17">
                  <c:v>Seyhan </c:v>
                </c:pt>
                <c:pt idx="18">
                  <c:v>Asi </c:v>
                </c:pt>
                <c:pt idx="19">
                  <c:v>Ceyhan </c:v>
                </c:pt>
                <c:pt idx="20">
                  <c:v>Fırat - Dicle (*)(**)</c:v>
                </c:pt>
                <c:pt idx="21">
                  <c:v>Doğu Karadeniz </c:v>
                </c:pt>
                <c:pt idx="22">
                  <c:v>Çoruh </c:v>
                </c:pt>
                <c:pt idx="23">
                  <c:v>Aras </c:v>
                </c:pt>
                <c:pt idx="24">
                  <c:v>Van Gölü </c:v>
                </c:pt>
              </c:strCache>
            </c:strRef>
          </c:cat>
          <c:val>
            <c:numRef>
              <c:f>'1.2.Tablo'!$AL$5:$AL$29</c:f>
              <c:numCache>
                <c:formatCode>0.0</c:formatCode>
                <c:ptCount val="25"/>
                <c:pt idx="0">
                  <c:v>1.617</c:v>
                </c:pt>
                <c:pt idx="1">
                  <c:v>7.36</c:v>
                </c:pt>
                <c:pt idx="2">
                  <c:v>4.4710000000000001</c:v>
                </c:pt>
                <c:pt idx="3">
                  <c:v>1.784</c:v>
                </c:pt>
                <c:pt idx="4">
                  <c:v>1.454</c:v>
                </c:pt>
                <c:pt idx="5">
                  <c:v>0.54100000000000004</c:v>
                </c:pt>
                <c:pt idx="6">
                  <c:v>2.7349999999999999</c:v>
                </c:pt>
                <c:pt idx="7">
                  <c:v>6.2130000000000001</c:v>
                </c:pt>
                <c:pt idx="8">
                  <c:v>12.797000000000001</c:v>
                </c:pt>
                <c:pt idx="9">
                  <c:v>0.223</c:v>
                </c:pt>
                <c:pt idx="10">
                  <c:v>0.38700000000000001</c:v>
                </c:pt>
                <c:pt idx="11">
                  <c:v>6.0060000000000002</c:v>
                </c:pt>
                <c:pt idx="12">
                  <c:v>10.25</c:v>
                </c:pt>
                <c:pt idx="13">
                  <c:v>6.8929999999999998</c:v>
                </c:pt>
                <c:pt idx="14">
                  <c:v>6.4640000000000004</c:v>
                </c:pt>
                <c:pt idx="15">
                  <c:v>2.1669999999999998</c:v>
                </c:pt>
                <c:pt idx="16">
                  <c:v>6.9960000000000004</c:v>
                </c:pt>
                <c:pt idx="17">
                  <c:v>6.1749999999999998</c:v>
                </c:pt>
                <c:pt idx="18">
                  <c:v>1.623</c:v>
                </c:pt>
                <c:pt idx="19">
                  <c:v>7.431</c:v>
                </c:pt>
                <c:pt idx="20">
                  <c:v>54.5</c:v>
                </c:pt>
                <c:pt idx="21">
                  <c:v>16.37</c:v>
                </c:pt>
                <c:pt idx="22">
                  <c:v>7.14</c:v>
                </c:pt>
                <c:pt idx="23">
                  <c:v>4.569</c:v>
                </c:pt>
                <c:pt idx="24">
                  <c:v>2.5339999999999998</c:v>
                </c:pt>
              </c:numCache>
            </c:numRef>
          </c:val>
          <c:extLst>
            <c:ext xmlns:c16="http://schemas.microsoft.com/office/drawing/2014/chart" uri="{C3380CC4-5D6E-409C-BE32-E72D297353CC}">
              <c16:uniqueId val="{00000000-9EBA-4EAA-8503-2F4720896C94}"/>
            </c:ext>
          </c:extLst>
        </c:ser>
        <c:dLbls>
          <c:showLegendKey val="0"/>
          <c:showVal val="0"/>
          <c:showCatName val="0"/>
          <c:showSerName val="0"/>
          <c:showPercent val="0"/>
          <c:showBubbleSize val="0"/>
        </c:dLbls>
        <c:gapWidth val="150"/>
        <c:axId val="426635456"/>
        <c:axId val="426632096"/>
      </c:barChart>
      <c:catAx>
        <c:axId val="426635456"/>
        <c:scaling>
          <c:orientation val="minMax"/>
        </c:scaling>
        <c:delete val="0"/>
        <c:axPos val="b"/>
        <c:majorGridlines>
          <c:spPr>
            <a:ln>
              <a:solidFill>
                <a:schemeClr val="tx2">
                  <a:lumMod val="20000"/>
                  <a:lumOff val="80000"/>
                </a:schemeClr>
              </a:solidFill>
            </a:ln>
          </c:spPr>
        </c:majorGridlines>
        <c:numFmt formatCode="General" sourceLinked="0"/>
        <c:majorTickMark val="out"/>
        <c:minorTickMark val="none"/>
        <c:tickLblPos val="nextTo"/>
        <c:txPr>
          <a:bodyPr rot="-5400000" vert="horz"/>
          <a:lstStyle/>
          <a:p>
            <a:pPr>
              <a:defRPr sz="1400"/>
            </a:pPr>
            <a:endParaRPr lang="tr-TR"/>
          </a:p>
        </c:txPr>
        <c:crossAx val="426632096"/>
        <c:crosses val="autoZero"/>
        <c:auto val="1"/>
        <c:lblAlgn val="ctr"/>
        <c:lblOffset val="100"/>
        <c:noMultiLvlLbl val="0"/>
      </c:catAx>
      <c:valAx>
        <c:axId val="426632096"/>
        <c:scaling>
          <c:orientation val="minMax"/>
        </c:scaling>
        <c:delete val="0"/>
        <c:axPos val="l"/>
        <c:majorGridlines>
          <c:spPr>
            <a:ln>
              <a:solidFill>
                <a:schemeClr val="tx2">
                  <a:lumMod val="20000"/>
                  <a:lumOff val="80000"/>
                </a:schemeClr>
              </a:solidFill>
            </a:ln>
          </c:spPr>
        </c:majorGridlines>
        <c:numFmt formatCode="0.0" sourceLinked="1"/>
        <c:majorTickMark val="out"/>
        <c:minorTickMark val="none"/>
        <c:tickLblPos val="nextTo"/>
        <c:txPr>
          <a:bodyPr/>
          <a:lstStyle/>
          <a:p>
            <a:pPr>
              <a:defRPr sz="1400" b="1"/>
            </a:pPr>
            <a:endParaRPr lang="tr-TR"/>
          </a:p>
        </c:txPr>
        <c:crossAx val="426635456"/>
        <c:crosses val="autoZero"/>
        <c:crossBetween val="between"/>
      </c:valAx>
    </c:plotArea>
    <c:legend>
      <c:legendPos val="r"/>
      <c:layout>
        <c:manualLayout>
          <c:xMode val="edge"/>
          <c:yMode val="edge"/>
          <c:x val="0.42032329595164242"/>
          <c:y val="0.93362097117539466"/>
          <c:w val="0.22896963334128689"/>
          <c:h val="4.2977809591982823E-2"/>
        </c:manualLayout>
      </c:layout>
      <c:overlay val="0"/>
      <c:txPr>
        <a:bodyPr/>
        <a:lstStyle/>
        <a:p>
          <a:pPr>
            <a:defRPr sz="1400" b="1">
              <a:solidFill>
                <a:schemeClr val="tx2">
                  <a:lumMod val="60000"/>
                  <a:lumOff val="40000"/>
                </a:schemeClr>
              </a:solidFill>
            </a:defRPr>
          </a:pPr>
          <a:endParaRPr lang="tr-TR"/>
        </a:p>
      </c:txPr>
    </c:legend>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tr-TR" sz="2000"/>
              <a:t>1.2.Potansiyel İştirak Oranı (%), 2024</a:t>
            </a:r>
          </a:p>
        </c:rich>
      </c:tx>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0.18886432703475009"/>
          <c:y val="0.25793232049930104"/>
          <c:w val="0.49951577546495241"/>
          <c:h val="0.54115067916733273"/>
        </c:manualLayout>
      </c:layout>
      <c:pie3DChart>
        <c:varyColors val="1"/>
        <c:ser>
          <c:idx val="0"/>
          <c:order val="0"/>
          <c:tx>
            <c:strRef>
              <c:f>'1.2.Tablo'!$AM$4</c:f>
              <c:strCache>
                <c:ptCount val="1"/>
                <c:pt idx="0">
                  <c:v>Potansiyel İştirak Oranı (%)</c:v>
                </c:pt>
              </c:strCache>
            </c:strRef>
          </c:tx>
          <c:explosion val="25"/>
          <c:dPt>
            <c:idx val="21"/>
            <c:bubble3D val="0"/>
            <c:explosion val="23"/>
            <c:extLst>
              <c:ext xmlns:c16="http://schemas.microsoft.com/office/drawing/2014/chart" uri="{C3380CC4-5D6E-409C-BE32-E72D297353CC}">
                <c16:uniqueId val="{0000000E-7448-4C96-B83E-8945ABEA52B9}"/>
              </c:ext>
            </c:extLst>
          </c:dPt>
          <c:dLbls>
            <c:dLbl>
              <c:idx val="0"/>
              <c:layout>
                <c:manualLayout>
                  <c:x val="-1.2529103718494519E-2"/>
                  <c:y val="-8.1366066816712615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7448-4C96-B83E-8945ABEA52B9}"/>
                </c:ext>
              </c:extLst>
            </c:dLbl>
            <c:dLbl>
              <c:idx val="1"/>
              <c:layout>
                <c:manualLayout>
                  <c:x val="-2.3190671740195155E-2"/>
                  <c:y val="-0.14608751361073233"/>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7448-4C96-B83E-8945ABEA52B9}"/>
                </c:ext>
              </c:extLst>
            </c:dLbl>
            <c:dLbl>
              <c:idx val="2"/>
              <c:layout>
                <c:manualLayout>
                  <c:x val="-5.3903037837973546E-2"/>
                  <c:y val="-6.1666633280726628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7448-4C96-B83E-8945ABEA52B9}"/>
                </c:ext>
              </c:extLst>
            </c:dLbl>
            <c:dLbl>
              <c:idx val="3"/>
              <c:layout>
                <c:manualLayout>
                  <c:x val="-2.7875413987141318E-2"/>
                  <c:y val="-0.1072270252475604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51FA-4B52-BABD-08B517C27459}"/>
                </c:ext>
              </c:extLst>
            </c:dLbl>
            <c:dLbl>
              <c:idx val="4"/>
              <c:layout>
                <c:manualLayout>
                  <c:x val="2.3464221670597966E-2"/>
                  <c:y val="-0.14568694313107111"/>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7448-4C96-B83E-8945ABEA52B9}"/>
                </c:ext>
              </c:extLst>
            </c:dLbl>
            <c:dLbl>
              <c:idx val="5"/>
              <c:layout>
                <c:manualLayout>
                  <c:x val="0.11480842406660891"/>
                  <c:y val="-0.1814169326810674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7448-4C96-B83E-8945ABEA52B9}"/>
                </c:ext>
              </c:extLst>
            </c:dLbl>
            <c:dLbl>
              <c:idx val="6"/>
              <c:layout>
                <c:manualLayout>
                  <c:x val="0.10827506310515013"/>
                  <c:y val="-8.6435662193427645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7448-4C96-B83E-8945ABEA52B9}"/>
                </c:ext>
              </c:extLst>
            </c:dLbl>
            <c:dLbl>
              <c:idx val="8"/>
              <c:layout>
                <c:manualLayout>
                  <c:x val="3.2968169318706886E-2"/>
                  <c:y val="-4.288569451830127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51FA-4B52-BABD-08B517C27459}"/>
                </c:ext>
              </c:extLst>
            </c:dLbl>
            <c:dLbl>
              <c:idx val="9"/>
              <c:layout>
                <c:manualLayout>
                  <c:x val="0.11220761280438031"/>
                  <c:y val="-7.764430953345057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7448-4C96-B83E-8945ABEA52B9}"/>
                </c:ext>
              </c:extLst>
            </c:dLbl>
            <c:dLbl>
              <c:idx val="10"/>
              <c:layout>
                <c:manualLayout>
                  <c:x val="7.3982921117547687E-2"/>
                  <c:y val="-1.709460364469140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51FA-4B52-BABD-08B517C27459}"/>
                </c:ext>
              </c:extLst>
            </c:dLbl>
            <c:dLbl>
              <c:idx val="11"/>
              <c:layout>
                <c:manualLayout>
                  <c:x val="0.11033488566942654"/>
                  <c:y val="1.4582602298197477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7448-4C96-B83E-8945ABEA52B9}"/>
                </c:ext>
              </c:extLst>
            </c:dLbl>
            <c:dLbl>
              <c:idx val="12"/>
              <c:layout>
                <c:manualLayout>
                  <c:x val="8.68251516407339E-2"/>
                  <c:y val="-9.4887014824788195E-3"/>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7448-4C96-B83E-8945ABEA52B9}"/>
                </c:ext>
              </c:extLst>
            </c:dLbl>
            <c:dLbl>
              <c:idx val="13"/>
              <c:layout>
                <c:manualLayout>
                  <c:x val="0.1201373871328285"/>
                  <c:y val="3.803886695750589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7448-4C96-B83E-8945ABEA52B9}"/>
                </c:ext>
              </c:extLst>
            </c:dLbl>
            <c:dLbl>
              <c:idx val="14"/>
              <c:layout>
                <c:manualLayout>
                  <c:x val="8.9546710369337798E-2"/>
                  <c:y val="4.4038856941723888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7448-4C96-B83E-8945ABEA52B9}"/>
                </c:ext>
              </c:extLst>
            </c:dLbl>
            <c:dLbl>
              <c:idx val="15"/>
              <c:layout>
                <c:manualLayout>
                  <c:x val="7.2581569962696926E-3"/>
                  <c:y val="4.25087630011970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51FA-4B52-BABD-08B517C27459}"/>
                </c:ext>
              </c:extLst>
            </c:dLbl>
            <c:dLbl>
              <c:idx val="16"/>
              <c:layout>
                <c:manualLayout>
                  <c:x val="-2.5577548059700413E-2"/>
                  <c:y val="6.5818911411273398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51FA-4B52-BABD-08B517C27459}"/>
                </c:ext>
              </c:extLst>
            </c:dLbl>
            <c:dLbl>
              <c:idx val="17"/>
              <c:layout>
                <c:manualLayout>
                  <c:x val="1.2627183563777074E-2"/>
                  <c:y val="9.463232779651364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7448-4C96-B83E-8945ABEA52B9}"/>
                </c:ext>
              </c:extLst>
            </c:dLbl>
            <c:dLbl>
              <c:idx val="18"/>
              <c:layout>
                <c:manualLayout>
                  <c:x val="-2.479887256544051E-2"/>
                  <c:y val="6.936544760931659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7448-4C96-B83E-8945ABEA52B9}"/>
                </c:ext>
              </c:extLst>
            </c:dLbl>
            <c:dLbl>
              <c:idx val="19"/>
              <c:layout>
                <c:manualLayout>
                  <c:x val="-5.0613156011001019E-2"/>
                  <c:y val="4.7227094979660808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7448-4C96-B83E-8945ABEA52B9}"/>
                </c:ext>
              </c:extLst>
            </c:dLbl>
            <c:dLbl>
              <c:idx val="20"/>
              <c:layout>
                <c:manualLayout>
                  <c:x val="0.14071604698487702"/>
                  <c:y val="-0.10670370590709123"/>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51FA-4B52-BABD-08B517C27459}"/>
                </c:ext>
              </c:extLst>
            </c:dLbl>
            <c:dLbl>
              <c:idx val="21"/>
              <c:layout>
                <c:manualLayout>
                  <c:x val="-9.4481658692185014E-2"/>
                  <c:y val="-3.534462159660150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E-7448-4C96-B83E-8945ABEA52B9}"/>
                </c:ext>
              </c:extLst>
            </c:dLbl>
            <c:dLbl>
              <c:idx val="22"/>
              <c:layout>
                <c:manualLayout>
                  <c:x val="-6.7093018875032967E-2"/>
                  <c:y val="-6.928667600519103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7448-4C96-B83E-8945ABEA52B9}"/>
                </c:ext>
              </c:extLst>
            </c:dLbl>
            <c:dLbl>
              <c:idx val="23"/>
              <c:layout>
                <c:manualLayout>
                  <c:x val="-5.2585113463687855E-2"/>
                  <c:y val="-6.691186254913099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0-7448-4C96-B83E-8945ABEA52B9}"/>
                </c:ext>
              </c:extLst>
            </c:dLbl>
            <c:dLbl>
              <c:idx val="24"/>
              <c:layout>
                <c:manualLayout>
                  <c:x val="-7.6255258762511144E-2"/>
                  <c:y val="-0.14821747696727844"/>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7448-4C96-B83E-8945ABEA52B9}"/>
                </c:ext>
              </c:extLst>
            </c:dLbl>
            <c:spPr>
              <a:noFill/>
              <a:ln>
                <a:noFill/>
              </a:ln>
              <a:effectLst/>
            </c:spPr>
            <c:txPr>
              <a:bodyPr/>
              <a:lstStyle/>
              <a:p>
                <a:pPr>
                  <a:defRPr sz="1400" b="1"/>
                </a:pPr>
                <a:endParaRPr lang="tr-TR"/>
              </a:p>
            </c:txPr>
            <c:dLblPos val="bestFit"/>
            <c:showLegendKey val="1"/>
            <c:showVal val="1"/>
            <c:showCatName val="1"/>
            <c:showSerName val="0"/>
            <c:showPercent val="0"/>
            <c:showBubbleSize val="0"/>
            <c:separator>
</c:separator>
            <c:showLeaderLines val="1"/>
            <c:extLst>
              <c:ext xmlns:c15="http://schemas.microsoft.com/office/drawing/2012/chart" uri="{CE6537A1-D6FC-4f65-9D91-7224C49458BB}"/>
            </c:extLst>
          </c:dLbls>
          <c:cat>
            <c:strRef>
              <c:f>'1.2.Tablo'!$C$5:$C$29</c:f>
              <c:strCache>
                <c:ptCount val="25"/>
                <c:pt idx="0">
                  <c:v>Meriç Ergene</c:v>
                </c:pt>
                <c:pt idx="1">
                  <c:v>Marmara </c:v>
                </c:pt>
                <c:pt idx="2">
                  <c:v>Susurluk </c:v>
                </c:pt>
                <c:pt idx="3">
                  <c:v>Kuzey Ege </c:v>
                </c:pt>
                <c:pt idx="4">
                  <c:v>Gediz </c:v>
                </c:pt>
                <c:pt idx="5">
                  <c:v>Küçük Menderes </c:v>
                </c:pt>
                <c:pt idx="6">
                  <c:v>Büyük Menderes </c:v>
                </c:pt>
                <c:pt idx="7">
                  <c:v>Batı Akdeniz </c:v>
                </c:pt>
                <c:pt idx="8">
                  <c:v>Antalya </c:v>
                </c:pt>
                <c:pt idx="9">
                  <c:v>Burdur Göller </c:v>
                </c:pt>
                <c:pt idx="10">
                  <c:v>Akarçay </c:v>
                </c:pt>
                <c:pt idx="11">
                  <c:v>Sakarya </c:v>
                </c:pt>
                <c:pt idx="12">
                  <c:v>Batı Karadeniz </c:v>
                </c:pt>
                <c:pt idx="13">
                  <c:v>Yeşilırmak </c:v>
                </c:pt>
                <c:pt idx="14">
                  <c:v>Kızılırmak </c:v>
                </c:pt>
                <c:pt idx="15">
                  <c:v>Konya Kapalı </c:v>
                </c:pt>
                <c:pt idx="16">
                  <c:v>Doğu Akdeniz </c:v>
                </c:pt>
                <c:pt idx="17">
                  <c:v>Seyhan </c:v>
                </c:pt>
                <c:pt idx="18">
                  <c:v>Asi </c:v>
                </c:pt>
                <c:pt idx="19">
                  <c:v>Ceyhan </c:v>
                </c:pt>
                <c:pt idx="20">
                  <c:v>Fırat - Dicle (*)(**)</c:v>
                </c:pt>
                <c:pt idx="21">
                  <c:v>Doğu Karadeniz </c:v>
                </c:pt>
                <c:pt idx="22">
                  <c:v>Çoruh </c:v>
                </c:pt>
                <c:pt idx="23">
                  <c:v>Aras </c:v>
                </c:pt>
                <c:pt idx="24">
                  <c:v>Van Gölü </c:v>
                </c:pt>
              </c:strCache>
            </c:strRef>
          </c:cat>
          <c:val>
            <c:numRef>
              <c:f>'1.2.Tablo'!$AM$5:$AM$29</c:f>
              <c:numCache>
                <c:formatCode>0.0</c:formatCode>
                <c:ptCount val="25"/>
                <c:pt idx="0">
                  <c:v>0.90486849468382791</c:v>
                </c:pt>
                <c:pt idx="1">
                  <c:v>4.1186345831001692</c:v>
                </c:pt>
                <c:pt idx="2">
                  <c:v>2.5019585898153336</c:v>
                </c:pt>
                <c:pt idx="3">
                  <c:v>0.99832120872971486</c:v>
                </c:pt>
                <c:pt idx="4">
                  <c:v>0.81365416899832133</c:v>
                </c:pt>
                <c:pt idx="5">
                  <c:v>0.30274202574146625</c:v>
                </c:pt>
                <c:pt idx="6">
                  <c:v>1.530498041410185</c:v>
                </c:pt>
                <c:pt idx="7">
                  <c:v>3.4767767207610532</c:v>
                </c:pt>
                <c:pt idx="8">
                  <c:v>7.1611639619474001</c:v>
                </c:pt>
                <c:pt idx="9">
                  <c:v>0.12479015109121436</c:v>
                </c:pt>
                <c:pt idx="10">
                  <c:v>0.21656407386681595</c:v>
                </c:pt>
                <c:pt idx="11">
                  <c:v>3.3609401231113605</c:v>
                </c:pt>
                <c:pt idx="12">
                  <c:v>5.7358701734750994</c:v>
                </c:pt>
                <c:pt idx="13">
                  <c:v>3.857302742025742</c:v>
                </c:pt>
                <c:pt idx="14">
                  <c:v>3.6172355903749307</c:v>
                </c:pt>
                <c:pt idx="15">
                  <c:v>1.2126468942361501</c:v>
                </c:pt>
                <c:pt idx="16">
                  <c:v>3.9149412423055412</c:v>
                </c:pt>
                <c:pt idx="17">
                  <c:v>3.4555120313374377</c:v>
                </c:pt>
                <c:pt idx="18">
                  <c:v>0.90822607722439863</c:v>
                </c:pt>
                <c:pt idx="19">
                  <c:v>4.1583659764969232</c:v>
                </c:pt>
                <c:pt idx="20">
                  <c:v>30.498041410184673</c:v>
                </c:pt>
                <c:pt idx="21">
                  <c:v>9.1606043648573063</c:v>
                </c:pt>
                <c:pt idx="22">
                  <c:v>3.9955232232792395</c:v>
                </c:pt>
                <c:pt idx="23">
                  <c:v>2.5567991046446563</c:v>
                </c:pt>
                <c:pt idx="24">
                  <c:v>1.4180190263010635</c:v>
                </c:pt>
              </c:numCache>
            </c:numRef>
          </c:val>
          <c:extLst>
            <c:ext xmlns:c16="http://schemas.microsoft.com/office/drawing/2014/chart" uri="{C3380CC4-5D6E-409C-BE32-E72D297353CC}">
              <c16:uniqueId val="{00000012-7448-4C96-B83E-8945ABEA52B9}"/>
            </c:ext>
          </c:extLst>
        </c:ser>
        <c:dLbls>
          <c:showLegendKey val="0"/>
          <c:showVal val="0"/>
          <c:showCatName val="0"/>
          <c:showSerName val="0"/>
          <c:showPercent val="0"/>
          <c:showBubbleSize val="0"/>
          <c:showLeaderLines val="1"/>
        </c:dLbls>
      </c:pie3DChart>
    </c:plotArea>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38</xdr:col>
      <xdr:colOff>729646</xdr:colOff>
      <xdr:row>1</xdr:row>
      <xdr:rowOff>57150</xdr:rowOff>
    </xdr:from>
    <xdr:to>
      <xdr:col>38</xdr:col>
      <xdr:colOff>1110646</xdr:colOff>
      <xdr:row>1</xdr:row>
      <xdr:rowOff>342900</xdr:rowOff>
    </xdr:to>
    <xdr:pic>
      <xdr:nvPicPr>
        <xdr:cNvPr id="3" name="Resim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87396" y="261257"/>
          <a:ext cx="3810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193674</xdr:colOff>
      <xdr:row>34</xdr:row>
      <xdr:rowOff>126999</xdr:rowOff>
    </xdr:from>
    <xdr:to>
      <xdr:col>23</xdr:col>
      <xdr:colOff>0</xdr:colOff>
      <xdr:row>64</xdr:row>
      <xdr:rowOff>136070</xdr:rowOff>
    </xdr:to>
    <xdr:graphicFrame macro="">
      <xdr:nvGraphicFramePr>
        <xdr:cNvPr id="4" name="Grafik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17993</xdr:colOff>
      <xdr:row>66</xdr:row>
      <xdr:rowOff>14210</xdr:rowOff>
    </xdr:from>
    <xdr:to>
      <xdr:col>22</xdr:col>
      <xdr:colOff>1143000</xdr:colOff>
      <xdr:row>95</xdr:row>
      <xdr:rowOff>27213</xdr:rowOff>
    </xdr:to>
    <xdr:graphicFrame macro="">
      <xdr:nvGraphicFramePr>
        <xdr:cNvPr id="5" name="Grafik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27214</xdr:colOff>
      <xdr:row>96</xdr:row>
      <xdr:rowOff>5441</xdr:rowOff>
    </xdr:from>
    <xdr:to>
      <xdr:col>16</xdr:col>
      <xdr:colOff>258535</xdr:colOff>
      <xdr:row>142</xdr:row>
      <xdr:rowOff>0</xdr:rowOff>
    </xdr:to>
    <xdr:graphicFrame macro="">
      <xdr:nvGraphicFramePr>
        <xdr:cNvPr id="6" name="Grafik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0.00654</cdr:x>
      <cdr:y>0.01212</cdr:y>
    </cdr:from>
    <cdr:to>
      <cdr:x>0.05562</cdr:x>
      <cdr:y>0.08037</cdr:y>
    </cdr:to>
    <cdr:pic>
      <cdr:nvPicPr>
        <cdr:cNvPr id="2" name="Resim 1">
          <a:extLst xmlns:a="http://schemas.openxmlformats.org/drawingml/2006/main">
            <a:ext uri="{FF2B5EF4-FFF2-40B4-BE49-F238E27FC236}">
              <a16:creationId xmlns:a16="http://schemas.microsoft.com/office/drawing/2014/main" id="{3D5F230F-F603-4096-923B-0626FD1E166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0800" y="50800"/>
          <a:ext cx="381000" cy="286051"/>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0.00646</cdr:x>
      <cdr:y>0.00951</cdr:y>
    </cdr:from>
    <cdr:to>
      <cdr:x>0.05495</cdr:x>
      <cdr:y>0.06304</cdr:y>
    </cdr:to>
    <cdr:pic>
      <cdr:nvPicPr>
        <cdr:cNvPr id="2" name="Resim 1">
          <a:extLst xmlns:a="http://schemas.openxmlformats.org/drawingml/2006/main">
            <a:ext uri="{FF2B5EF4-FFF2-40B4-BE49-F238E27FC236}">
              <a16:creationId xmlns:a16="http://schemas.microsoft.com/office/drawing/2014/main" id="{EA88E19E-F125-4B8E-B35B-96548A9335B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0800" y="50800"/>
          <a:ext cx="381000" cy="286051"/>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0.00638</cdr:x>
      <cdr:y>0.00909</cdr:y>
    </cdr:from>
    <cdr:to>
      <cdr:x>0.05423</cdr:x>
      <cdr:y>0.06025</cdr:y>
    </cdr:to>
    <cdr:pic>
      <cdr:nvPicPr>
        <cdr:cNvPr id="2" name="Resim 1">
          <a:extLst xmlns:a="http://schemas.openxmlformats.org/drawingml/2006/main">
            <a:ext uri="{FF2B5EF4-FFF2-40B4-BE49-F238E27FC236}">
              <a16:creationId xmlns:a16="http://schemas.microsoft.com/office/drawing/2014/main" id="{5F776CCA-27F2-40E8-833A-BD3E856B674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0800" y="50800"/>
          <a:ext cx="381000" cy="286051"/>
        </a:xfrm>
        <a:prstGeom xmlns:a="http://schemas.openxmlformats.org/drawingml/2006/main" prst="rect">
          <a:avLst/>
        </a:prstGeom>
      </cdr:spPr>
    </cdr:pic>
  </cdr:relSizeAnchor>
</c:userShape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66"/>
  <sheetViews>
    <sheetView tabSelected="1" zoomScale="60" zoomScaleNormal="60" workbookViewId="0">
      <selection activeCell="AS31" sqref="AS31"/>
    </sheetView>
  </sheetViews>
  <sheetFormatPr defaultRowHeight="15" x14ac:dyDescent="0.25"/>
  <cols>
    <col min="1" max="1" width="3.140625" customWidth="1"/>
    <col min="2" max="2" width="12" customWidth="1"/>
    <col min="3" max="3" width="23.140625" customWidth="1"/>
    <col min="4" max="4" width="15.5703125" customWidth="1"/>
    <col min="5" max="5" width="16" customWidth="1"/>
    <col min="6" max="21" width="14.7109375" customWidth="1"/>
    <col min="22" max="22" width="17.28515625" style="1" customWidth="1"/>
    <col min="23" max="36" width="17.28515625" customWidth="1"/>
    <col min="37" max="37" width="17.28515625" style="1" customWidth="1"/>
    <col min="38" max="39" width="17.28515625" customWidth="1"/>
    <col min="40" max="40" width="3" customWidth="1"/>
    <col min="41" max="42" width="9.140625" customWidth="1"/>
  </cols>
  <sheetData>
    <row r="1" spans="1:39" ht="15.75" thickBot="1" x14ac:dyDescent="0.3"/>
    <row r="2" spans="1:39" ht="29.25" customHeight="1" thickBot="1" x14ac:dyDescent="0.3">
      <c r="B2" s="50" t="s">
        <v>62</v>
      </c>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2"/>
    </row>
    <row r="3" spans="1:39" ht="29.25" customHeight="1" thickBot="1" x14ac:dyDescent="0.3">
      <c r="B3" s="42" t="s">
        <v>27</v>
      </c>
      <c r="C3" s="47" t="s">
        <v>0</v>
      </c>
      <c r="D3" s="44">
        <v>2013</v>
      </c>
      <c r="E3" s="45"/>
      <c r="F3" s="46"/>
      <c r="G3" s="44">
        <v>2014</v>
      </c>
      <c r="H3" s="45"/>
      <c r="I3" s="46"/>
      <c r="J3" s="44">
        <v>2015</v>
      </c>
      <c r="K3" s="45"/>
      <c r="L3" s="46"/>
      <c r="M3" s="44">
        <v>2016</v>
      </c>
      <c r="N3" s="45"/>
      <c r="O3" s="46"/>
      <c r="P3" s="44">
        <v>2017</v>
      </c>
      <c r="Q3" s="45"/>
      <c r="R3" s="46"/>
      <c r="S3" s="44">
        <v>2018</v>
      </c>
      <c r="T3" s="45"/>
      <c r="U3" s="46"/>
      <c r="V3" s="45">
        <v>2019</v>
      </c>
      <c r="W3" s="45"/>
      <c r="X3" s="46"/>
      <c r="Y3" s="45">
        <v>2020</v>
      </c>
      <c r="Z3" s="45"/>
      <c r="AA3" s="46"/>
      <c r="AB3" s="45">
        <v>2021</v>
      </c>
      <c r="AC3" s="45"/>
      <c r="AD3" s="46"/>
      <c r="AE3" s="44">
        <v>2022</v>
      </c>
      <c r="AF3" s="45"/>
      <c r="AG3" s="46"/>
      <c r="AH3" s="44">
        <v>2023</v>
      </c>
      <c r="AI3" s="45"/>
      <c r="AJ3" s="46"/>
      <c r="AK3" s="44">
        <v>2024</v>
      </c>
      <c r="AL3" s="45"/>
      <c r="AM3" s="46"/>
    </row>
    <row r="4" spans="1:39" ht="60.75" customHeight="1" thickBot="1" x14ac:dyDescent="0.3">
      <c r="A4" s="11"/>
      <c r="B4" s="43"/>
      <c r="C4" s="48"/>
      <c r="D4" s="35" t="s">
        <v>28</v>
      </c>
      <c r="E4" s="2" t="s">
        <v>29</v>
      </c>
      <c r="F4" s="3" t="s">
        <v>1</v>
      </c>
      <c r="G4" s="35" t="s">
        <v>28</v>
      </c>
      <c r="H4" s="2" t="s">
        <v>29</v>
      </c>
      <c r="I4" s="3" t="s">
        <v>1</v>
      </c>
      <c r="J4" s="35" t="s">
        <v>28</v>
      </c>
      <c r="K4" s="2" t="s">
        <v>29</v>
      </c>
      <c r="L4" s="3" t="s">
        <v>1</v>
      </c>
      <c r="M4" s="30" t="s">
        <v>57</v>
      </c>
      <c r="N4" s="29" t="s">
        <v>58</v>
      </c>
      <c r="O4" s="3" t="s">
        <v>1</v>
      </c>
      <c r="P4" s="24" t="s">
        <v>57</v>
      </c>
      <c r="Q4" s="17" t="s">
        <v>58</v>
      </c>
      <c r="R4" s="3" t="s">
        <v>1</v>
      </c>
      <c r="S4" s="22" t="s">
        <v>28</v>
      </c>
      <c r="T4" s="2" t="s">
        <v>29</v>
      </c>
      <c r="U4" s="3" t="s">
        <v>1</v>
      </c>
      <c r="V4" s="22" t="s">
        <v>28</v>
      </c>
      <c r="W4" s="2" t="s">
        <v>29</v>
      </c>
      <c r="X4" s="3" t="s">
        <v>1</v>
      </c>
      <c r="Y4" s="22" t="s">
        <v>28</v>
      </c>
      <c r="Z4" s="2" t="s">
        <v>29</v>
      </c>
      <c r="AA4" s="3" t="s">
        <v>1</v>
      </c>
      <c r="AB4" s="22" t="s">
        <v>28</v>
      </c>
      <c r="AC4" s="2" t="s">
        <v>29</v>
      </c>
      <c r="AD4" s="3" t="s">
        <v>1</v>
      </c>
      <c r="AE4" s="22" t="s">
        <v>28</v>
      </c>
      <c r="AF4" s="2" t="s">
        <v>29</v>
      </c>
      <c r="AG4" s="3" t="s">
        <v>1</v>
      </c>
      <c r="AH4" s="22" t="s">
        <v>28</v>
      </c>
      <c r="AI4" s="2" t="s">
        <v>29</v>
      </c>
      <c r="AJ4" s="3" t="s">
        <v>1</v>
      </c>
      <c r="AK4" s="22" t="s">
        <v>28</v>
      </c>
      <c r="AL4" s="2" t="s">
        <v>29</v>
      </c>
      <c r="AM4" s="3" t="s">
        <v>1</v>
      </c>
    </row>
    <row r="5" spans="1:39" ht="15.75" x14ac:dyDescent="0.25">
      <c r="B5" s="12" t="s">
        <v>31</v>
      </c>
      <c r="C5" s="31" t="s">
        <v>56</v>
      </c>
      <c r="D5" s="36">
        <v>14560</v>
      </c>
      <c r="E5" s="4">
        <v>1.33</v>
      </c>
      <c r="F5" s="5">
        <f t="shared" ref="F5:F24" si="0">(E5/186.05)*100</f>
        <v>0.71486159634506852</v>
      </c>
      <c r="G5" s="36">
        <v>14560</v>
      </c>
      <c r="H5" s="4">
        <v>1.33</v>
      </c>
      <c r="I5" s="5">
        <f t="shared" ref="I5:I24" si="1">(H5/186.05)*100</f>
        <v>0.71486159634506852</v>
      </c>
      <c r="J5" s="36">
        <v>14560</v>
      </c>
      <c r="K5" s="4">
        <v>1.33</v>
      </c>
      <c r="L5" s="5">
        <f t="shared" ref="L5:L24" si="2">(K5/186.05)*100</f>
        <v>0.71486159634506852</v>
      </c>
      <c r="M5" s="26">
        <v>14444.1</v>
      </c>
      <c r="N5" s="18">
        <v>1.84229580302702</v>
      </c>
      <c r="O5" s="5">
        <f>(N5/N$30)*100</f>
        <v>1.0190294805809845</v>
      </c>
      <c r="P5" s="26">
        <v>14444.1</v>
      </c>
      <c r="Q5" s="18">
        <v>1.84229580302702</v>
      </c>
      <c r="R5" s="5">
        <f>(Q5/Q$30)*100</f>
        <v>1.0190294805809845</v>
      </c>
      <c r="S5" s="26">
        <v>14486</v>
      </c>
      <c r="T5" s="18">
        <v>1.657</v>
      </c>
      <c r="U5" s="5">
        <f>(T5/T$30)*100</f>
        <v>0.89390236665641676</v>
      </c>
      <c r="V5" s="26">
        <v>14486</v>
      </c>
      <c r="W5" s="18">
        <v>1.657</v>
      </c>
      <c r="X5" s="5">
        <f>(W5/W30)*100</f>
        <v>0.89388307771981601</v>
      </c>
      <c r="Y5" s="26">
        <v>14486</v>
      </c>
      <c r="Z5" s="18">
        <v>1.657</v>
      </c>
      <c r="AA5" s="5">
        <f>(Z5/Z$30)*100</f>
        <v>0.89390236665641698</v>
      </c>
      <c r="AB5" s="26">
        <v>14486</v>
      </c>
      <c r="AC5" s="18">
        <v>1.657</v>
      </c>
      <c r="AD5" s="5">
        <f>(AC5/AC$30)*100</f>
        <v>0.89390236665641698</v>
      </c>
      <c r="AE5" s="26">
        <v>14486</v>
      </c>
      <c r="AF5" s="18">
        <v>1.617</v>
      </c>
      <c r="AG5" s="5">
        <f>(AF5/AF$30)*100</f>
        <v>0.90486849468382791</v>
      </c>
      <c r="AH5" s="26">
        <v>14486</v>
      </c>
      <c r="AI5" s="18">
        <v>1.617</v>
      </c>
      <c r="AJ5" s="5">
        <f>(AI5/AI$30)*100</f>
        <v>0.90486849468382791</v>
      </c>
      <c r="AK5" s="26">
        <v>14486</v>
      </c>
      <c r="AL5" s="18">
        <v>1.617</v>
      </c>
      <c r="AM5" s="5">
        <f>(AL5/AL$30)*100</f>
        <v>0.90486849468382791</v>
      </c>
    </row>
    <row r="6" spans="1:39" ht="15.75" x14ac:dyDescent="0.25">
      <c r="B6" s="13" t="s">
        <v>32</v>
      </c>
      <c r="C6" s="32" t="s">
        <v>4</v>
      </c>
      <c r="D6" s="37">
        <v>24100</v>
      </c>
      <c r="E6" s="6">
        <v>8.33</v>
      </c>
      <c r="F6" s="7">
        <f t="shared" si="0"/>
        <v>4.4772910507927977</v>
      </c>
      <c r="G6" s="37">
        <v>24100</v>
      </c>
      <c r="H6" s="6">
        <v>8.33</v>
      </c>
      <c r="I6" s="7">
        <f t="shared" si="1"/>
        <v>4.4772910507927977</v>
      </c>
      <c r="J6" s="37">
        <v>24100</v>
      </c>
      <c r="K6" s="6">
        <v>8.33</v>
      </c>
      <c r="L6" s="7">
        <f t="shared" si="2"/>
        <v>4.4772910507927977</v>
      </c>
      <c r="M6" s="27">
        <v>23107.200000000001</v>
      </c>
      <c r="N6" s="19">
        <v>7.5402637436490503</v>
      </c>
      <c r="O6" s="7">
        <f t="shared" ref="O6:O29" si="3">(N6/N$30)*100</f>
        <v>4.1707477341637444</v>
      </c>
      <c r="P6" s="27">
        <v>23107.200000000001</v>
      </c>
      <c r="Q6" s="19">
        <v>7.5402637436490503</v>
      </c>
      <c r="R6" s="7">
        <f t="shared" ref="R6:R29" si="4">(Q6/Q$30)*100</f>
        <v>4.1707477341637444</v>
      </c>
      <c r="S6" s="27">
        <v>23074</v>
      </c>
      <c r="T6" s="19">
        <v>7.44</v>
      </c>
      <c r="U6" s="5">
        <f t="shared" ref="U6:U29" si="5">(T6/T$30)*100</f>
        <v>4.0136593892116723</v>
      </c>
      <c r="V6" s="27">
        <v>23074</v>
      </c>
      <c r="W6" s="19">
        <v>7.4420000000000002</v>
      </c>
      <c r="X6" s="5">
        <f t="shared" ref="X6:X29" si="6">(W6/W$30)*100</f>
        <v>4.0146516984857401</v>
      </c>
      <c r="Y6" s="27">
        <v>23074</v>
      </c>
      <c r="Z6" s="19">
        <v>7.4420000000000002</v>
      </c>
      <c r="AA6" s="5">
        <f t="shared" ref="AA6:AA29" si="7">(Z6/Z$30)*100</f>
        <v>4.0147383299076971</v>
      </c>
      <c r="AB6" s="27">
        <v>23074</v>
      </c>
      <c r="AC6" s="19">
        <v>7.4420000000000002</v>
      </c>
      <c r="AD6" s="5">
        <f t="shared" ref="AD6:AD29" si="8">(AC6/AC$30)*100</f>
        <v>4.0147383299076971</v>
      </c>
      <c r="AE6" s="27">
        <v>23074</v>
      </c>
      <c r="AF6" s="19">
        <v>7.36</v>
      </c>
      <c r="AG6" s="5">
        <f t="shared" ref="AG6:AG29" si="9">(AF6/AF$30)*100</f>
        <v>4.1186345831001692</v>
      </c>
      <c r="AH6" s="27">
        <v>23074</v>
      </c>
      <c r="AI6" s="19">
        <v>7.36</v>
      </c>
      <c r="AJ6" s="5">
        <f t="shared" ref="AJ6:AJ29" si="10">(AI6/AI$30)*100</f>
        <v>4.1186345831001692</v>
      </c>
      <c r="AK6" s="27">
        <v>23074</v>
      </c>
      <c r="AL6" s="19">
        <v>7.36</v>
      </c>
      <c r="AM6" s="5">
        <f t="shared" ref="AM6:AM29" si="11">(AL6/AL$30)*100</f>
        <v>4.1186345831001692</v>
      </c>
    </row>
    <row r="7" spans="1:39" ht="15.75" x14ac:dyDescent="0.25">
      <c r="B7" s="12" t="s">
        <v>33</v>
      </c>
      <c r="C7" s="32" t="s">
        <v>5</v>
      </c>
      <c r="D7" s="37">
        <v>22399</v>
      </c>
      <c r="E7" s="6">
        <v>5.43</v>
      </c>
      <c r="F7" s="7">
        <f t="shared" si="0"/>
        <v>2.9185702768073094</v>
      </c>
      <c r="G7" s="37">
        <v>22399</v>
      </c>
      <c r="H7" s="6">
        <v>5.43</v>
      </c>
      <c r="I7" s="7">
        <f t="shared" si="1"/>
        <v>2.9185702768073094</v>
      </c>
      <c r="J7" s="37">
        <v>22399</v>
      </c>
      <c r="K7" s="6">
        <v>5.43</v>
      </c>
      <c r="L7" s="7">
        <f t="shared" si="2"/>
        <v>2.9185702768073094</v>
      </c>
      <c r="M7" s="27">
        <v>24332</v>
      </c>
      <c r="N7" s="19">
        <v>4.2260094113021802</v>
      </c>
      <c r="O7" s="7">
        <f t="shared" si="3"/>
        <v>2.3375335102288415</v>
      </c>
      <c r="P7" s="27">
        <v>24332</v>
      </c>
      <c r="Q7" s="19">
        <v>4.2260094113021802</v>
      </c>
      <c r="R7" s="7">
        <f t="shared" si="4"/>
        <v>2.3375335102288415</v>
      </c>
      <c r="S7" s="27">
        <v>24319</v>
      </c>
      <c r="T7" s="19">
        <v>4.96</v>
      </c>
      <c r="U7" s="5">
        <f t="shared" si="5"/>
        <v>2.6757729261411147</v>
      </c>
      <c r="V7" s="27">
        <v>24319</v>
      </c>
      <c r="W7" s="19">
        <v>4.9630000000000001</v>
      </c>
      <c r="X7" s="5">
        <f t="shared" si="6"/>
        <v>2.6773335635023821</v>
      </c>
      <c r="Y7" s="27">
        <v>24319</v>
      </c>
      <c r="Z7" s="19">
        <v>4.9630000000000001</v>
      </c>
      <c r="AA7" s="5">
        <f t="shared" si="7"/>
        <v>2.6773913371851523</v>
      </c>
      <c r="AB7" s="27">
        <v>24319</v>
      </c>
      <c r="AC7" s="19">
        <v>4.9630000000000001</v>
      </c>
      <c r="AD7" s="5">
        <f t="shared" si="8"/>
        <v>2.6773913371851523</v>
      </c>
      <c r="AE7" s="27">
        <v>24319</v>
      </c>
      <c r="AF7" s="19">
        <v>4.4710000000000001</v>
      </c>
      <c r="AG7" s="5">
        <f t="shared" si="9"/>
        <v>2.5019585898153336</v>
      </c>
      <c r="AH7" s="27">
        <v>24319</v>
      </c>
      <c r="AI7" s="19">
        <v>4.4710000000000001</v>
      </c>
      <c r="AJ7" s="5">
        <f t="shared" si="10"/>
        <v>2.5019585898153336</v>
      </c>
      <c r="AK7" s="27">
        <v>24319</v>
      </c>
      <c r="AL7" s="19">
        <v>4.4710000000000001</v>
      </c>
      <c r="AM7" s="5">
        <f t="shared" si="11"/>
        <v>2.5019585898153336</v>
      </c>
    </row>
    <row r="8" spans="1:39" ht="15.75" x14ac:dyDescent="0.25">
      <c r="B8" s="13" t="s">
        <v>34</v>
      </c>
      <c r="C8" s="32" t="s">
        <v>6</v>
      </c>
      <c r="D8" s="37">
        <v>10003</v>
      </c>
      <c r="E8" s="6">
        <v>2.09</v>
      </c>
      <c r="F8" s="7">
        <f t="shared" si="0"/>
        <v>1.1233539371136791</v>
      </c>
      <c r="G8" s="37">
        <v>10003</v>
      </c>
      <c r="H8" s="6">
        <v>2.09</v>
      </c>
      <c r="I8" s="7">
        <f t="shared" si="1"/>
        <v>1.1233539371136791</v>
      </c>
      <c r="J8" s="37">
        <v>10003</v>
      </c>
      <c r="K8" s="6">
        <v>2.09</v>
      </c>
      <c r="L8" s="7">
        <f t="shared" si="2"/>
        <v>1.1233539371136791</v>
      </c>
      <c r="M8" s="27">
        <v>9973.6</v>
      </c>
      <c r="N8" s="19">
        <v>1.5006107056210101</v>
      </c>
      <c r="O8" s="7">
        <f t="shared" si="3"/>
        <v>0.83003312789982764</v>
      </c>
      <c r="P8" s="27">
        <v>9973.6</v>
      </c>
      <c r="Q8" s="19">
        <v>1.5006107056210101</v>
      </c>
      <c r="R8" s="7">
        <f t="shared" si="4"/>
        <v>0.83003312789982764</v>
      </c>
      <c r="S8" s="27">
        <v>9861</v>
      </c>
      <c r="T8" s="19">
        <v>1.99</v>
      </c>
      <c r="U8" s="5">
        <f t="shared" si="5"/>
        <v>1.0735459925445199</v>
      </c>
      <c r="V8" s="27">
        <v>9861</v>
      </c>
      <c r="W8" s="19">
        <v>1.9850000000000001</v>
      </c>
      <c r="X8" s="5">
        <f t="shared" si="6"/>
        <v>1.0708255336595263</v>
      </c>
      <c r="Y8" s="27">
        <v>9861</v>
      </c>
      <c r="Z8" s="19">
        <v>1.9850000000000001</v>
      </c>
      <c r="AA8" s="5">
        <f t="shared" si="7"/>
        <v>1.0708486408044584</v>
      </c>
      <c r="AB8" s="27">
        <v>9861</v>
      </c>
      <c r="AC8" s="19">
        <v>1.9850000000000001</v>
      </c>
      <c r="AD8" s="5">
        <f t="shared" si="8"/>
        <v>1.0708486408044584</v>
      </c>
      <c r="AE8" s="27">
        <v>9861</v>
      </c>
      <c r="AF8" s="19">
        <v>1.784</v>
      </c>
      <c r="AG8" s="5">
        <f t="shared" si="9"/>
        <v>0.99832120872971486</v>
      </c>
      <c r="AH8" s="27">
        <v>9861</v>
      </c>
      <c r="AI8" s="19">
        <v>1.784</v>
      </c>
      <c r="AJ8" s="5">
        <f t="shared" si="10"/>
        <v>0.99832120872971486</v>
      </c>
      <c r="AK8" s="27">
        <v>9861</v>
      </c>
      <c r="AL8" s="19">
        <v>1.784</v>
      </c>
      <c r="AM8" s="5">
        <f t="shared" si="11"/>
        <v>0.99832120872971486</v>
      </c>
    </row>
    <row r="9" spans="1:39" ht="15.75" x14ac:dyDescent="0.25">
      <c r="B9" s="12" t="s">
        <v>35</v>
      </c>
      <c r="C9" s="32" t="s">
        <v>7</v>
      </c>
      <c r="D9" s="37">
        <v>18000</v>
      </c>
      <c r="E9" s="6">
        <v>1.95</v>
      </c>
      <c r="F9" s="7">
        <f t="shared" si="0"/>
        <v>1.0481053480247244</v>
      </c>
      <c r="G9" s="37">
        <v>18000</v>
      </c>
      <c r="H9" s="6">
        <v>1.95</v>
      </c>
      <c r="I9" s="7">
        <f t="shared" si="1"/>
        <v>1.0481053480247244</v>
      </c>
      <c r="J9" s="37">
        <v>18000</v>
      </c>
      <c r="K9" s="6">
        <v>1.95</v>
      </c>
      <c r="L9" s="7">
        <f t="shared" si="2"/>
        <v>1.0481053480247244</v>
      </c>
      <c r="M9" s="27">
        <v>17034</v>
      </c>
      <c r="N9" s="19">
        <v>1.54482310639634</v>
      </c>
      <c r="O9" s="7">
        <f t="shared" si="3"/>
        <v>0.85448834281335928</v>
      </c>
      <c r="P9" s="27">
        <v>17034</v>
      </c>
      <c r="Q9" s="19">
        <v>1.54482310639634</v>
      </c>
      <c r="R9" s="7">
        <f t="shared" si="4"/>
        <v>0.85448834281335928</v>
      </c>
      <c r="S9" s="27">
        <v>17137</v>
      </c>
      <c r="T9" s="19">
        <v>1.78</v>
      </c>
      <c r="U9" s="5">
        <f t="shared" si="5"/>
        <v>0.96025721946193221</v>
      </c>
      <c r="V9" s="27">
        <v>17137</v>
      </c>
      <c r="W9" s="19">
        <v>1.776</v>
      </c>
      <c r="X9" s="5">
        <f t="shared" si="6"/>
        <v>0.95807866386867435</v>
      </c>
      <c r="Y9" s="27">
        <v>17137</v>
      </c>
      <c r="Z9" s="19">
        <v>1.776</v>
      </c>
      <c r="AA9" s="5">
        <f t="shared" si="7"/>
        <v>0.95809933806988312</v>
      </c>
      <c r="AB9" s="27">
        <v>17137</v>
      </c>
      <c r="AC9" s="19">
        <v>1.776</v>
      </c>
      <c r="AD9" s="5">
        <f t="shared" si="8"/>
        <v>0.95809933806988312</v>
      </c>
      <c r="AE9" s="27">
        <v>17137</v>
      </c>
      <c r="AF9" s="19">
        <v>1.454</v>
      </c>
      <c r="AG9" s="5">
        <f t="shared" si="9"/>
        <v>0.81365416899832133</v>
      </c>
      <c r="AH9" s="27">
        <v>17137</v>
      </c>
      <c r="AI9" s="19">
        <v>1.454</v>
      </c>
      <c r="AJ9" s="5">
        <f t="shared" si="10"/>
        <v>0.81365416899832133</v>
      </c>
      <c r="AK9" s="27">
        <v>17137</v>
      </c>
      <c r="AL9" s="19">
        <v>1.454</v>
      </c>
      <c r="AM9" s="5">
        <f t="shared" si="11"/>
        <v>0.81365416899832133</v>
      </c>
    </row>
    <row r="10" spans="1:39" ht="15.75" x14ac:dyDescent="0.25">
      <c r="B10" s="13" t="s">
        <v>36</v>
      </c>
      <c r="C10" s="32" t="s">
        <v>8</v>
      </c>
      <c r="D10" s="37">
        <v>6907</v>
      </c>
      <c r="E10" s="6">
        <v>1.19</v>
      </c>
      <c r="F10" s="7">
        <f t="shared" si="0"/>
        <v>0.63961300725611381</v>
      </c>
      <c r="G10" s="37">
        <v>6907</v>
      </c>
      <c r="H10" s="6">
        <v>1.19</v>
      </c>
      <c r="I10" s="7">
        <f t="shared" si="1"/>
        <v>0.63961300725611381</v>
      </c>
      <c r="J10" s="37">
        <v>6907</v>
      </c>
      <c r="K10" s="6">
        <v>1.19</v>
      </c>
      <c r="L10" s="7">
        <f t="shared" si="2"/>
        <v>0.63961300725611381</v>
      </c>
      <c r="M10" s="27">
        <v>7059.7</v>
      </c>
      <c r="N10" s="19">
        <v>0.52760790819805903</v>
      </c>
      <c r="O10" s="7">
        <f t="shared" si="3"/>
        <v>0.2918358776902682</v>
      </c>
      <c r="P10" s="27">
        <v>7059.7</v>
      </c>
      <c r="Q10" s="19">
        <v>0.52760790819805903</v>
      </c>
      <c r="R10" s="7">
        <f t="shared" si="4"/>
        <v>0.2918358776902682</v>
      </c>
      <c r="S10" s="27">
        <v>6963</v>
      </c>
      <c r="T10" s="19">
        <v>0.62</v>
      </c>
      <c r="U10" s="5">
        <f t="shared" si="5"/>
        <v>0.33447161576763934</v>
      </c>
      <c r="V10" s="27">
        <v>6963</v>
      </c>
      <c r="W10" s="19">
        <v>0.624</v>
      </c>
      <c r="X10" s="5">
        <f t="shared" si="6"/>
        <v>0.33662223325115581</v>
      </c>
      <c r="Y10" s="27">
        <v>6963</v>
      </c>
      <c r="Z10" s="19">
        <v>0.624</v>
      </c>
      <c r="AA10" s="5">
        <f t="shared" si="7"/>
        <v>0.33662949715968871</v>
      </c>
      <c r="AB10" s="27">
        <v>6963</v>
      </c>
      <c r="AC10" s="19">
        <v>0.624</v>
      </c>
      <c r="AD10" s="5">
        <f t="shared" si="8"/>
        <v>0.33662949715968871</v>
      </c>
      <c r="AE10" s="27">
        <v>6963</v>
      </c>
      <c r="AF10" s="19">
        <v>0.54100000000000004</v>
      </c>
      <c r="AG10" s="5">
        <f t="shared" si="9"/>
        <v>0.30274202574146625</v>
      </c>
      <c r="AH10" s="27">
        <v>6963</v>
      </c>
      <c r="AI10" s="19">
        <v>0.54100000000000004</v>
      </c>
      <c r="AJ10" s="5">
        <f t="shared" si="10"/>
        <v>0.30274202574146625</v>
      </c>
      <c r="AK10" s="27">
        <v>6963</v>
      </c>
      <c r="AL10" s="19">
        <v>0.54100000000000004</v>
      </c>
      <c r="AM10" s="5">
        <f t="shared" si="11"/>
        <v>0.30274202574146625</v>
      </c>
    </row>
    <row r="11" spans="1:39" ht="15.75" x14ac:dyDescent="0.25">
      <c r="B11" s="12" t="s">
        <v>37</v>
      </c>
      <c r="C11" s="32" t="s">
        <v>9</v>
      </c>
      <c r="D11" s="37">
        <v>24976</v>
      </c>
      <c r="E11" s="6">
        <v>3.03</v>
      </c>
      <c r="F11" s="7">
        <f t="shared" si="0"/>
        <v>1.6285944638538026</v>
      </c>
      <c r="G11" s="37">
        <v>24976</v>
      </c>
      <c r="H11" s="6">
        <v>3.03</v>
      </c>
      <c r="I11" s="7">
        <f t="shared" si="1"/>
        <v>1.6285944638538026</v>
      </c>
      <c r="J11" s="37">
        <v>24976</v>
      </c>
      <c r="K11" s="6">
        <v>3.03</v>
      </c>
      <c r="L11" s="7">
        <f t="shared" si="2"/>
        <v>1.6285944638538026</v>
      </c>
      <c r="M11" s="27">
        <v>26133.200000000001</v>
      </c>
      <c r="N11" s="19">
        <v>2.9686850145810899</v>
      </c>
      <c r="O11" s="7">
        <f t="shared" si="3"/>
        <v>1.6420693915963676</v>
      </c>
      <c r="P11" s="27">
        <v>26133.200000000001</v>
      </c>
      <c r="Q11" s="19">
        <v>2.9686850145810899</v>
      </c>
      <c r="R11" s="7">
        <f t="shared" si="4"/>
        <v>1.6420693915963676</v>
      </c>
      <c r="S11" s="27">
        <v>25960</v>
      </c>
      <c r="T11" s="19">
        <v>3.05</v>
      </c>
      <c r="U11" s="5">
        <f t="shared" si="5"/>
        <v>1.6453845614375806</v>
      </c>
      <c r="V11" s="27">
        <v>25960</v>
      </c>
      <c r="W11" s="19">
        <v>3.0470000000000002</v>
      </c>
      <c r="X11" s="5">
        <f t="shared" si="6"/>
        <v>1.6437306806350509</v>
      </c>
      <c r="Y11" s="27">
        <v>25960</v>
      </c>
      <c r="Z11" s="19">
        <v>3.0470000000000002</v>
      </c>
      <c r="AA11" s="5">
        <f t="shared" si="7"/>
        <v>1.6437661503935441</v>
      </c>
      <c r="AB11" s="27">
        <v>25960</v>
      </c>
      <c r="AC11" s="19">
        <v>3.0470000000000002</v>
      </c>
      <c r="AD11" s="5">
        <f t="shared" si="8"/>
        <v>1.6437661503935441</v>
      </c>
      <c r="AE11" s="27">
        <v>25960</v>
      </c>
      <c r="AF11" s="19">
        <v>2.7349999999999999</v>
      </c>
      <c r="AG11" s="5">
        <f t="shared" si="9"/>
        <v>1.530498041410185</v>
      </c>
      <c r="AH11" s="27">
        <v>25960</v>
      </c>
      <c r="AI11" s="19">
        <v>2.7349999999999999</v>
      </c>
      <c r="AJ11" s="5">
        <f t="shared" si="10"/>
        <v>1.530498041410185</v>
      </c>
      <c r="AK11" s="27">
        <v>25960</v>
      </c>
      <c r="AL11" s="19">
        <v>2.7349999999999999</v>
      </c>
      <c r="AM11" s="5">
        <f t="shared" si="11"/>
        <v>1.530498041410185</v>
      </c>
    </row>
    <row r="12" spans="1:39" ht="15.75" x14ac:dyDescent="0.25">
      <c r="B12" s="13" t="s">
        <v>38</v>
      </c>
      <c r="C12" s="32" t="s">
        <v>10</v>
      </c>
      <c r="D12" s="37">
        <v>20953</v>
      </c>
      <c r="E12" s="6">
        <v>8.93</v>
      </c>
      <c r="F12" s="7">
        <f t="shared" si="0"/>
        <v>4.7997850040311745</v>
      </c>
      <c r="G12" s="37">
        <v>20953</v>
      </c>
      <c r="H12" s="6">
        <v>8.93</v>
      </c>
      <c r="I12" s="7">
        <f t="shared" si="1"/>
        <v>4.7997850040311745</v>
      </c>
      <c r="J12" s="37">
        <v>20953</v>
      </c>
      <c r="K12" s="6">
        <v>8.93</v>
      </c>
      <c r="L12" s="7">
        <f t="shared" si="2"/>
        <v>4.7997850040311745</v>
      </c>
      <c r="M12" s="27">
        <v>21223.9</v>
      </c>
      <c r="N12" s="19">
        <v>6.9691080117506496</v>
      </c>
      <c r="O12" s="7">
        <f t="shared" si="3"/>
        <v>3.854824239222828</v>
      </c>
      <c r="P12" s="27">
        <v>21223.9</v>
      </c>
      <c r="Q12" s="19">
        <v>6.9691080117506496</v>
      </c>
      <c r="R12" s="7">
        <f t="shared" si="4"/>
        <v>3.854824239222828</v>
      </c>
      <c r="S12" s="27">
        <v>20956</v>
      </c>
      <c r="T12" s="19">
        <v>6.5</v>
      </c>
      <c r="U12" s="5">
        <f t="shared" si="5"/>
        <v>3.50655726208009</v>
      </c>
      <c r="V12" s="27">
        <v>20956</v>
      </c>
      <c r="W12" s="19">
        <v>6.4989999999999997</v>
      </c>
      <c r="X12" s="5">
        <f t="shared" si="6"/>
        <v>3.5059421376590731</v>
      </c>
      <c r="Y12" s="27">
        <v>20956</v>
      </c>
      <c r="Z12" s="19">
        <v>6.4989999999999997</v>
      </c>
      <c r="AA12" s="5">
        <f t="shared" si="7"/>
        <v>3.5060177917320781</v>
      </c>
      <c r="AB12" s="27">
        <v>20956</v>
      </c>
      <c r="AC12" s="19">
        <v>6.4989999999999997</v>
      </c>
      <c r="AD12" s="5">
        <f t="shared" si="8"/>
        <v>3.5060177917320781</v>
      </c>
      <c r="AE12" s="27">
        <v>20956</v>
      </c>
      <c r="AF12" s="19">
        <v>6.2130000000000001</v>
      </c>
      <c r="AG12" s="5">
        <f t="shared" si="9"/>
        <v>3.4767767207610532</v>
      </c>
      <c r="AH12" s="27">
        <v>20956</v>
      </c>
      <c r="AI12" s="19">
        <v>6.2130000000000001</v>
      </c>
      <c r="AJ12" s="5">
        <f t="shared" si="10"/>
        <v>3.4767767207610532</v>
      </c>
      <c r="AK12" s="27">
        <v>20956</v>
      </c>
      <c r="AL12" s="19">
        <v>6.2130000000000001</v>
      </c>
      <c r="AM12" s="5">
        <f t="shared" si="11"/>
        <v>3.4767767207610532</v>
      </c>
    </row>
    <row r="13" spans="1:39" ht="15.75" x14ac:dyDescent="0.25">
      <c r="B13" s="12" t="s">
        <v>39</v>
      </c>
      <c r="C13" s="32" t="s">
        <v>11</v>
      </c>
      <c r="D13" s="37">
        <v>19577</v>
      </c>
      <c r="E13" s="6">
        <v>11.06</v>
      </c>
      <c r="F13" s="7">
        <f t="shared" si="0"/>
        <v>5.9446385380274123</v>
      </c>
      <c r="G13" s="37">
        <v>19577</v>
      </c>
      <c r="H13" s="6">
        <v>11.06</v>
      </c>
      <c r="I13" s="7">
        <f t="shared" si="1"/>
        <v>5.9446385380274123</v>
      </c>
      <c r="J13" s="37">
        <v>19577</v>
      </c>
      <c r="K13" s="6">
        <v>11.06</v>
      </c>
      <c r="L13" s="7">
        <f t="shared" si="2"/>
        <v>5.9446385380274123</v>
      </c>
      <c r="M13" s="27">
        <v>20330.8</v>
      </c>
      <c r="N13" s="19">
        <v>13.08281</v>
      </c>
      <c r="O13" s="7">
        <f t="shared" si="3"/>
        <v>7.2364975575228945</v>
      </c>
      <c r="P13" s="27">
        <v>20330.8</v>
      </c>
      <c r="Q13" s="19">
        <v>13.08281</v>
      </c>
      <c r="R13" s="7">
        <f t="shared" si="4"/>
        <v>7.2364975575228945</v>
      </c>
      <c r="S13" s="27">
        <v>20429</v>
      </c>
      <c r="T13" s="19">
        <v>12.94</v>
      </c>
      <c r="U13" s="5">
        <f t="shared" si="5"/>
        <v>6.9807463032794406</v>
      </c>
      <c r="V13" s="27">
        <v>20249</v>
      </c>
      <c r="W13" s="19">
        <v>12.944000000000001</v>
      </c>
      <c r="X13" s="5">
        <f t="shared" si="6"/>
        <v>6.9827535051329503</v>
      </c>
      <c r="Y13" s="27">
        <v>20249</v>
      </c>
      <c r="Z13" s="19">
        <v>12.944000000000001</v>
      </c>
      <c r="AA13" s="5">
        <f t="shared" si="7"/>
        <v>6.9829041846714919</v>
      </c>
      <c r="AB13" s="27">
        <v>20249</v>
      </c>
      <c r="AC13" s="19">
        <v>12.944000000000001</v>
      </c>
      <c r="AD13" s="5">
        <f t="shared" si="8"/>
        <v>6.9829041846714919</v>
      </c>
      <c r="AE13" s="27">
        <v>20249</v>
      </c>
      <c r="AF13" s="19">
        <v>12.797000000000001</v>
      </c>
      <c r="AG13" s="5">
        <f t="shared" si="9"/>
        <v>7.1611639619474001</v>
      </c>
      <c r="AH13" s="27">
        <v>20249</v>
      </c>
      <c r="AI13" s="19">
        <v>12.797000000000001</v>
      </c>
      <c r="AJ13" s="5">
        <f t="shared" si="10"/>
        <v>7.1611639619474001</v>
      </c>
      <c r="AK13" s="27">
        <v>20249</v>
      </c>
      <c r="AL13" s="19">
        <v>12.797000000000001</v>
      </c>
      <c r="AM13" s="5">
        <f t="shared" si="11"/>
        <v>7.1611639619474001</v>
      </c>
    </row>
    <row r="14" spans="1:39" ht="15.75" x14ac:dyDescent="0.25">
      <c r="B14" s="13" t="s">
        <v>40</v>
      </c>
      <c r="C14" s="32" t="s">
        <v>12</v>
      </c>
      <c r="D14" s="37">
        <v>6374</v>
      </c>
      <c r="E14" s="6">
        <v>0.5</v>
      </c>
      <c r="F14" s="7">
        <f t="shared" si="0"/>
        <v>0.26874496103198059</v>
      </c>
      <c r="G14" s="37">
        <v>6374</v>
      </c>
      <c r="H14" s="6">
        <v>0.5</v>
      </c>
      <c r="I14" s="7">
        <f t="shared" si="1"/>
        <v>0.26874496103198059</v>
      </c>
      <c r="J14" s="37">
        <v>6374</v>
      </c>
      <c r="K14" s="6">
        <v>0.5</v>
      </c>
      <c r="L14" s="7">
        <f t="shared" si="2"/>
        <v>0.26874496103198059</v>
      </c>
      <c r="M14" s="27">
        <v>6306.2</v>
      </c>
      <c r="N14" s="19">
        <v>0.25586576609323203</v>
      </c>
      <c r="O14" s="7">
        <f t="shared" si="3"/>
        <v>0.14152708717679136</v>
      </c>
      <c r="P14" s="27">
        <v>6306.2</v>
      </c>
      <c r="Q14" s="19">
        <v>0.25586576609323203</v>
      </c>
      <c r="R14" s="7">
        <f t="shared" si="4"/>
        <v>0.14152708717679136</v>
      </c>
      <c r="S14" s="27">
        <v>6294</v>
      </c>
      <c r="T14" s="19">
        <v>0.23</v>
      </c>
      <c r="U14" s="5">
        <f t="shared" si="5"/>
        <v>0.12407818004283395</v>
      </c>
      <c r="V14" s="27">
        <v>6294</v>
      </c>
      <c r="W14" s="19">
        <v>0.23400000000000001</v>
      </c>
      <c r="X14" s="5">
        <f t="shared" si="6"/>
        <v>0.12623333746918344</v>
      </c>
      <c r="Y14" s="27">
        <v>6294</v>
      </c>
      <c r="Z14" s="19">
        <v>0.23400000000000001</v>
      </c>
      <c r="AA14" s="5">
        <f t="shared" si="7"/>
        <v>0.12623606143488325</v>
      </c>
      <c r="AB14" s="27">
        <v>6294</v>
      </c>
      <c r="AC14" s="19">
        <v>0.23400000000000001</v>
      </c>
      <c r="AD14" s="5">
        <f t="shared" si="8"/>
        <v>0.12623606143488325</v>
      </c>
      <c r="AE14" s="27">
        <v>6294</v>
      </c>
      <c r="AF14" s="19">
        <v>0.223</v>
      </c>
      <c r="AG14" s="5">
        <f t="shared" si="9"/>
        <v>0.12479015109121436</v>
      </c>
      <c r="AH14" s="27">
        <v>6294</v>
      </c>
      <c r="AI14" s="19">
        <v>0.223</v>
      </c>
      <c r="AJ14" s="5">
        <f t="shared" si="10"/>
        <v>0.12479015109121436</v>
      </c>
      <c r="AK14" s="27">
        <v>6294</v>
      </c>
      <c r="AL14" s="19">
        <v>0.223</v>
      </c>
      <c r="AM14" s="5">
        <f t="shared" si="11"/>
        <v>0.12479015109121436</v>
      </c>
    </row>
    <row r="15" spans="1:39" ht="15.75" x14ac:dyDescent="0.25">
      <c r="B15" s="12" t="s">
        <v>41</v>
      </c>
      <c r="C15" s="32" t="s">
        <v>13</v>
      </c>
      <c r="D15" s="37">
        <v>7605</v>
      </c>
      <c r="E15" s="6">
        <v>0.49</v>
      </c>
      <c r="F15" s="7">
        <f t="shared" si="0"/>
        <v>0.26337006181134098</v>
      </c>
      <c r="G15" s="37">
        <v>7605</v>
      </c>
      <c r="H15" s="6">
        <v>0.49</v>
      </c>
      <c r="I15" s="7">
        <f t="shared" si="1"/>
        <v>0.26337006181134098</v>
      </c>
      <c r="J15" s="37">
        <v>7605</v>
      </c>
      <c r="K15" s="6">
        <v>0.49</v>
      </c>
      <c r="L15" s="7">
        <f t="shared" si="2"/>
        <v>0.26337006181134098</v>
      </c>
      <c r="M15" s="27">
        <v>7982.6</v>
      </c>
      <c r="N15" s="19">
        <v>0.325534483323837</v>
      </c>
      <c r="O15" s="7">
        <f t="shared" si="3"/>
        <v>0.18006295998049532</v>
      </c>
      <c r="P15" s="27">
        <v>7982.6</v>
      </c>
      <c r="Q15" s="19">
        <v>0.325534483323837</v>
      </c>
      <c r="R15" s="7">
        <f t="shared" si="4"/>
        <v>0.18006295998049532</v>
      </c>
      <c r="S15" s="27">
        <v>7995</v>
      </c>
      <c r="T15" s="19">
        <v>0.37</v>
      </c>
      <c r="U15" s="5">
        <f t="shared" si="5"/>
        <v>0.19960402876455899</v>
      </c>
      <c r="V15" s="27">
        <v>7995</v>
      </c>
      <c r="W15" s="19">
        <v>0.375</v>
      </c>
      <c r="X15" s="5">
        <f t="shared" si="6"/>
        <v>0.20229701517497345</v>
      </c>
      <c r="Y15" s="27">
        <v>7995</v>
      </c>
      <c r="Z15" s="19">
        <v>0.375</v>
      </c>
      <c r="AA15" s="5">
        <f t="shared" si="7"/>
        <v>0.2023013805046206</v>
      </c>
      <c r="AB15" s="27">
        <v>7995</v>
      </c>
      <c r="AC15" s="19">
        <v>0.375</v>
      </c>
      <c r="AD15" s="5">
        <f t="shared" si="8"/>
        <v>0.2023013805046206</v>
      </c>
      <c r="AE15" s="27">
        <v>7995</v>
      </c>
      <c r="AF15" s="19">
        <v>0.38700000000000001</v>
      </c>
      <c r="AG15" s="5">
        <f t="shared" si="9"/>
        <v>0.21656407386681595</v>
      </c>
      <c r="AH15" s="27">
        <v>7995</v>
      </c>
      <c r="AI15" s="19">
        <v>0.38700000000000001</v>
      </c>
      <c r="AJ15" s="5">
        <f t="shared" si="10"/>
        <v>0.21656407386681595</v>
      </c>
      <c r="AK15" s="27">
        <v>7995</v>
      </c>
      <c r="AL15" s="19">
        <v>0.38700000000000001</v>
      </c>
      <c r="AM15" s="5">
        <f t="shared" si="11"/>
        <v>0.21656407386681595</v>
      </c>
    </row>
    <row r="16" spans="1:39" ht="15.75" x14ac:dyDescent="0.25">
      <c r="B16" s="13" t="s">
        <v>42</v>
      </c>
      <c r="C16" s="32" t="s">
        <v>14</v>
      </c>
      <c r="D16" s="37">
        <v>58160</v>
      </c>
      <c r="E16" s="6">
        <v>6.4</v>
      </c>
      <c r="F16" s="7">
        <f t="shared" si="0"/>
        <v>3.439935501209352</v>
      </c>
      <c r="G16" s="37">
        <v>58160</v>
      </c>
      <c r="H16" s="6">
        <v>6.4</v>
      </c>
      <c r="I16" s="7">
        <f t="shared" si="1"/>
        <v>3.439935501209352</v>
      </c>
      <c r="J16" s="37">
        <v>58160</v>
      </c>
      <c r="K16" s="6">
        <v>6.4</v>
      </c>
      <c r="L16" s="7">
        <f t="shared" si="2"/>
        <v>3.439935501209352</v>
      </c>
      <c r="M16" s="27">
        <v>63357.8</v>
      </c>
      <c r="N16" s="19">
        <v>5.1582327002187496</v>
      </c>
      <c r="O16" s="7">
        <f t="shared" si="3"/>
        <v>2.8531743819766322</v>
      </c>
      <c r="P16" s="27">
        <v>63357.8</v>
      </c>
      <c r="Q16" s="19">
        <v>5.1582327002187496</v>
      </c>
      <c r="R16" s="7">
        <f t="shared" si="4"/>
        <v>2.8531743819766322</v>
      </c>
      <c r="S16" s="27">
        <v>63303</v>
      </c>
      <c r="T16" s="19">
        <v>6.49</v>
      </c>
      <c r="U16" s="5">
        <f t="shared" si="5"/>
        <v>3.5011625585999671</v>
      </c>
      <c r="V16" s="27">
        <v>63303</v>
      </c>
      <c r="W16" s="19">
        <v>6.4870000000000001</v>
      </c>
      <c r="X16" s="5">
        <f t="shared" si="6"/>
        <v>3.4994686331734739</v>
      </c>
      <c r="Y16" s="27">
        <v>63303</v>
      </c>
      <c r="Z16" s="19">
        <v>6.4870000000000001</v>
      </c>
      <c r="AA16" s="5">
        <f t="shared" si="7"/>
        <v>3.4995441475559304</v>
      </c>
      <c r="AB16" s="27">
        <v>63303</v>
      </c>
      <c r="AC16" s="19">
        <v>6.4870000000000001</v>
      </c>
      <c r="AD16" s="5">
        <f t="shared" si="8"/>
        <v>3.4995441475559304</v>
      </c>
      <c r="AE16" s="27">
        <v>63303</v>
      </c>
      <c r="AF16" s="19">
        <v>6.0060000000000002</v>
      </c>
      <c r="AG16" s="5">
        <f t="shared" si="9"/>
        <v>3.3609401231113605</v>
      </c>
      <c r="AH16" s="27">
        <v>63303</v>
      </c>
      <c r="AI16" s="19">
        <v>6.0060000000000002</v>
      </c>
      <c r="AJ16" s="5">
        <f t="shared" si="10"/>
        <v>3.3609401231113605</v>
      </c>
      <c r="AK16" s="27">
        <v>63303</v>
      </c>
      <c r="AL16" s="19">
        <v>6.0060000000000002</v>
      </c>
      <c r="AM16" s="5">
        <f t="shared" si="11"/>
        <v>3.3609401231113605</v>
      </c>
    </row>
    <row r="17" spans="2:39" ht="15.75" x14ac:dyDescent="0.25">
      <c r="B17" s="12" t="s">
        <v>43</v>
      </c>
      <c r="C17" s="32" t="s">
        <v>15</v>
      </c>
      <c r="D17" s="37">
        <v>29598</v>
      </c>
      <c r="E17" s="6">
        <v>9.93</v>
      </c>
      <c r="F17" s="7">
        <f t="shared" si="0"/>
        <v>5.3372749260951355</v>
      </c>
      <c r="G17" s="37">
        <v>29598</v>
      </c>
      <c r="H17" s="6">
        <v>9.93</v>
      </c>
      <c r="I17" s="7">
        <f t="shared" si="1"/>
        <v>5.3372749260951355</v>
      </c>
      <c r="J17" s="37">
        <v>29598</v>
      </c>
      <c r="K17" s="6">
        <v>9.93</v>
      </c>
      <c r="L17" s="7">
        <f t="shared" si="2"/>
        <v>5.3372749260951355</v>
      </c>
      <c r="M17" s="27">
        <v>28929.8</v>
      </c>
      <c r="N17" s="19">
        <v>9.9140865367968498</v>
      </c>
      <c r="O17" s="7">
        <f t="shared" si="3"/>
        <v>5.4837808550763185</v>
      </c>
      <c r="P17" s="27">
        <v>28929.8</v>
      </c>
      <c r="Q17" s="19">
        <v>9.9140865367968498</v>
      </c>
      <c r="R17" s="7">
        <f t="shared" si="4"/>
        <v>5.4837808550763185</v>
      </c>
      <c r="S17" s="27">
        <v>28855</v>
      </c>
      <c r="T17" s="19">
        <v>10.8</v>
      </c>
      <c r="U17" s="5">
        <f t="shared" si="5"/>
        <v>5.8262797585330723</v>
      </c>
      <c r="V17" s="27">
        <v>28855</v>
      </c>
      <c r="W17" s="19">
        <v>10.797000000000001</v>
      </c>
      <c r="X17" s="5">
        <f t="shared" si="6"/>
        <v>5.824535660917836</v>
      </c>
      <c r="Y17" s="27">
        <v>28855</v>
      </c>
      <c r="Z17" s="19">
        <v>10.797000000000001</v>
      </c>
      <c r="AA17" s="5">
        <f t="shared" si="7"/>
        <v>5.8246613474890365</v>
      </c>
      <c r="AB17" s="27">
        <v>28855</v>
      </c>
      <c r="AC17" s="19">
        <v>10.797000000000001</v>
      </c>
      <c r="AD17" s="5">
        <f t="shared" si="8"/>
        <v>5.8246613474890365</v>
      </c>
      <c r="AE17" s="27">
        <v>28855</v>
      </c>
      <c r="AF17" s="19">
        <v>10.25</v>
      </c>
      <c r="AG17" s="5">
        <f t="shared" si="9"/>
        <v>5.7358701734750994</v>
      </c>
      <c r="AH17" s="27">
        <v>28855</v>
      </c>
      <c r="AI17" s="19">
        <v>10.25</v>
      </c>
      <c r="AJ17" s="5">
        <f t="shared" si="10"/>
        <v>5.7358701734750994</v>
      </c>
      <c r="AK17" s="27">
        <v>28855</v>
      </c>
      <c r="AL17" s="19">
        <v>10.25</v>
      </c>
      <c r="AM17" s="5">
        <f t="shared" si="11"/>
        <v>5.7358701734750994</v>
      </c>
    </row>
    <row r="18" spans="2:39" ht="15.75" x14ac:dyDescent="0.25">
      <c r="B18" s="13" t="s">
        <v>44</v>
      </c>
      <c r="C18" s="32" t="s">
        <v>16</v>
      </c>
      <c r="D18" s="37">
        <v>36114</v>
      </c>
      <c r="E18" s="6">
        <v>5.8</v>
      </c>
      <c r="F18" s="7">
        <f t="shared" si="0"/>
        <v>3.1174415479709752</v>
      </c>
      <c r="G18" s="37">
        <v>36114</v>
      </c>
      <c r="H18" s="6">
        <v>5.8</v>
      </c>
      <c r="I18" s="7">
        <f t="shared" si="1"/>
        <v>3.1174415479709752</v>
      </c>
      <c r="J18" s="37">
        <v>36114</v>
      </c>
      <c r="K18" s="6">
        <v>5.8</v>
      </c>
      <c r="L18" s="7">
        <f t="shared" si="2"/>
        <v>3.1174415479709752</v>
      </c>
      <c r="M18" s="27">
        <v>39628</v>
      </c>
      <c r="N18" s="19">
        <v>6.5823073645965904</v>
      </c>
      <c r="O18" s="7">
        <f t="shared" si="3"/>
        <v>3.6408731126392708</v>
      </c>
      <c r="P18" s="27">
        <v>39628</v>
      </c>
      <c r="Q18" s="19">
        <v>6.5823073645965904</v>
      </c>
      <c r="R18" s="7">
        <f t="shared" si="4"/>
        <v>3.6408731126392708</v>
      </c>
      <c r="S18" s="27">
        <v>39595</v>
      </c>
      <c r="T18" s="19">
        <v>7.05</v>
      </c>
      <c r="U18" s="5">
        <f t="shared" si="5"/>
        <v>3.8032659534868665</v>
      </c>
      <c r="V18" s="27">
        <v>39595</v>
      </c>
      <c r="W18" s="19">
        <v>7.0460000000000003</v>
      </c>
      <c r="X18" s="5">
        <f t="shared" si="6"/>
        <v>3.8010260504609676</v>
      </c>
      <c r="Y18" s="27">
        <v>39595</v>
      </c>
      <c r="Z18" s="19">
        <v>7.0460000000000003</v>
      </c>
      <c r="AA18" s="5">
        <f t="shared" si="7"/>
        <v>3.8011080720948187</v>
      </c>
      <c r="AB18" s="27">
        <v>39595</v>
      </c>
      <c r="AC18" s="19">
        <v>7.0460000000000003</v>
      </c>
      <c r="AD18" s="5">
        <f t="shared" si="8"/>
        <v>3.8011080720948187</v>
      </c>
      <c r="AE18" s="27">
        <v>39595</v>
      </c>
      <c r="AF18" s="19">
        <v>6.8929999999999998</v>
      </c>
      <c r="AG18" s="5">
        <f t="shared" si="9"/>
        <v>3.857302742025742</v>
      </c>
      <c r="AH18" s="27">
        <v>39595</v>
      </c>
      <c r="AI18" s="19">
        <v>6.8929999999999998</v>
      </c>
      <c r="AJ18" s="5">
        <f t="shared" si="10"/>
        <v>3.857302742025742</v>
      </c>
      <c r="AK18" s="27">
        <v>39595</v>
      </c>
      <c r="AL18" s="19">
        <v>6.8929999999999998</v>
      </c>
      <c r="AM18" s="5">
        <f t="shared" si="11"/>
        <v>3.857302742025742</v>
      </c>
    </row>
    <row r="19" spans="2:39" ht="15.75" x14ac:dyDescent="0.25">
      <c r="B19" s="12" t="s">
        <v>45</v>
      </c>
      <c r="C19" s="32" t="s">
        <v>17</v>
      </c>
      <c r="D19" s="37">
        <v>78180</v>
      </c>
      <c r="E19" s="6">
        <v>6.48</v>
      </c>
      <c r="F19" s="7">
        <f t="shared" si="0"/>
        <v>3.4829346949744688</v>
      </c>
      <c r="G19" s="37">
        <v>78180</v>
      </c>
      <c r="H19" s="6">
        <v>6.48</v>
      </c>
      <c r="I19" s="7">
        <f t="shared" si="1"/>
        <v>3.4829346949744688</v>
      </c>
      <c r="J19" s="37">
        <v>78180</v>
      </c>
      <c r="K19" s="6">
        <v>6.48</v>
      </c>
      <c r="L19" s="7">
        <f t="shared" si="2"/>
        <v>3.4829346949744688</v>
      </c>
      <c r="M19" s="27">
        <v>82197.3</v>
      </c>
      <c r="N19" s="19">
        <v>6.1200145288168599</v>
      </c>
      <c r="O19" s="7">
        <f t="shared" si="3"/>
        <v>3.3851649752452131</v>
      </c>
      <c r="P19" s="27">
        <v>82197.3</v>
      </c>
      <c r="Q19" s="19">
        <v>6.1200145288168599</v>
      </c>
      <c r="R19" s="7">
        <f t="shared" si="4"/>
        <v>3.3851649752452131</v>
      </c>
      <c r="S19" s="27">
        <v>82181</v>
      </c>
      <c r="T19" s="19">
        <v>7</v>
      </c>
      <c r="U19" s="5">
        <f t="shared" si="5"/>
        <v>3.7762924360862509</v>
      </c>
      <c r="V19" s="27">
        <v>82181</v>
      </c>
      <c r="W19" s="19">
        <v>7.0039999999999996</v>
      </c>
      <c r="X19" s="5">
        <f t="shared" si="6"/>
        <v>3.7783687847613705</v>
      </c>
      <c r="Y19" s="27">
        <v>82181</v>
      </c>
      <c r="Z19" s="19">
        <v>7.0039999999999996</v>
      </c>
      <c r="AA19" s="5">
        <f t="shared" si="7"/>
        <v>3.7784503174783004</v>
      </c>
      <c r="AB19" s="27">
        <v>82181</v>
      </c>
      <c r="AC19" s="19">
        <v>7.0039999999999996</v>
      </c>
      <c r="AD19" s="5">
        <f t="shared" si="8"/>
        <v>3.7784503174783004</v>
      </c>
      <c r="AE19" s="27">
        <v>82181</v>
      </c>
      <c r="AF19" s="19">
        <v>6.4640000000000004</v>
      </c>
      <c r="AG19" s="5">
        <f t="shared" si="9"/>
        <v>3.6172355903749307</v>
      </c>
      <c r="AH19" s="27">
        <v>82181</v>
      </c>
      <c r="AI19" s="19">
        <v>6.4640000000000004</v>
      </c>
      <c r="AJ19" s="5">
        <f t="shared" si="10"/>
        <v>3.6172355903749307</v>
      </c>
      <c r="AK19" s="27">
        <v>82181</v>
      </c>
      <c r="AL19" s="19">
        <v>6.4640000000000004</v>
      </c>
      <c r="AM19" s="5">
        <f t="shared" si="11"/>
        <v>3.6172355903749307</v>
      </c>
    </row>
    <row r="20" spans="2:39" ht="15.75" x14ac:dyDescent="0.25">
      <c r="B20" s="13" t="s">
        <v>46</v>
      </c>
      <c r="C20" s="32" t="s">
        <v>18</v>
      </c>
      <c r="D20" s="37">
        <v>53850</v>
      </c>
      <c r="E20" s="6">
        <v>4.5199999999999996</v>
      </c>
      <c r="F20" s="7">
        <f t="shared" si="0"/>
        <v>2.4294544477291047</v>
      </c>
      <c r="G20" s="37">
        <v>53850</v>
      </c>
      <c r="H20" s="6">
        <v>4.5199999999999996</v>
      </c>
      <c r="I20" s="7">
        <f t="shared" si="1"/>
        <v>2.4294544477291047</v>
      </c>
      <c r="J20" s="37">
        <v>53850</v>
      </c>
      <c r="K20" s="6">
        <v>4.5199999999999996</v>
      </c>
      <c r="L20" s="7">
        <f t="shared" si="2"/>
        <v>2.4294544477291047</v>
      </c>
      <c r="M20" s="27">
        <v>50037.8</v>
      </c>
      <c r="N20" s="19">
        <v>2.6472684893198699</v>
      </c>
      <c r="O20" s="7">
        <f t="shared" si="3"/>
        <v>1.4642841986599637</v>
      </c>
      <c r="P20" s="27">
        <v>50037.8</v>
      </c>
      <c r="Q20" s="19">
        <v>2.6472684893198699</v>
      </c>
      <c r="R20" s="7">
        <f t="shared" si="4"/>
        <v>1.4642841986599637</v>
      </c>
      <c r="S20" s="27">
        <v>49930</v>
      </c>
      <c r="T20" s="19">
        <v>2.41</v>
      </c>
      <c r="U20" s="5">
        <f t="shared" si="5"/>
        <v>1.300123538709695</v>
      </c>
      <c r="V20" s="27">
        <v>49930</v>
      </c>
      <c r="W20" s="19">
        <v>2.407</v>
      </c>
      <c r="X20" s="5">
        <f t="shared" si="6"/>
        <v>1.298477108069763</v>
      </c>
      <c r="Y20" s="27">
        <v>49930</v>
      </c>
      <c r="Z20" s="19">
        <v>2.407</v>
      </c>
      <c r="AA20" s="5">
        <f t="shared" si="7"/>
        <v>1.2985051276656583</v>
      </c>
      <c r="AB20" s="27">
        <v>49930</v>
      </c>
      <c r="AC20" s="19">
        <v>2.407</v>
      </c>
      <c r="AD20" s="5">
        <f t="shared" si="8"/>
        <v>1.2985051276656583</v>
      </c>
      <c r="AE20" s="27">
        <v>49930</v>
      </c>
      <c r="AF20" s="19">
        <v>2.1669999999999998</v>
      </c>
      <c r="AG20" s="5">
        <f t="shared" si="9"/>
        <v>1.2126468942361501</v>
      </c>
      <c r="AH20" s="27">
        <v>49930</v>
      </c>
      <c r="AI20" s="19">
        <v>2.1669999999999998</v>
      </c>
      <c r="AJ20" s="5">
        <f t="shared" si="10"/>
        <v>1.2126468942361501</v>
      </c>
      <c r="AK20" s="27">
        <v>49930</v>
      </c>
      <c r="AL20" s="19">
        <v>2.1669999999999998</v>
      </c>
      <c r="AM20" s="5">
        <f t="shared" si="11"/>
        <v>1.2126468942361501</v>
      </c>
    </row>
    <row r="21" spans="2:39" ht="15.75" x14ac:dyDescent="0.25">
      <c r="B21" s="12" t="s">
        <v>47</v>
      </c>
      <c r="C21" s="32" t="s">
        <v>19</v>
      </c>
      <c r="D21" s="37">
        <v>22048</v>
      </c>
      <c r="E21" s="6">
        <v>11.07</v>
      </c>
      <c r="F21" s="7">
        <f t="shared" si="0"/>
        <v>5.9500134372480513</v>
      </c>
      <c r="G21" s="37">
        <v>22048</v>
      </c>
      <c r="H21" s="6">
        <v>11.07</v>
      </c>
      <c r="I21" s="7">
        <f t="shared" si="1"/>
        <v>5.9500134372480513</v>
      </c>
      <c r="J21" s="37">
        <v>22048</v>
      </c>
      <c r="K21" s="6">
        <v>11.07</v>
      </c>
      <c r="L21" s="7">
        <f t="shared" si="2"/>
        <v>5.9500134372480513</v>
      </c>
      <c r="M21" s="27">
        <v>21807</v>
      </c>
      <c r="N21" s="19">
        <v>8.2401129828163207</v>
      </c>
      <c r="O21" s="7">
        <f t="shared" si="3"/>
        <v>4.5578554969355203</v>
      </c>
      <c r="P21" s="27">
        <v>21807</v>
      </c>
      <c r="Q21" s="19">
        <v>8.2401129828163207</v>
      </c>
      <c r="R21" s="7">
        <f t="shared" si="4"/>
        <v>4.5578554969355203</v>
      </c>
      <c r="S21" s="27">
        <v>21150</v>
      </c>
      <c r="T21" s="19">
        <v>7.56</v>
      </c>
      <c r="U21" s="5">
        <f t="shared" si="5"/>
        <v>4.0783958309731503</v>
      </c>
      <c r="V21" s="27">
        <v>21150</v>
      </c>
      <c r="W21" s="19">
        <v>7.5590000000000002</v>
      </c>
      <c r="X21" s="5">
        <f t="shared" si="6"/>
        <v>4.0777683672203313</v>
      </c>
      <c r="Y21" s="27">
        <v>21150</v>
      </c>
      <c r="Z21" s="19">
        <v>7.5590000000000002</v>
      </c>
      <c r="AA21" s="5">
        <f t="shared" si="7"/>
        <v>4.0778563606251392</v>
      </c>
      <c r="AB21" s="27">
        <v>21150</v>
      </c>
      <c r="AC21" s="19">
        <v>7.5590000000000002</v>
      </c>
      <c r="AD21" s="5">
        <f t="shared" si="8"/>
        <v>4.0778563606251392</v>
      </c>
      <c r="AE21" s="27">
        <v>21150</v>
      </c>
      <c r="AF21" s="19">
        <v>6.9960000000000004</v>
      </c>
      <c r="AG21" s="5">
        <f t="shared" si="9"/>
        <v>3.9149412423055412</v>
      </c>
      <c r="AH21" s="27">
        <v>21150</v>
      </c>
      <c r="AI21" s="19">
        <v>6.9960000000000004</v>
      </c>
      <c r="AJ21" s="5">
        <f t="shared" si="10"/>
        <v>3.9149412423055412</v>
      </c>
      <c r="AK21" s="27">
        <v>21150</v>
      </c>
      <c r="AL21" s="19">
        <v>6.9960000000000004</v>
      </c>
      <c r="AM21" s="5">
        <f t="shared" si="11"/>
        <v>3.9149412423055412</v>
      </c>
    </row>
    <row r="22" spans="2:39" ht="15.75" x14ac:dyDescent="0.25">
      <c r="B22" s="13" t="s">
        <v>48</v>
      </c>
      <c r="C22" s="32" t="s">
        <v>20</v>
      </c>
      <c r="D22" s="37">
        <v>20450</v>
      </c>
      <c r="E22" s="6">
        <v>8.01</v>
      </c>
      <c r="F22" s="7">
        <f t="shared" si="0"/>
        <v>4.3052942757323294</v>
      </c>
      <c r="G22" s="37">
        <v>20450</v>
      </c>
      <c r="H22" s="6">
        <v>8.01</v>
      </c>
      <c r="I22" s="7">
        <f t="shared" si="1"/>
        <v>4.3052942757323294</v>
      </c>
      <c r="J22" s="37">
        <v>20450</v>
      </c>
      <c r="K22" s="6">
        <v>8.01</v>
      </c>
      <c r="L22" s="7">
        <f t="shared" si="2"/>
        <v>4.3052942757323294</v>
      </c>
      <c r="M22" s="27">
        <v>22241.599999999999</v>
      </c>
      <c r="N22" s="19">
        <v>6.7858130120067797</v>
      </c>
      <c r="O22" s="7">
        <f t="shared" si="3"/>
        <v>3.7534382359137015</v>
      </c>
      <c r="P22" s="27">
        <v>22241.599999999999</v>
      </c>
      <c r="Q22" s="19">
        <v>6.7858130120067797</v>
      </c>
      <c r="R22" s="7">
        <f t="shared" si="4"/>
        <v>3.7534382359137015</v>
      </c>
      <c r="S22" s="27">
        <v>22035</v>
      </c>
      <c r="T22" s="19">
        <v>6.2</v>
      </c>
      <c r="U22" s="5">
        <f t="shared" si="5"/>
        <v>3.3447161576763937</v>
      </c>
      <c r="V22" s="27">
        <v>22035</v>
      </c>
      <c r="W22" s="19">
        <v>6.2039999999999997</v>
      </c>
      <c r="X22" s="5">
        <f t="shared" si="6"/>
        <v>3.3468018190547606</v>
      </c>
      <c r="Y22" s="27">
        <v>22035</v>
      </c>
      <c r="Z22" s="19">
        <v>6.2</v>
      </c>
      <c r="AA22" s="5">
        <f t="shared" si="7"/>
        <v>3.3447161576763937</v>
      </c>
      <c r="AB22" s="27">
        <v>22035</v>
      </c>
      <c r="AC22" s="19">
        <v>6.2</v>
      </c>
      <c r="AD22" s="5">
        <f t="shared" si="8"/>
        <v>3.3447161576763937</v>
      </c>
      <c r="AE22" s="27">
        <v>22035</v>
      </c>
      <c r="AF22" s="19">
        <v>6.1749999999999998</v>
      </c>
      <c r="AG22" s="5">
        <f t="shared" si="9"/>
        <v>3.4555120313374377</v>
      </c>
      <c r="AH22" s="27">
        <v>22035</v>
      </c>
      <c r="AI22" s="19">
        <v>6.1749999999999998</v>
      </c>
      <c r="AJ22" s="5">
        <f t="shared" si="10"/>
        <v>3.4555120313374377</v>
      </c>
      <c r="AK22" s="27">
        <v>22035</v>
      </c>
      <c r="AL22" s="19">
        <v>6.1749999999999998</v>
      </c>
      <c r="AM22" s="5">
        <f t="shared" si="11"/>
        <v>3.4555120313374377</v>
      </c>
    </row>
    <row r="23" spans="2:39" ht="15.75" x14ac:dyDescent="0.25">
      <c r="B23" s="12" t="s">
        <v>49</v>
      </c>
      <c r="C23" s="32" t="s">
        <v>21</v>
      </c>
      <c r="D23" s="37">
        <v>7796</v>
      </c>
      <c r="E23" s="6">
        <v>1.17</v>
      </c>
      <c r="F23" s="7">
        <f t="shared" si="0"/>
        <v>0.62886320881483471</v>
      </c>
      <c r="G23" s="37">
        <v>7796</v>
      </c>
      <c r="H23" s="6">
        <v>1.17</v>
      </c>
      <c r="I23" s="7">
        <f t="shared" si="1"/>
        <v>0.62886320881483471</v>
      </c>
      <c r="J23" s="37">
        <v>7796</v>
      </c>
      <c r="K23" s="6">
        <v>1.17</v>
      </c>
      <c r="L23" s="7">
        <f t="shared" si="2"/>
        <v>0.62886320881483471</v>
      </c>
      <c r="M23" s="27">
        <v>7912.4</v>
      </c>
      <c r="N23" s="19">
        <v>1.8132882311465</v>
      </c>
      <c r="O23" s="7">
        <f t="shared" si="3"/>
        <v>1.0029845160005117</v>
      </c>
      <c r="P23" s="27">
        <v>7912.4</v>
      </c>
      <c r="Q23" s="19">
        <v>1.8132882311465</v>
      </c>
      <c r="R23" s="7">
        <f t="shared" si="4"/>
        <v>1.0029845160005117</v>
      </c>
      <c r="S23" s="27">
        <v>7886</v>
      </c>
      <c r="T23" s="19">
        <v>1.78</v>
      </c>
      <c r="U23" s="5">
        <f t="shared" si="5"/>
        <v>0.96025721946193221</v>
      </c>
      <c r="V23" s="27">
        <v>7886</v>
      </c>
      <c r="W23" s="19">
        <v>1.782</v>
      </c>
      <c r="X23" s="5">
        <f t="shared" si="6"/>
        <v>0.96131541611147386</v>
      </c>
      <c r="Y23" s="27">
        <v>7886</v>
      </c>
      <c r="Z23" s="19">
        <v>1.782</v>
      </c>
      <c r="AA23" s="5">
        <f t="shared" si="7"/>
        <v>0.9613361601579572</v>
      </c>
      <c r="AB23" s="27">
        <v>7886</v>
      </c>
      <c r="AC23" s="19">
        <v>1.782</v>
      </c>
      <c r="AD23" s="5">
        <f t="shared" si="8"/>
        <v>0.9613361601579572</v>
      </c>
      <c r="AE23" s="27">
        <v>7886</v>
      </c>
      <c r="AF23" s="19">
        <v>1.623</v>
      </c>
      <c r="AG23" s="5">
        <f t="shared" si="9"/>
        <v>0.90822607722439863</v>
      </c>
      <c r="AH23" s="27">
        <v>7886</v>
      </c>
      <c r="AI23" s="19">
        <v>1.623</v>
      </c>
      <c r="AJ23" s="5">
        <f t="shared" si="10"/>
        <v>0.90822607722439863</v>
      </c>
      <c r="AK23" s="27">
        <v>7886</v>
      </c>
      <c r="AL23" s="19">
        <v>1.623</v>
      </c>
      <c r="AM23" s="5">
        <f t="shared" si="11"/>
        <v>0.90822607722439863</v>
      </c>
    </row>
    <row r="24" spans="2:39" ht="15.75" x14ac:dyDescent="0.25">
      <c r="B24" s="13" t="s">
        <v>50</v>
      </c>
      <c r="C24" s="32" t="s">
        <v>22</v>
      </c>
      <c r="D24" s="37">
        <v>21982</v>
      </c>
      <c r="E24" s="6">
        <v>7.18</v>
      </c>
      <c r="F24" s="7">
        <f t="shared" si="0"/>
        <v>3.8591776404192415</v>
      </c>
      <c r="G24" s="37">
        <v>21982</v>
      </c>
      <c r="H24" s="6">
        <v>7.18</v>
      </c>
      <c r="I24" s="7">
        <f t="shared" si="1"/>
        <v>3.8591776404192415</v>
      </c>
      <c r="J24" s="37">
        <v>21982</v>
      </c>
      <c r="K24" s="6">
        <v>7.18</v>
      </c>
      <c r="L24" s="7">
        <f t="shared" si="2"/>
        <v>3.8591776404192415</v>
      </c>
      <c r="M24" s="27">
        <v>21598.5</v>
      </c>
      <c r="N24" s="19">
        <v>7.3714922292090597</v>
      </c>
      <c r="O24" s="7">
        <f t="shared" si="3"/>
        <v>4.0773951094581626</v>
      </c>
      <c r="P24" s="27">
        <v>21598.5</v>
      </c>
      <c r="Q24" s="19">
        <v>7.3714922292090597</v>
      </c>
      <c r="R24" s="7">
        <f t="shared" si="4"/>
        <v>4.0773951094581626</v>
      </c>
      <c r="S24" s="27">
        <v>21391</v>
      </c>
      <c r="T24" s="19">
        <v>7.73</v>
      </c>
      <c r="U24" s="5">
        <f t="shared" si="5"/>
        <v>4.1701057901352456</v>
      </c>
      <c r="V24" s="27">
        <v>21391</v>
      </c>
      <c r="W24" s="19">
        <v>7.734</v>
      </c>
      <c r="X24" s="5">
        <f t="shared" si="6"/>
        <v>4.1721736409686523</v>
      </c>
      <c r="Y24" s="27">
        <v>21391</v>
      </c>
      <c r="Z24" s="19">
        <v>7.734</v>
      </c>
      <c r="AA24" s="5">
        <f t="shared" si="7"/>
        <v>4.1722636715272952</v>
      </c>
      <c r="AB24" s="27">
        <v>21391</v>
      </c>
      <c r="AC24" s="19">
        <v>7.734</v>
      </c>
      <c r="AD24" s="5">
        <f t="shared" si="8"/>
        <v>4.1722636715272952</v>
      </c>
      <c r="AE24" s="27">
        <v>21391</v>
      </c>
      <c r="AF24" s="19">
        <v>7.431</v>
      </c>
      <c r="AG24" s="5">
        <f t="shared" si="9"/>
        <v>4.1583659764969232</v>
      </c>
      <c r="AH24" s="27">
        <v>21391</v>
      </c>
      <c r="AI24" s="19">
        <v>7.431</v>
      </c>
      <c r="AJ24" s="5">
        <f t="shared" si="10"/>
        <v>4.1583659764969232</v>
      </c>
      <c r="AK24" s="27">
        <v>21391</v>
      </c>
      <c r="AL24" s="19">
        <v>7.431</v>
      </c>
      <c r="AM24" s="5">
        <f t="shared" si="11"/>
        <v>4.1583659764969232</v>
      </c>
    </row>
    <row r="25" spans="2:39" ht="15.75" x14ac:dyDescent="0.25">
      <c r="B25" s="12" t="s">
        <v>51</v>
      </c>
      <c r="C25" s="33" t="s">
        <v>3</v>
      </c>
      <c r="D25" s="37">
        <v>184918</v>
      </c>
      <c r="E25" s="6">
        <v>52.94</v>
      </c>
      <c r="F25" s="7">
        <f>(E25/186.05)*100</f>
        <v>28.45471647406611</v>
      </c>
      <c r="G25" s="37">
        <v>184918</v>
      </c>
      <c r="H25" s="6">
        <v>52.94</v>
      </c>
      <c r="I25" s="7">
        <f>(H25/186.05)*100</f>
        <v>28.45471647406611</v>
      </c>
      <c r="J25" s="37">
        <v>184918</v>
      </c>
      <c r="K25" s="6">
        <v>52.94</v>
      </c>
      <c r="L25" s="7">
        <f>(K25/186.05)*100</f>
        <v>28.45471647406611</v>
      </c>
      <c r="M25" s="27">
        <v>176142.7</v>
      </c>
      <c r="N25" s="19">
        <v>55.419260000000001</v>
      </c>
      <c r="O25" s="7">
        <f t="shared" si="3"/>
        <v>30.6540674082805</v>
      </c>
      <c r="P25" s="27">
        <v>176142.7</v>
      </c>
      <c r="Q25" s="19">
        <v>55.419260000000001</v>
      </c>
      <c r="R25" s="7">
        <f t="shared" si="4"/>
        <v>30.6540674082805</v>
      </c>
      <c r="S25" s="27">
        <v>176143</v>
      </c>
      <c r="T25" s="19">
        <v>56.32</v>
      </c>
      <c r="U25" s="5">
        <f t="shared" si="5"/>
        <v>30.382970000053948</v>
      </c>
      <c r="V25" s="27">
        <v>176143</v>
      </c>
      <c r="W25" s="19">
        <v>56.316000000000003</v>
      </c>
      <c r="X25" s="5">
        <f t="shared" si="6"/>
        <v>30.380156550916816</v>
      </c>
      <c r="Y25" s="27">
        <v>176143</v>
      </c>
      <c r="Z25" s="19">
        <v>56.316000000000003</v>
      </c>
      <c r="AA25" s="5">
        <f t="shared" si="7"/>
        <v>30.380812118661904</v>
      </c>
      <c r="AB25" s="27">
        <v>176143</v>
      </c>
      <c r="AC25" s="19">
        <v>56.316000000000003</v>
      </c>
      <c r="AD25" s="5">
        <f t="shared" si="8"/>
        <v>30.380812118661904</v>
      </c>
      <c r="AE25" s="27">
        <v>176143</v>
      </c>
      <c r="AF25" s="19">
        <v>54.5</v>
      </c>
      <c r="AG25" s="5">
        <f t="shared" si="9"/>
        <v>30.498041410184673</v>
      </c>
      <c r="AH25" s="27">
        <v>176143</v>
      </c>
      <c r="AI25" s="19">
        <v>54.5</v>
      </c>
      <c r="AJ25" s="5">
        <f t="shared" si="10"/>
        <v>30.498041410184673</v>
      </c>
      <c r="AK25" s="27">
        <v>176143</v>
      </c>
      <c r="AL25" s="19">
        <v>54.5</v>
      </c>
      <c r="AM25" s="5">
        <f t="shared" si="11"/>
        <v>30.498041410184673</v>
      </c>
    </row>
    <row r="26" spans="2:39" ht="15.75" x14ac:dyDescent="0.25">
      <c r="B26" s="13" t="s">
        <v>52</v>
      </c>
      <c r="C26" s="32" t="s">
        <v>23</v>
      </c>
      <c r="D26" s="37">
        <v>24077</v>
      </c>
      <c r="E26" s="6">
        <v>14.9</v>
      </c>
      <c r="F26" s="7">
        <f t="shared" ref="F26:F29" si="12">(E26/186.05)*100</f>
        <v>8.0085998387530228</v>
      </c>
      <c r="G26" s="37">
        <v>24077</v>
      </c>
      <c r="H26" s="6">
        <v>14.9</v>
      </c>
      <c r="I26" s="7">
        <f t="shared" ref="I26:I29" si="13">(H26/186.05)*100</f>
        <v>8.0085998387530228</v>
      </c>
      <c r="J26" s="37">
        <v>24077</v>
      </c>
      <c r="K26" s="6">
        <v>14.9</v>
      </c>
      <c r="L26" s="7">
        <f t="shared" ref="L26:L29" si="14">(K26/186.05)*100</f>
        <v>8.0085998387530228</v>
      </c>
      <c r="M26" s="27">
        <v>22844.6</v>
      </c>
      <c r="N26" s="19">
        <v>16.461400000000001</v>
      </c>
      <c r="O26" s="7">
        <f t="shared" si="3"/>
        <v>9.1052977833819639</v>
      </c>
      <c r="P26" s="27">
        <v>22844.6</v>
      </c>
      <c r="Q26" s="19">
        <v>16.461400000000001</v>
      </c>
      <c r="R26" s="7">
        <f t="shared" si="4"/>
        <v>9.1052977833819639</v>
      </c>
      <c r="S26" s="27">
        <v>22846</v>
      </c>
      <c r="T26" s="19">
        <v>16.43</v>
      </c>
      <c r="U26" s="5">
        <f t="shared" si="5"/>
        <v>8.8634978178424433</v>
      </c>
      <c r="V26" s="27">
        <v>22846</v>
      </c>
      <c r="W26" s="19">
        <v>16.425999999999998</v>
      </c>
      <c r="X26" s="5">
        <f t="shared" si="6"/>
        <v>8.8611487233709685</v>
      </c>
      <c r="Y26" s="27">
        <v>22846</v>
      </c>
      <c r="Z26" s="19">
        <v>16.425999999999998</v>
      </c>
      <c r="AA26" s="5">
        <f t="shared" si="7"/>
        <v>8.8613399364503938</v>
      </c>
      <c r="AB26" s="27">
        <v>22846</v>
      </c>
      <c r="AC26" s="19">
        <v>16.425999999999998</v>
      </c>
      <c r="AD26" s="5">
        <f t="shared" si="8"/>
        <v>8.8613399364503938</v>
      </c>
      <c r="AE26" s="27">
        <v>22846</v>
      </c>
      <c r="AF26" s="19">
        <v>16.37</v>
      </c>
      <c r="AG26" s="5">
        <f t="shared" si="9"/>
        <v>9.1606043648573063</v>
      </c>
      <c r="AH26" s="27">
        <v>22846</v>
      </c>
      <c r="AI26" s="19">
        <v>16.37</v>
      </c>
      <c r="AJ26" s="5">
        <f t="shared" si="10"/>
        <v>9.1606043648573063</v>
      </c>
      <c r="AK26" s="27">
        <v>22846</v>
      </c>
      <c r="AL26" s="19">
        <v>16.37</v>
      </c>
      <c r="AM26" s="5">
        <f t="shared" si="11"/>
        <v>9.1606043648573063</v>
      </c>
    </row>
    <row r="27" spans="2:39" ht="15.75" x14ac:dyDescent="0.25">
      <c r="B27" s="12" t="s">
        <v>53</v>
      </c>
      <c r="C27" s="32" t="s">
        <v>24</v>
      </c>
      <c r="D27" s="37">
        <v>19872</v>
      </c>
      <c r="E27" s="6">
        <v>6.3</v>
      </c>
      <c r="F27" s="7">
        <f t="shared" si="12"/>
        <v>3.3861865090029557</v>
      </c>
      <c r="G27" s="37">
        <v>19872</v>
      </c>
      <c r="H27" s="6">
        <v>6.3</v>
      </c>
      <c r="I27" s="7">
        <f t="shared" si="13"/>
        <v>3.3861865090029557</v>
      </c>
      <c r="J27" s="37">
        <v>19872</v>
      </c>
      <c r="K27" s="6">
        <v>6.3</v>
      </c>
      <c r="L27" s="7">
        <f t="shared" si="14"/>
        <v>3.3861865090029557</v>
      </c>
      <c r="M27" s="27">
        <v>20248.7</v>
      </c>
      <c r="N27" s="19">
        <v>7.0472361461003601</v>
      </c>
      <c r="O27" s="7">
        <f t="shared" si="3"/>
        <v>3.898039271268352</v>
      </c>
      <c r="P27" s="27">
        <v>20248.7</v>
      </c>
      <c r="Q27" s="19">
        <v>7.0472361461003601</v>
      </c>
      <c r="R27" s="7">
        <f t="shared" si="4"/>
        <v>3.898039271268352</v>
      </c>
      <c r="S27" s="27">
        <v>20248.7</v>
      </c>
      <c r="T27" s="19">
        <v>6.98</v>
      </c>
      <c r="U27" s="5">
        <f t="shared" si="5"/>
        <v>3.7655030291260041</v>
      </c>
      <c r="V27" s="27">
        <v>20248</v>
      </c>
      <c r="W27" s="19">
        <v>6.9809999999999999</v>
      </c>
      <c r="X27" s="5">
        <f t="shared" si="6"/>
        <v>3.7659612344973059</v>
      </c>
      <c r="Y27" s="27">
        <v>20248</v>
      </c>
      <c r="Z27" s="19">
        <v>6.9809999999999999</v>
      </c>
      <c r="AA27" s="5">
        <f t="shared" si="7"/>
        <v>3.7660424994740169</v>
      </c>
      <c r="AB27" s="27">
        <v>20248</v>
      </c>
      <c r="AC27" s="19">
        <v>6.9809999999999999</v>
      </c>
      <c r="AD27" s="5">
        <f t="shared" si="8"/>
        <v>3.7660424994740169</v>
      </c>
      <c r="AE27" s="27">
        <v>20248</v>
      </c>
      <c r="AF27" s="19">
        <v>7.14</v>
      </c>
      <c r="AG27" s="5">
        <f t="shared" si="9"/>
        <v>3.9955232232792395</v>
      </c>
      <c r="AH27" s="27">
        <v>20248</v>
      </c>
      <c r="AI27" s="19">
        <v>7.14</v>
      </c>
      <c r="AJ27" s="5">
        <f t="shared" si="10"/>
        <v>3.9955232232792395</v>
      </c>
      <c r="AK27" s="27">
        <v>20248</v>
      </c>
      <c r="AL27" s="19">
        <v>7.14</v>
      </c>
      <c r="AM27" s="5">
        <f t="shared" si="11"/>
        <v>3.9955232232792395</v>
      </c>
    </row>
    <row r="28" spans="2:39" ht="15.75" x14ac:dyDescent="0.25">
      <c r="B28" s="13" t="s">
        <v>54</v>
      </c>
      <c r="C28" s="32" t="s">
        <v>25</v>
      </c>
      <c r="D28" s="37">
        <v>27548</v>
      </c>
      <c r="E28" s="6">
        <v>4.63</v>
      </c>
      <c r="F28" s="7">
        <f t="shared" si="12"/>
        <v>2.4885783391561405</v>
      </c>
      <c r="G28" s="37">
        <v>27548</v>
      </c>
      <c r="H28" s="6">
        <v>4.63</v>
      </c>
      <c r="I28" s="7">
        <f t="shared" si="13"/>
        <v>2.4885783391561405</v>
      </c>
      <c r="J28" s="37">
        <v>27548</v>
      </c>
      <c r="K28" s="6">
        <v>4.63</v>
      </c>
      <c r="L28" s="7">
        <f t="shared" si="14"/>
        <v>2.4885783391561405</v>
      </c>
      <c r="M28" s="27">
        <v>28114.6</v>
      </c>
      <c r="N28" s="19">
        <v>4.1817577827427304</v>
      </c>
      <c r="O28" s="7">
        <f t="shared" si="3"/>
        <v>2.3130565972424977</v>
      </c>
      <c r="P28" s="27">
        <v>28114.6</v>
      </c>
      <c r="Q28" s="19">
        <v>4.1817577827427304</v>
      </c>
      <c r="R28" s="7">
        <f t="shared" si="4"/>
        <v>2.3130565972424977</v>
      </c>
      <c r="S28" s="27">
        <v>27775</v>
      </c>
      <c r="T28" s="19">
        <v>4.4800000000000004</v>
      </c>
      <c r="U28" s="5">
        <f t="shared" si="5"/>
        <v>2.4168271590952006</v>
      </c>
      <c r="V28" s="27">
        <v>27775</v>
      </c>
      <c r="W28" s="19">
        <v>4.4800000000000004</v>
      </c>
      <c r="X28" s="5">
        <f t="shared" si="6"/>
        <v>2.4167750079570163</v>
      </c>
      <c r="Y28" s="27">
        <v>27775</v>
      </c>
      <c r="Z28" s="19">
        <v>4.4800000000000004</v>
      </c>
      <c r="AA28" s="5">
        <f t="shared" si="7"/>
        <v>2.4168271590952011</v>
      </c>
      <c r="AB28" s="27">
        <v>27775</v>
      </c>
      <c r="AC28" s="19">
        <v>4.4800000000000004</v>
      </c>
      <c r="AD28" s="5">
        <f t="shared" si="8"/>
        <v>2.4168271590952011</v>
      </c>
      <c r="AE28" s="27">
        <v>27775</v>
      </c>
      <c r="AF28" s="19">
        <v>4.569</v>
      </c>
      <c r="AG28" s="5">
        <f t="shared" si="9"/>
        <v>2.5567991046446563</v>
      </c>
      <c r="AH28" s="27">
        <v>27775</v>
      </c>
      <c r="AI28" s="19">
        <v>4.569</v>
      </c>
      <c r="AJ28" s="5">
        <f t="shared" si="10"/>
        <v>2.5567991046446563</v>
      </c>
      <c r="AK28" s="27">
        <v>27775</v>
      </c>
      <c r="AL28" s="19">
        <v>4.569</v>
      </c>
      <c r="AM28" s="5">
        <f t="shared" si="11"/>
        <v>2.5567991046446563</v>
      </c>
    </row>
    <row r="29" spans="2:39" ht="16.5" thickBot="1" x14ac:dyDescent="0.3">
      <c r="B29" s="12" t="s">
        <v>55</v>
      </c>
      <c r="C29" s="34" t="s">
        <v>26</v>
      </c>
      <c r="D29" s="38">
        <v>19405</v>
      </c>
      <c r="E29" s="39">
        <v>2.39</v>
      </c>
      <c r="F29" s="40">
        <f t="shared" si="12"/>
        <v>1.2846009137328676</v>
      </c>
      <c r="G29" s="38">
        <v>19405</v>
      </c>
      <c r="H29" s="39">
        <v>2.39</v>
      </c>
      <c r="I29" s="40">
        <f t="shared" si="13"/>
        <v>1.2846009137328676</v>
      </c>
      <c r="J29" s="38">
        <v>19405</v>
      </c>
      <c r="K29" s="39">
        <v>2.39</v>
      </c>
      <c r="L29" s="40">
        <f t="shared" si="14"/>
        <v>1.2846009137328676</v>
      </c>
      <c r="M29" s="28">
        <v>17977</v>
      </c>
      <c r="N29" s="20">
        <v>2.2633707335900399</v>
      </c>
      <c r="O29" s="8">
        <f t="shared" si="3"/>
        <v>1.2519387490449776</v>
      </c>
      <c r="P29" s="28">
        <v>17977</v>
      </c>
      <c r="Q29" s="20">
        <v>2.2633707335900399</v>
      </c>
      <c r="R29" s="8">
        <f t="shared" si="4"/>
        <v>1.2519387490449776</v>
      </c>
      <c r="S29" s="28">
        <v>17861</v>
      </c>
      <c r="T29" s="20">
        <v>2.6</v>
      </c>
      <c r="U29" s="5">
        <f t="shared" si="5"/>
        <v>1.402622904832036</v>
      </c>
      <c r="V29" s="28">
        <v>17861</v>
      </c>
      <c r="W29" s="20">
        <v>2.6019999999999999</v>
      </c>
      <c r="X29" s="5">
        <f t="shared" si="6"/>
        <v>1.4036715559607491</v>
      </c>
      <c r="Y29" s="28">
        <v>17861</v>
      </c>
      <c r="Z29" s="20">
        <v>2.6019999999999999</v>
      </c>
      <c r="AA29" s="5">
        <f t="shared" si="7"/>
        <v>1.4037018455280608</v>
      </c>
      <c r="AB29" s="28">
        <v>17861</v>
      </c>
      <c r="AC29" s="20">
        <v>2.6019999999999999</v>
      </c>
      <c r="AD29" s="5">
        <f t="shared" si="8"/>
        <v>1.4037018455280608</v>
      </c>
      <c r="AE29" s="28">
        <v>17861</v>
      </c>
      <c r="AF29" s="20">
        <v>2.5339999999999998</v>
      </c>
      <c r="AG29" s="5">
        <f t="shared" si="9"/>
        <v>1.4180190263010635</v>
      </c>
      <c r="AH29" s="28">
        <v>17861</v>
      </c>
      <c r="AI29" s="20">
        <v>2.5339999999999998</v>
      </c>
      <c r="AJ29" s="5">
        <f t="shared" si="10"/>
        <v>1.4180190263010635</v>
      </c>
      <c r="AK29" s="28">
        <v>17861</v>
      </c>
      <c r="AL29" s="20">
        <v>2.5339999999999998</v>
      </c>
      <c r="AM29" s="5">
        <f t="shared" si="11"/>
        <v>1.4180190263010635</v>
      </c>
    </row>
    <row r="30" spans="2:39" ht="16.5" thickBot="1" x14ac:dyDescent="0.3">
      <c r="B30" s="53" t="s">
        <v>2</v>
      </c>
      <c r="C30" s="54"/>
      <c r="D30" s="15">
        <f>SUM(D5:D29)</f>
        <v>779452</v>
      </c>
      <c r="E30" s="9">
        <f t="shared" ref="E30:F30" si="15">SUM(E5:E29)</f>
        <v>186.05</v>
      </c>
      <c r="F30" s="21">
        <f t="shared" si="15"/>
        <v>100</v>
      </c>
      <c r="G30" s="15">
        <f>SUM(G5:G29)</f>
        <v>779452</v>
      </c>
      <c r="H30" s="9">
        <f t="shared" ref="H30:I30" si="16">SUM(H5:H29)</f>
        <v>186.05</v>
      </c>
      <c r="I30" s="21">
        <f t="shared" si="16"/>
        <v>100</v>
      </c>
      <c r="J30" s="15">
        <f>SUM(J5:J29)</f>
        <v>779452</v>
      </c>
      <c r="K30" s="9">
        <f t="shared" ref="K30:L30" si="17">SUM(K5:K29)</f>
        <v>186.05</v>
      </c>
      <c r="L30" s="21">
        <f t="shared" si="17"/>
        <v>100</v>
      </c>
      <c r="M30" s="25">
        <f>SUM(M5:M29)</f>
        <v>780965.09999999986</v>
      </c>
      <c r="N30" s="16">
        <f t="shared" ref="N30:O30" si="18">SUM(N5:N29)</f>
        <v>180.7892546913032</v>
      </c>
      <c r="O30" s="10">
        <f t="shared" si="18"/>
        <v>99.999999999999972</v>
      </c>
      <c r="P30" s="25">
        <f>SUM(P5:P29)</f>
        <v>780965.09999999986</v>
      </c>
      <c r="Q30" s="16">
        <f t="shared" ref="Q30:U30" si="19">SUM(Q5:Q29)</f>
        <v>180.7892546913032</v>
      </c>
      <c r="R30" s="10">
        <f t="shared" si="19"/>
        <v>99.999999999999972</v>
      </c>
      <c r="S30" s="25">
        <f t="shared" si="19"/>
        <v>778673.7</v>
      </c>
      <c r="T30" s="16">
        <f t="shared" si="19"/>
        <v>185.36699999999999</v>
      </c>
      <c r="U30" s="10">
        <f t="shared" si="19"/>
        <v>100.00000000000003</v>
      </c>
      <c r="V30" s="23">
        <f>SUM(V5:V29)</f>
        <v>778493</v>
      </c>
      <c r="W30" s="16">
        <f>SUM(W5:W29)</f>
        <v>185.37099999999998</v>
      </c>
      <c r="X30" s="10">
        <f t="shared" ref="X30" si="20">SUM(X5:X29)</f>
        <v>100.00000000000003</v>
      </c>
      <c r="Y30" s="23">
        <f>SUM(Y5:Y29)</f>
        <v>778493</v>
      </c>
      <c r="Z30" s="16">
        <f>SUM(Z5:Z29)</f>
        <v>185.36699999999996</v>
      </c>
      <c r="AA30" s="10">
        <f t="shared" ref="AA30" si="21">SUM(AA5:AA29)</f>
        <v>100.00000000000003</v>
      </c>
      <c r="AB30" s="23">
        <f>SUM(AB5:AB29)</f>
        <v>778493</v>
      </c>
      <c r="AC30" s="16">
        <f>SUM(AC5:AC29)</f>
        <v>185.36699999999996</v>
      </c>
      <c r="AD30" s="10">
        <f t="shared" ref="AD30" si="22">SUM(AD5:AD29)</f>
        <v>100.00000000000003</v>
      </c>
      <c r="AE30" s="23">
        <f>SUM(AE5:AE29)</f>
        <v>778493</v>
      </c>
      <c r="AF30" s="16">
        <f>SUM(AF5:AF29)</f>
        <v>178.69999999999996</v>
      </c>
      <c r="AG30" s="10">
        <f t="shared" ref="AG30" si="23">SUM(AG5:AG29)</f>
        <v>100.00000000000003</v>
      </c>
      <c r="AH30" s="23">
        <f>SUM(AH5:AH29)</f>
        <v>778493</v>
      </c>
      <c r="AI30" s="16">
        <f>SUM(AI5:AI29)</f>
        <v>178.69999999999996</v>
      </c>
      <c r="AJ30" s="10">
        <f t="shared" ref="AJ30" si="24">SUM(AJ5:AJ29)</f>
        <v>100.00000000000003</v>
      </c>
      <c r="AK30" s="23">
        <f>SUM(AK5:AK29)</f>
        <v>778493</v>
      </c>
      <c r="AL30" s="16">
        <f>SUM(AL5:AL29)</f>
        <v>178.69999999999996</v>
      </c>
      <c r="AM30" s="10">
        <f t="shared" ref="AM30" si="25">SUM(AM5:AM29)</f>
        <v>100.00000000000003</v>
      </c>
    </row>
    <row r="31" spans="2:39" ht="134.25" customHeight="1" x14ac:dyDescent="0.25">
      <c r="B31" s="49" t="s">
        <v>61</v>
      </c>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row>
    <row r="32" spans="2:39" ht="18.75" customHeight="1" x14ac:dyDescent="0.25">
      <c r="B32" s="55" t="s">
        <v>59</v>
      </c>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row>
    <row r="33" spans="2:39" ht="18.75" customHeight="1" x14ac:dyDescent="0.25">
      <c r="B33" s="55" t="s">
        <v>60</v>
      </c>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row>
    <row r="34" spans="2:39" ht="21" customHeight="1" x14ac:dyDescent="0.25">
      <c r="B34" s="41" t="s">
        <v>30</v>
      </c>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row>
    <row r="35" spans="2:39" ht="15" customHeight="1" x14ac:dyDescent="0.25"/>
    <row r="36" spans="2:39" ht="15" customHeight="1" x14ac:dyDescent="0.25"/>
    <row r="66" spans="51:51" ht="15.75" x14ac:dyDescent="0.25">
      <c r="AY66" s="14"/>
    </row>
  </sheetData>
  <mergeCells count="20">
    <mergeCell ref="B2:AM2"/>
    <mergeCell ref="B30:C30"/>
    <mergeCell ref="B32:AM32"/>
    <mergeCell ref="AE3:AG3"/>
    <mergeCell ref="B33:AM33"/>
    <mergeCell ref="AH3:AJ3"/>
    <mergeCell ref="B34:AM34"/>
    <mergeCell ref="B3:B4"/>
    <mergeCell ref="D3:F3"/>
    <mergeCell ref="AK3:AM3"/>
    <mergeCell ref="C3:C4"/>
    <mergeCell ref="B31:AM31"/>
    <mergeCell ref="P3:R3"/>
    <mergeCell ref="G3:I3"/>
    <mergeCell ref="J3:L3"/>
    <mergeCell ref="M3:O3"/>
    <mergeCell ref="S3:U3"/>
    <mergeCell ref="V3:X3"/>
    <mergeCell ref="AB3:AD3"/>
    <mergeCell ref="Y3:AA3"/>
  </mergeCells>
  <printOptions horizontalCentered="1"/>
  <pageMargins left="0.11811023622047245" right="0.11811023622047245" top="0.74803149606299213" bottom="0.74803149606299213" header="0.31496062992125984" footer="0.31496062992125984"/>
  <pageSetup paperSize="8" scale="39" orientation="landscape" r:id="rId1"/>
  <rowBreaks count="2" manualBreakCount="2">
    <brk id="34" max="16383" man="1"/>
    <brk id="8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1.2.Tablo</vt:lpstr>
    </vt:vector>
  </TitlesOfParts>
  <Company>Dsi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Semra Sezer</dc:creator>
  <cp:lastModifiedBy>Taylan Sarıaltın</cp:lastModifiedBy>
  <cp:lastPrinted>2023-11-21T05:59:59Z</cp:lastPrinted>
  <dcterms:created xsi:type="dcterms:W3CDTF">2014-09-24T06:34:30Z</dcterms:created>
  <dcterms:modified xsi:type="dcterms:W3CDTF">2025-09-17T11:44:10Z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