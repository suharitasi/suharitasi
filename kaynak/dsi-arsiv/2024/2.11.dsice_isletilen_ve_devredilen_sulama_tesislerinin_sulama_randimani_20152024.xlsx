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7A0A31C-65AC-4205-BBE7-656D8736BF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11.Tab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5" i="1"/>
</calcChain>
</file>

<file path=xl/sharedStrings.xml><?xml version="1.0" encoding="utf-8"?>
<sst xmlns="http://schemas.openxmlformats.org/spreadsheetml/2006/main" count="67" uniqueCount="67">
  <si>
    <t>01</t>
  </si>
  <si>
    <t>02</t>
  </si>
  <si>
    <t>03</t>
  </si>
  <si>
    <t>04</t>
  </si>
  <si>
    <t>05</t>
  </si>
  <si>
    <t>06</t>
  </si>
  <si>
    <t>07</t>
  </si>
  <si>
    <t>08</t>
  </si>
  <si>
    <t>09</t>
  </si>
  <si>
    <t>Sulama Randıman Değişimi</t>
  </si>
  <si>
    <t>Bölge No</t>
  </si>
  <si>
    <t>BölgeAdı</t>
  </si>
  <si>
    <t>DSİ 01. (Bursa) Bölge Müdürlüğü</t>
  </si>
  <si>
    <t>DSİ 02. (İzmir) Bölge Müdürlüğü</t>
  </si>
  <si>
    <t>DSİ 03. (Eskişehir) Bölge Müdürlüğü</t>
  </si>
  <si>
    <t>DSİ 04. (Konya) Bölge Müdürlüğü</t>
  </si>
  <si>
    <t>DSİ 05. (Ankara) Bölge Müdürlüğü</t>
  </si>
  <si>
    <t>DSİ 06. (Adana) Bölge Müdürlüğü</t>
  </si>
  <si>
    <t>DSİ 07. (Samsun) Bölge Müdürlüğü</t>
  </si>
  <si>
    <t>DSİ 08. (Erzurum) Bölge Müdürlüğü</t>
  </si>
  <si>
    <t>DSİ 09. (Elazığ) Bölge Müdürlüğü</t>
  </si>
  <si>
    <t>DSİ 10. (Diyarbakır) Bölge Müdürlüğü</t>
  </si>
  <si>
    <t>DSİ 11. (Edirne) Bölge Müdürlüğü</t>
  </si>
  <si>
    <t>DSİ 12. (Kayseri) Bölge Müdürlüğü</t>
  </si>
  <si>
    <t>DSİ 13. (Antalya) Bölge Müdürlüğü</t>
  </si>
  <si>
    <t>DSİ 14. (İstanbul) Bölge Müdürlüğü</t>
  </si>
  <si>
    <t>DSİ 15. (Şanlıurfa) Bölge Müdürlüğü</t>
  </si>
  <si>
    <t>DSİ 16. (Mardin) Ilısu Bölge Müdürlüğü</t>
  </si>
  <si>
    <t>DSİ 17. (Van) Bölge Müdürlüğü</t>
  </si>
  <si>
    <t>DSİ 18. (Isparta) Bölge Müdürlüğü</t>
  </si>
  <si>
    <t>DSİ 19. (Sivas) Bölge Müdürlüğü</t>
  </si>
  <si>
    <t>DSİ 20. (Kahramanmaraş) Bölge Müdürlüğü</t>
  </si>
  <si>
    <t>DSİ 21. (Aydın) Bölge Müdürlüğü</t>
  </si>
  <si>
    <t>DSİ 22. (Trabzon) Bölge Müdürlüğü</t>
  </si>
  <si>
    <t>DSİ 23. (Kastamonu) Bölge Müdürlüğü</t>
  </si>
  <si>
    <t>DSİ 24. (Kars) Bölge Müdürlüğü</t>
  </si>
  <si>
    <t>DSİ 25. (Balıkesir) Bölge Müdürlüğü</t>
  </si>
  <si>
    <t>DSİ 26. (Artvin) Çoruh Bölge Müdürlüğü</t>
  </si>
  <si>
    <t xml:space="preserve">DSİ 01. (Bursa) Bölge </t>
  </si>
  <si>
    <t xml:space="preserve">DSİ 02. (İzmir) Bölge </t>
  </si>
  <si>
    <t xml:space="preserve">DSİ 03. (Eskişehir) Bölge </t>
  </si>
  <si>
    <t xml:space="preserve">DSİ 04. (Konya) Bölge </t>
  </si>
  <si>
    <t xml:space="preserve">DSİ 05. (Ankara) Bölge </t>
  </si>
  <si>
    <t xml:space="preserve">DSİ 06. (Adana) Bölge </t>
  </si>
  <si>
    <t xml:space="preserve">DSİ 07. (Samsun) Bölge </t>
  </si>
  <si>
    <t xml:space="preserve">DSİ 08. (Erzurum) Bölge </t>
  </si>
  <si>
    <t xml:space="preserve">DSİ 09. (Elazığ) Bölge </t>
  </si>
  <si>
    <t xml:space="preserve">DSİ 10. (Diyarbakır) Bölge </t>
  </si>
  <si>
    <t xml:space="preserve">DSİ 11. (Edirne) Bölge </t>
  </si>
  <si>
    <t xml:space="preserve">DSİ 12. (Kayseri) Bölge </t>
  </si>
  <si>
    <t xml:space="preserve">DSİ 13. (Antalya) Bölge </t>
  </si>
  <si>
    <t xml:space="preserve">DSİ 14. (İstanbul) Bölge </t>
  </si>
  <si>
    <t xml:space="preserve">DSİ 15. (Şanlıurfa) Bölge </t>
  </si>
  <si>
    <t xml:space="preserve">DSİ 16. (Mardin) Ilısu Bölge </t>
  </si>
  <si>
    <t xml:space="preserve">DSİ 17. (Van) Bölge </t>
  </si>
  <si>
    <t xml:space="preserve">DSİ 18. (Isparta) Bölge </t>
  </si>
  <si>
    <t xml:space="preserve">DSİ 19. (Sivas) Bölge </t>
  </si>
  <si>
    <t xml:space="preserve">DSİ 20. (Kahramanmaraş) Bölge </t>
  </si>
  <si>
    <t xml:space="preserve">DSİ 21. (Aydın) Bölge </t>
  </si>
  <si>
    <t xml:space="preserve">DSİ 22. (Trabzon) Bölge </t>
  </si>
  <si>
    <t xml:space="preserve">DSİ 23. (Kastamonu) Bölge </t>
  </si>
  <si>
    <t xml:space="preserve">DSİ 24. (Kars) Bölge </t>
  </si>
  <si>
    <t xml:space="preserve">DSİ 25. (Balıkesir) Bölge </t>
  </si>
  <si>
    <t xml:space="preserve">DSİ 26. (Artvin) Çoruh Bölge </t>
  </si>
  <si>
    <r>
      <rPr>
        <b/>
        <sz val="11"/>
        <color theme="1"/>
        <rFont val="Calibri"/>
        <family val="2"/>
        <charset val="162"/>
        <scheme val="minor"/>
      </rPr>
      <t>NOT</t>
    </r>
    <r>
      <rPr>
        <sz val="11"/>
        <color theme="1"/>
        <rFont val="Calibri"/>
        <family val="2"/>
        <scheme val="minor"/>
      </rPr>
      <t>: Bölge Müdürlüklerinin kapsadığı iller Metaveriler kısmında verilmiştir.</t>
    </r>
  </si>
  <si>
    <t xml:space="preserve">                    Sulama Randımanı (%)                                                                                                                         </t>
  </si>
  <si>
    <t>2.11.DSİ'ce İşletilen ve Devredilen Sulama Tesislerinin Sulama Randımanı, 2015-2024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</si>
</sst>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10"/>
      <name val="Arial"/>
      <family val="2"/>
      <charset val="162"/>
    </font>
    <font>
      <sz val="12"/>
      <color theme="0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Alignment="0"/>
  </cellStyleXfs>
  <cellXfs count="6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64" fontId="2" fillId="2" borderId="0" xfId="0" applyNumberFormat="1" applyFont="1" applyFill="1" applyBorder="1" applyAlignment="1">
      <alignment vertical="center"/>
    </xf>
    <xf numFmtId="165" fontId="6" fillId="2" borderId="1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165" fontId="3" fillId="2" borderId="7" xfId="0" applyNumberFormat="1" applyFont="1" applyFill="1" applyBorder="1" applyAlignment="1">
      <alignment horizontal="center" vertical="center" wrapText="1"/>
    </xf>
    <xf numFmtId="3" fontId="3" fillId="2" borderId="7" xfId="0" applyNumberFormat="1" applyFont="1" applyFill="1" applyBorder="1" applyAlignment="1">
      <alignment horizontal="center" vertical="center" wrapText="1"/>
    </xf>
    <xf numFmtId="165" fontId="4" fillId="2" borderId="7" xfId="0" applyNumberFormat="1" applyFont="1" applyFill="1" applyBorder="1" applyAlignment="1">
      <alignment horizontal="center"/>
    </xf>
    <xf numFmtId="3" fontId="4" fillId="2" borderId="7" xfId="0" applyNumberFormat="1" applyFont="1" applyFill="1" applyBorder="1" applyAlignment="1">
      <alignment horizontal="center"/>
    </xf>
    <xf numFmtId="0" fontId="5" fillId="3" borderId="9" xfId="0" quotePrefix="1" applyFont="1" applyFill="1" applyBorder="1" applyAlignment="1">
      <alignment horizontal="center" vertical="center"/>
    </xf>
    <xf numFmtId="0" fontId="5" fillId="3" borderId="10" xfId="0" quotePrefix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vertical="center"/>
    </xf>
    <xf numFmtId="0" fontId="4" fillId="3" borderId="13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165" fontId="3" fillId="2" borderId="16" xfId="0" applyNumberFormat="1" applyFont="1" applyFill="1" applyBorder="1" applyAlignment="1">
      <alignment horizontal="center" vertical="center" wrapText="1"/>
    </xf>
    <xf numFmtId="165" fontId="4" fillId="2" borderId="16" xfId="0" applyNumberFormat="1" applyFont="1" applyFill="1" applyBorder="1" applyAlignment="1">
      <alignment horizontal="center"/>
    </xf>
    <xf numFmtId="165" fontId="6" fillId="2" borderId="17" xfId="0" applyNumberFormat="1" applyFont="1" applyFill="1" applyBorder="1" applyAlignment="1">
      <alignment horizontal="center"/>
    </xf>
    <xf numFmtId="3" fontId="3" fillId="2" borderId="0" xfId="0" applyNumberFormat="1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Border="1" applyAlignment="1">
      <alignment wrapText="1"/>
    </xf>
    <xf numFmtId="0" fontId="10" fillId="0" borderId="0" xfId="0" applyFont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3" fontId="3" fillId="2" borderId="7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3" fontId="3" fillId="2" borderId="19" xfId="0" applyNumberFormat="1" applyFont="1" applyFill="1" applyBorder="1" applyAlignment="1">
      <alignment horizontal="center" vertical="center" wrapText="1"/>
    </xf>
    <xf numFmtId="3" fontId="3" fillId="2" borderId="19" xfId="0" applyNumberFormat="1" applyFont="1" applyFill="1" applyBorder="1" applyAlignment="1">
      <alignment horizontal="center"/>
    </xf>
    <xf numFmtId="3" fontId="3" fillId="2" borderId="20" xfId="0" applyNumberFormat="1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2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/>
    </xf>
    <xf numFmtId="3" fontId="3" fillId="2" borderId="25" xfId="0" applyNumberFormat="1" applyFont="1" applyFill="1" applyBorder="1" applyAlignment="1">
      <alignment horizontal="center"/>
    </xf>
    <xf numFmtId="0" fontId="10" fillId="0" borderId="0" xfId="0" applyFont="1" applyBorder="1"/>
    <xf numFmtId="0" fontId="11" fillId="2" borderId="0" xfId="0" applyFont="1" applyFill="1"/>
    <xf numFmtId="0" fontId="11" fillId="0" borderId="0" xfId="0" applyFont="1"/>
    <xf numFmtId="1" fontId="11" fillId="0" borderId="0" xfId="0" applyNumberFormat="1" applyFont="1"/>
    <xf numFmtId="164" fontId="2" fillId="2" borderId="2" xfId="0" applyNumberFormat="1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2.11.DSİ'ce İşletilen ve Devredilen Sulama Tesislerinin Sulama Randımanı Değişimi, (%), 2023-2024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407272135940804E-2"/>
          <c:y val="0.13546750885252176"/>
          <c:w val="0.90255936544700233"/>
          <c:h val="0.844482725619676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'2.11.Tablo'!$O$4</c:f>
              <c:strCache>
                <c:ptCount val="1"/>
                <c:pt idx="0">
                  <c:v>Sulama Randıman Değişimi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0.103241853887848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8F-4751-9BDD-20CC96987333}"/>
                </c:ext>
              </c:extLst>
            </c:dLbl>
            <c:dLbl>
              <c:idx val="1"/>
              <c:layout>
                <c:manualLayout>
                  <c:x val="0"/>
                  <c:y val="0.112626838725029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88-45A4-9D2E-07A92CFE7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8F-4751-9BDD-20CC96987333}"/>
                </c:ext>
              </c:extLst>
            </c:dLbl>
            <c:dLbl>
              <c:idx val="3"/>
              <c:layout>
                <c:manualLayout>
                  <c:x val="7.0172914469545972E-4"/>
                  <c:y val="9.2377353359265505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8F-4751-9BDD-20CC96987333}"/>
                </c:ext>
              </c:extLst>
            </c:dLbl>
            <c:dLbl>
              <c:idx val="4"/>
              <c:layout>
                <c:manualLayout>
                  <c:x val="-7.3499899541657377E-4"/>
                  <c:y val="7.03952383538946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BC-488C-951C-D8ECA793D375}"/>
                </c:ext>
              </c:extLst>
            </c:dLbl>
            <c:dLbl>
              <c:idx val="5"/>
              <c:layout>
                <c:manualLayout>
                  <c:x val="-6.9705787080325617E-4"/>
                  <c:y val="2.34675428473869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8F-4751-9BDD-20CC96987333}"/>
                </c:ext>
              </c:extLst>
            </c:dLbl>
            <c:dLbl>
              <c:idx val="6"/>
              <c:layout>
                <c:manualLayout>
                  <c:x val="-4.8338475866900379E-17"/>
                  <c:y val="0.114973223500355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16-4BF0-B939-6AC8A3B2AB1C}"/>
                </c:ext>
              </c:extLst>
            </c:dLbl>
            <c:dLbl>
              <c:idx val="7"/>
              <c:layout>
                <c:manualLayout>
                  <c:x val="2.5951521575014324E-8"/>
                  <c:y val="5.86598041378404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5020923260621197E-2"/>
                      <c:h val="3.56768728861752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A8F-4751-9BDD-20CC96987333}"/>
                </c:ext>
              </c:extLst>
            </c:dLbl>
            <c:dLbl>
              <c:idx val="8"/>
              <c:layout>
                <c:manualLayout>
                  <c:x val="0"/>
                  <c:y val="8.21236518910937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71-4CC2-B62C-2060AAAF74CF}"/>
                </c:ext>
              </c:extLst>
            </c:dLbl>
            <c:dLbl>
              <c:idx val="10"/>
              <c:layout>
                <c:manualLayout>
                  <c:x val="-4.8338475866900379E-17"/>
                  <c:y val="4.6928249770627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8F-4751-9BDD-20CC96987333}"/>
                </c:ext>
              </c:extLst>
            </c:dLbl>
            <c:dLbl>
              <c:idx val="11"/>
              <c:layout>
                <c:manualLayout>
                  <c:x val="0"/>
                  <c:y val="9.85487148277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8F-4751-9BDD-20CC96987333}"/>
                </c:ext>
              </c:extLst>
            </c:dLbl>
            <c:dLbl>
              <c:idx val="12"/>
              <c:layout>
                <c:manualLayout>
                  <c:x val="-3.7889221570191762E-5"/>
                  <c:y val="5.63137888719284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16-4BF0-B939-6AC8A3B2AB1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88-45A4-9D2E-07A92CFE78F0}"/>
                </c:ext>
              </c:extLst>
            </c:dLbl>
            <c:dLbl>
              <c:idx val="14"/>
              <c:layout>
                <c:manualLayout>
                  <c:x val="3.7889221570095085E-5"/>
                  <c:y val="9.38590861071481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71-4CC2-B62C-2060AAAF74C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88-45A4-9D2E-07A92CFE78F0}"/>
                </c:ext>
              </c:extLst>
            </c:dLbl>
            <c:dLbl>
              <c:idx val="16"/>
              <c:layout>
                <c:manualLayout>
                  <c:x val="0"/>
                  <c:y val="0.161900734252155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D1-41E1-B406-FFF5BE21168D}"/>
                </c:ext>
              </c:extLst>
            </c:dLbl>
            <c:dLbl>
              <c:idx val="18"/>
              <c:layout>
                <c:manualLayout>
                  <c:x val="-9.6676951733800758E-17"/>
                  <c:y val="4.9274449791245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D1-41E1-B406-FFF5BE21168D}"/>
                </c:ext>
              </c:extLst>
            </c:dLbl>
            <c:dLbl>
              <c:idx val="19"/>
              <c:layout>
                <c:manualLayout>
                  <c:x val="0"/>
                  <c:y val="8.6816975705864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71-4CC2-B62C-2060AAAF74CF}"/>
                </c:ext>
              </c:extLst>
            </c:dLbl>
            <c:dLbl>
              <c:idx val="20"/>
              <c:layout>
                <c:manualLayout>
                  <c:x val="-8.044971703239368E-5"/>
                  <c:y val="9.1509560501808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16-4BF0-B939-6AC8A3B2AB1C}"/>
                </c:ext>
              </c:extLst>
            </c:dLbl>
            <c:dLbl>
              <c:idx val="21"/>
              <c:layout>
                <c:manualLayout>
                  <c:x val="0"/>
                  <c:y val="4.92746345459523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8F-4751-9BDD-20CC96987333}"/>
                </c:ext>
              </c:extLst>
            </c:dLbl>
            <c:dLbl>
              <c:idx val="22"/>
              <c:layout>
                <c:manualLayout>
                  <c:x val="0"/>
                  <c:y val="-2.34583051120518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A8F-4751-9BDD-20CC96987333}"/>
                </c:ext>
              </c:extLst>
            </c:dLbl>
            <c:dLbl>
              <c:idx val="23"/>
              <c:layout>
                <c:manualLayout>
                  <c:x val="-1.9335390346760152E-16"/>
                  <c:y val="4.693508569477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8F-4751-9BDD-20CC96987333}"/>
                </c:ext>
              </c:extLst>
            </c:dLbl>
            <c:dLbl>
              <c:idx val="24"/>
              <c:layout>
                <c:manualLayout>
                  <c:x val="0"/>
                  <c:y val="0.248717155693900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16-4BF0-B939-6AC8A3B2AB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'2.11.Tablo'!$Q$5:$Q$30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'2.11.Tablo'!$O$5:$O$30</c:f>
              <c:numCache>
                <c:formatCode>0</c:formatCode>
                <c:ptCount val="26"/>
                <c:pt idx="0">
                  <c:v>-9.5890410958904102</c:v>
                </c:pt>
                <c:pt idx="1">
                  <c:v>-10.75268817204301</c:v>
                </c:pt>
                <c:pt idx="2">
                  <c:v>0</c:v>
                </c:pt>
                <c:pt idx="3">
                  <c:v>47.272727272727273</c:v>
                </c:pt>
                <c:pt idx="4">
                  <c:v>12.5</c:v>
                </c:pt>
                <c:pt idx="5">
                  <c:v>13.333333333333334</c:v>
                </c:pt>
                <c:pt idx="6">
                  <c:v>-10.638297872340425</c:v>
                </c:pt>
                <c:pt idx="7">
                  <c:v>-3.125</c:v>
                </c:pt>
                <c:pt idx="8">
                  <c:v>-6.557377049180328</c:v>
                </c:pt>
                <c:pt idx="9">
                  <c:v>38.095238095238095</c:v>
                </c:pt>
                <c:pt idx="10">
                  <c:v>-2</c:v>
                </c:pt>
                <c:pt idx="11">
                  <c:v>-8.9552238805970141</c:v>
                </c:pt>
                <c:pt idx="12">
                  <c:v>-2.2222222222222223</c:v>
                </c:pt>
                <c:pt idx="13">
                  <c:v>0</c:v>
                </c:pt>
                <c:pt idx="14">
                  <c:v>16.666666666666668</c:v>
                </c:pt>
                <c:pt idx="15">
                  <c:v>0</c:v>
                </c:pt>
                <c:pt idx="16">
                  <c:v>-18.181818181818183</c:v>
                </c:pt>
                <c:pt idx="17">
                  <c:v>6.8181818181818183</c:v>
                </c:pt>
                <c:pt idx="18">
                  <c:v>-1.8518518518518519</c:v>
                </c:pt>
                <c:pt idx="19">
                  <c:v>-7.0175438596491224</c:v>
                </c:pt>
                <c:pt idx="20">
                  <c:v>-7.2289156626506026</c:v>
                </c:pt>
                <c:pt idx="21">
                  <c:v>-1.2658227848101267</c:v>
                </c:pt>
                <c:pt idx="22">
                  <c:v>4.7619047619047619</c:v>
                </c:pt>
                <c:pt idx="23">
                  <c:v>57.89473684210526</c:v>
                </c:pt>
                <c:pt idx="24">
                  <c:v>-30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'2.11.Tablo'!$E$3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'2.11.Tablo'!$Q$5:$Q$30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'2.11.Tablo'!$E$27:$E$29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33</c:v>
                      </c:pt>
                      <c:pt idx="1">
                        <c:v>32</c:v>
                      </c:pt>
                      <c:pt idx="2">
                        <c:v>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'2.11.Tablo'!$Q$5:$Q$30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'2.11.Tablo'!$G$27:$G$29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40</c:v>
                      </c:pt>
                      <c:pt idx="1">
                        <c:v>32</c:v>
                      </c:pt>
                      <c:pt idx="2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 anchor="ctr" anchorCtr="1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2.11.DSİ'ce İşletilen ve Devredilen Sulama Tesislerinin Sulama Randımanı, (%), 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5029067560357161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'2.11.Tablo'!$O$4</c:f>
              <c:strCache>
                <c:ptCount val="1"/>
                <c:pt idx="0">
                  <c:v>Sulama Randıman Değişimi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'2.11.Tablo'!$Q$5:$Q$30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'2.11.Tablo'!$M$5:$M$30</c:f>
              <c:numCache>
                <c:formatCode>General</c:formatCode>
                <c:ptCount val="26"/>
                <c:pt idx="0">
                  <c:v>66</c:v>
                </c:pt>
                <c:pt idx="1">
                  <c:v>83</c:v>
                </c:pt>
                <c:pt idx="2">
                  <c:v>62</c:v>
                </c:pt>
                <c:pt idx="3">
                  <c:v>81</c:v>
                </c:pt>
                <c:pt idx="4">
                  <c:v>45</c:v>
                </c:pt>
                <c:pt idx="5">
                  <c:v>51</c:v>
                </c:pt>
                <c:pt idx="6">
                  <c:v>42</c:v>
                </c:pt>
                <c:pt idx="7">
                  <c:v>31</c:v>
                </c:pt>
                <c:pt idx="8">
                  <c:v>57</c:v>
                </c:pt>
                <c:pt idx="9">
                  <c:v>58</c:v>
                </c:pt>
                <c:pt idx="10">
                  <c:v>49</c:v>
                </c:pt>
                <c:pt idx="11">
                  <c:v>61</c:v>
                </c:pt>
                <c:pt idx="12">
                  <c:v>44</c:v>
                </c:pt>
                <c:pt idx="14">
                  <c:v>42</c:v>
                </c:pt>
                <c:pt idx="16">
                  <c:v>27</c:v>
                </c:pt>
                <c:pt idx="17">
                  <c:v>94</c:v>
                </c:pt>
                <c:pt idx="18">
                  <c:v>53</c:v>
                </c:pt>
                <c:pt idx="19">
                  <c:v>53</c:v>
                </c:pt>
                <c:pt idx="20">
                  <c:v>77</c:v>
                </c:pt>
                <c:pt idx="21">
                  <c:v>78</c:v>
                </c:pt>
                <c:pt idx="22">
                  <c:v>44</c:v>
                </c:pt>
                <c:pt idx="23" formatCode="#,##0">
                  <c:v>30</c:v>
                </c:pt>
                <c:pt idx="24" formatCode="#,##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'2.11.Tablo'!$E$3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'2.11.Tablo'!$Q$5:$Q$30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'2.11.Tablo'!$E$27:$E$29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33</c:v>
                      </c:pt>
                      <c:pt idx="1">
                        <c:v>32</c:v>
                      </c:pt>
                      <c:pt idx="2">
                        <c:v>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391-466C-87C2-DDD06FFEC3B8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'2.11.Tablo'!$Q$5:$Q$30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'2.11.Tablo'!$G$27:$G$29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40</c:v>
                      </c:pt>
                      <c:pt idx="1">
                        <c:v>32</c:v>
                      </c:pt>
                      <c:pt idx="2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91-466C-87C2-DDD06FFEC3B8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609600</xdr:colOff>
      <xdr:row>1</xdr:row>
      <xdr:rowOff>9525</xdr:rowOff>
    </xdr:from>
    <xdr:to>
      <xdr:col>12</xdr:col>
      <xdr:colOff>990600</xdr:colOff>
      <xdr:row>1</xdr:row>
      <xdr:rowOff>295576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6775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57151</xdr:colOff>
      <xdr:row>62</xdr:row>
      <xdr:rowOff>147638</xdr:rowOff>
    </xdr:from>
    <xdr:to>
      <xdr:col>21</xdr:col>
      <xdr:colOff>369094</xdr:colOff>
      <xdr:row>91</xdr:row>
      <xdr:rowOff>35720</xdr:rowOff>
    </xdr:to>
    <xdr:graphicFrame macro="">
      <xdr:nvGraphicFramePr>
        <xdr:cNvPr id="15" name="Grafik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71436</xdr:colOff>
      <xdr:row>32</xdr:row>
      <xdr:rowOff>35720</xdr:rowOff>
    </xdr:from>
    <xdr:to>
      <xdr:col>21</xdr:col>
      <xdr:colOff>383379</xdr:colOff>
      <xdr:row>62</xdr:row>
      <xdr:rowOff>23813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91ED7BBA-FE6D-4EFD-9CF6-04DFA2D5491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C837B068-218E-49A7-BA91-F3785B551AE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38"/>
  <sheetViews>
    <sheetView tabSelected="1" zoomScale="80" zoomScaleNormal="80" workbookViewId="0">
      <selection activeCell="X78" sqref="X78"/>
    </sheetView>
  </sheetViews>
  <sheetFormatPr defaultRowHeight="15" x14ac:dyDescent="0.25"/>
  <cols>
    <col min="1" max="1" width="2.5703125" customWidth="1"/>
    <col min="3" max="3" width="43.85546875" bestFit="1" customWidth="1"/>
    <col min="4" max="12" width="15.7109375" customWidth="1"/>
    <col min="13" max="13" width="15.7109375" style="38" customWidth="1"/>
    <col min="14" max="14" width="9.140625" style="38"/>
    <col min="15" max="15" width="10.28515625" style="59" customWidth="1"/>
    <col min="16" max="16" width="9.140625" style="38"/>
  </cols>
  <sheetData>
    <row r="1" spans="2:17" s="1" customFormat="1" ht="15" customHeight="1" thickBot="1" x14ac:dyDescent="0.3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0"/>
      <c r="O1" s="58"/>
      <c r="P1" s="50"/>
    </row>
    <row r="2" spans="2:17" s="1" customFormat="1" ht="24.75" customHeight="1" thickBot="1" x14ac:dyDescent="0.3">
      <c r="B2" s="61" t="s">
        <v>66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3"/>
      <c r="N2" s="50"/>
      <c r="O2" s="58"/>
      <c r="P2" s="50"/>
    </row>
    <row r="3" spans="2:17" ht="48.75" customHeight="1" thickBot="1" x14ac:dyDescent="0.3">
      <c r="B3" s="64" t="s">
        <v>10</v>
      </c>
      <c r="C3" s="64" t="s">
        <v>11</v>
      </c>
      <c r="D3" s="66" t="s">
        <v>65</v>
      </c>
      <c r="E3" s="67"/>
      <c r="F3" s="67"/>
      <c r="G3" s="67"/>
      <c r="H3" s="67"/>
      <c r="I3" s="67"/>
      <c r="J3" s="67"/>
      <c r="K3" s="67"/>
      <c r="L3" s="67"/>
      <c r="M3" s="68"/>
    </row>
    <row r="4" spans="2:17" ht="22.5" customHeight="1" thickBot="1" x14ac:dyDescent="0.3">
      <c r="B4" s="65"/>
      <c r="C4" s="65"/>
      <c r="D4" s="7">
        <v>2015</v>
      </c>
      <c r="E4" s="7">
        <v>2016</v>
      </c>
      <c r="F4" s="7">
        <v>2017</v>
      </c>
      <c r="G4" s="7">
        <v>2018</v>
      </c>
      <c r="H4" s="7">
        <v>2019</v>
      </c>
      <c r="I4" s="24">
        <v>2020</v>
      </c>
      <c r="J4" s="25">
        <v>2021</v>
      </c>
      <c r="K4" s="41">
        <v>2022</v>
      </c>
      <c r="L4" s="49">
        <v>2023</v>
      </c>
      <c r="M4" s="51">
        <v>2024</v>
      </c>
      <c r="O4" s="59" t="s">
        <v>9</v>
      </c>
    </row>
    <row r="5" spans="2:17" ht="22.5" customHeight="1" x14ac:dyDescent="0.25">
      <c r="B5" s="12" t="s">
        <v>0</v>
      </c>
      <c r="C5" s="26" t="s">
        <v>12</v>
      </c>
      <c r="D5" s="31">
        <v>66</v>
      </c>
      <c r="E5" s="16">
        <v>57</v>
      </c>
      <c r="F5" s="16">
        <v>63</v>
      </c>
      <c r="G5" s="16">
        <v>74</v>
      </c>
      <c r="H5" s="16">
        <v>68</v>
      </c>
      <c r="I5" s="16">
        <v>66</v>
      </c>
      <c r="J5" s="32">
        <v>72</v>
      </c>
      <c r="K5" s="16">
        <v>67</v>
      </c>
      <c r="L5" s="44">
        <v>73</v>
      </c>
      <c r="M5" s="52">
        <v>66</v>
      </c>
      <c r="O5" s="60">
        <f>+(M5-L5)*100/L5</f>
        <v>-9.5890410958904102</v>
      </c>
      <c r="Q5" s="18" t="s">
        <v>38</v>
      </c>
    </row>
    <row r="6" spans="2:17" ht="22.5" customHeight="1" x14ac:dyDescent="0.25">
      <c r="B6" s="13" t="s">
        <v>1</v>
      </c>
      <c r="C6" s="27" t="s">
        <v>13</v>
      </c>
      <c r="D6" s="33">
        <v>55</v>
      </c>
      <c r="E6" s="17">
        <v>57</v>
      </c>
      <c r="F6" s="17">
        <v>67</v>
      </c>
      <c r="G6" s="17">
        <v>63</v>
      </c>
      <c r="H6" s="17">
        <v>63</v>
      </c>
      <c r="I6" s="17">
        <v>91</v>
      </c>
      <c r="J6" s="29">
        <v>110</v>
      </c>
      <c r="K6" s="17">
        <v>108</v>
      </c>
      <c r="L6" s="45">
        <v>93</v>
      </c>
      <c r="M6" s="53">
        <v>83</v>
      </c>
      <c r="O6" s="60">
        <f t="shared" ref="O6:O30" si="0">+(M6-L6)*100/L6</f>
        <v>-10.75268817204301</v>
      </c>
      <c r="Q6" s="18" t="s">
        <v>39</v>
      </c>
    </row>
    <row r="7" spans="2:17" ht="22.5" customHeight="1" x14ac:dyDescent="0.25">
      <c r="B7" s="13" t="s">
        <v>2</v>
      </c>
      <c r="C7" s="27" t="s">
        <v>14</v>
      </c>
      <c r="D7" s="33">
        <v>44</v>
      </c>
      <c r="E7" s="17">
        <v>38</v>
      </c>
      <c r="F7" s="17">
        <v>42</v>
      </c>
      <c r="G7" s="17">
        <v>45</v>
      </c>
      <c r="H7" s="17">
        <v>57</v>
      </c>
      <c r="I7" s="17">
        <v>50</v>
      </c>
      <c r="J7" s="29">
        <v>60</v>
      </c>
      <c r="K7" s="17">
        <v>74</v>
      </c>
      <c r="L7" s="45">
        <v>62</v>
      </c>
      <c r="M7" s="53">
        <v>62</v>
      </c>
      <c r="O7" s="60">
        <f t="shared" si="0"/>
        <v>0</v>
      </c>
      <c r="Q7" s="18" t="s">
        <v>40</v>
      </c>
    </row>
    <row r="8" spans="2:17" ht="22.5" customHeight="1" x14ac:dyDescent="0.25">
      <c r="B8" s="13" t="s">
        <v>3</v>
      </c>
      <c r="C8" s="27" t="s">
        <v>15</v>
      </c>
      <c r="D8" s="33">
        <v>53</v>
      </c>
      <c r="E8" s="17">
        <v>58</v>
      </c>
      <c r="F8" s="17">
        <v>62</v>
      </c>
      <c r="G8" s="17">
        <v>62</v>
      </c>
      <c r="H8" s="17">
        <v>58</v>
      </c>
      <c r="I8" s="17">
        <v>57</v>
      </c>
      <c r="J8" s="29">
        <v>99</v>
      </c>
      <c r="K8" s="17">
        <v>66</v>
      </c>
      <c r="L8" s="45">
        <v>55</v>
      </c>
      <c r="M8" s="53">
        <v>81</v>
      </c>
      <c r="O8" s="60">
        <f t="shared" si="0"/>
        <v>47.272727272727273</v>
      </c>
      <c r="Q8" s="18" t="s">
        <v>41</v>
      </c>
    </row>
    <row r="9" spans="2:17" ht="22.5" customHeight="1" x14ac:dyDescent="0.25">
      <c r="B9" s="13" t="s">
        <v>4</v>
      </c>
      <c r="C9" s="27" t="s">
        <v>16</v>
      </c>
      <c r="D9" s="33">
        <v>32</v>
      </c>
      <c r="E9" s="17">
        <v>25</v>
      </c>
      <c r="F9" s="17">
        <v>25</v>
      </c>
      <c r="G9" s="17">
        <v>24</v>
      </c>
      <c r="H9" s="17">
        <v>35</v>
      </c>
      <c r="I9" s="17">
        <v>39</v>
      </c>
      <c r="J9" s="29">
        <v>46</v>
      </c>
      <c r="K9" s="17">
        <v>44</v>
      </c>
      <c r="L9" s="45">
        <v>40</v>
      </c>
      <c r="M9" s="53">
        <v>45</v>
      </c>
      <c r="O9" s="60">
        <f t="shared" si="0"/>
        <v>12.5</v>
      </c>
      <c r="Q9" s="18" t="s">
        <v>42</v>
      </c>
    </row>
    <row r="10" spans="2:17" ht="22.5" customHeight="1" x14ac:dyDescent="0.25">
      <c r="B10" s="13" t="s">
        <v>5</v>
      </c>
      <c r="C10" s="27" t="s">
        <v>17</v>
      </c>
      <c r="D10" s="33">
        <v>43</v>
      </c>
      <c r="E10" s="17">
        <v>48</v>
      </c>
      <c r="F10" s="17">
        <v>53</v>
      </c>
      <c r="G10" s="17">
        <v>42</v>
      </c>
      <c r="H10" s="17">
        <v>44</v>
      </c>
      <c r="I10" s="17">
        <v>37</v>
      </c>
      <c r="J10" s="29">
        <v>45</v>
      </c>
      <c r="K10" s="17">
        <v>47</v>
      </c>
      <c r="L10" s="45">
        <v>45</v>
      </c>
      <c r="M10" s="53">
        <v>51</v>
      </c>
      <c r="O10" s="60">
        <f t="shared" si="0"/>
        <v>13.333333333333334</v>
      </c>
      <c r="Q10" s="18" t="s">
        <v>43</v>
      </c>
    </row>
    <row r="11" spans="2:17" ht="22.5" customHeight="1" x14ac:dyDescent="0.25">
      <c r="B11" s="13" t="s">
        <v>6</v>
      </c>
      <c r="C11" s="27" t="s">
        <v>18</v>
      </c>
      <c r="D11" s="33">
        <v>61</v>
      </c>
      <c r="E11" s="17">
        <v>48</v>
      </c>
      <c r="F11" s="17">
        <v>43</v>
      </c>
      <c r="G11" s="17">
        <v>44</v>
      </c>
      <c r="H11" s="17">
        <v>43</v>
      </c>
      <c r="I11" s="17">
        <v>43</v>
      </c>
      <c r="J11" s="29">
        <v>51</v>
      </c>
      <c r="K11" s="17">
        <v>45</v>
      </c>
      <c r="L11" s="45">
        <v>47</v>
      </c>
      <c r="M11" s="53">
        <v>42</v>
      </c>
      <c r="O11" s="60">
        <f t="shared" si="0"/>
        <v>-10.638297872340425</v>
      </c>
      <c r="Q11" s="18" t="s">
        <v>44</v>
      </c>
    </row>
    <row r="12" spans="2:17" ht="22.5" customHeight="1" x14ac:dyDescent="0.25">
      <c r="B12" s="13" t="s">
        <v>7</v>
      </c>
      <c r="C12" s="27" t="s">
        <v>19</v>
      </c>
      <c r="D12" s="33">
        <v>29</v>
      </c>
      <c r="E12" s="17">
        <v>27</v>
      </c>
      <c r="F12" s="17">
        <v>32</v>
      </c>
      <c r="G12" s="17">
        <v>37</v>
      </c>
      <c r="H12" s="17">
        <v>35</v>
      </c>
      <c r="I12" s="17">
        <v>30</v>
      </c>
      <c r="J12" s="29">
        <v>32</v>
      </c>
      <c r="K12" s="17">
        <v>31</v>
      </c>
      <c r="L12" s="45">
        <v>32</v>
      </c>
      <c r="M12" s="53">
        <v>31</v>
      </c>
      <c r="O12" s="60">
        <f t="shared" si="0"/>
        <v>-3.125</v>
      </c>
      <c r="Q12" s="18" t="s">
        <v>45</v>
      </c>
    </row>
    <row r="13" spans="2:17" ht="22.5" customHeight="1" x14ac:dyDescent="0.25">
      <c r="B13" s="13" t="s">
        <v>8</v>
      </c>
      <c r="C13" s="27" t="s">
        <v>20</v>
      </c>
      <c r="D13" s="33">
        <v>39</v>
      </c>
      <c r="E13" s="17">
        <v>40</v>
      </c>
      <c r="F13" s="17">
        <v>51</v>
      </c>
      <c r="G13" s="17">
        <v>45</v>
      </c>
      <c r="H13" s="17">
        <v>40</v>
      </c>
      <c r="I13" s="17">
        <v>44</v>
      </c>
      <c r="J13" s="29">
        <v>47</v>
      </c>
      <c r="K13" s="17">
        <v>46</v>
      </c>
      <c r="L13" s="45">
        <v>61</v>
      </c>
      <c r="M13" s="53">
        <v>57</v>
      </c>
      <c r="O13" s="60">
        <f t="shared" si="0"/>
        <v>-6.557377049180328</v>
      </c>
      <c r="Q13" s="18" t="s">
        <v>46</v>
      </c>
    </row>
    <row r="14" spans="2:17" ht="22.5" customHeight="1" x14ac:dyDescent="0.25">
      <c r="B14" s="14">
        <v>10</v>
      </c>
      <c r="C14" s="27" t="s">
        <v>21</v>
      </c>
      <c r="D14" s="33">
        <v>36</v>
      </c>
      <c r="E14" s="17">
        <v>29</v>
      </c>
      <c r="F14" s="17">
        <v>30</v>
      </c>
      <c r="G14" s="17">
        <v>38</v>
      </c>
      <c r="H14" s="17">
        <v>35</v>
      </c>
      <c r="I14" s="17">
        <v>33</v>
      </c>
      <c r="J14" s="29">
        <v>33</v>
      </c>
      <c r="K14" s="17">
        <v>42</v>
      </c>
      <c r="L14" s="45">
        <v>42</v>
      </c>
      <c r="M14" s="53">
        <v>58</v>
      </c>
      <c r="O14" s="60">
        <f t="shared" si="0"/>
        <v>38.095238095238095</v>
      </c>
      <c r="Q14" s="18" t="s">
        <v>47</v>
      </c>
    </row>
    <row r="15" spans="2:17" ht="22.5" customHeight="1" x14ac:dyDescent="0.25">
      <c r="B15" s="14">
        <v>11</v>
      </c>
      <c r="C15" s="27" t="s">
        <v>22</v>
      </c>
      <c r="D15" s="33">
        <v>54</v>
      </c>
      <c r="E15" s="17">
        <v>48</v>
      </c>
      <c r="F15" s="17">
        <v>55</v>
      </c>
      <c r="G15" s="17">
        <v>44</v>
      </c>
      <c r="H15" s="17">
        <v>49</v>
      </c>
      <c r="I15" s="17">
        <v>47</v>
      </c>
      <c r="J15" s="29">
        <v>49</v>
      </c>
      <c r="K15" s="17">
        <v>48</v>
      </c>
      <c r="L15" s="45">
        <v>50</v>
      </c>
      <c r="M15" s="53">
        <v>49</v>
      </c>
      <c r="O15" s="60">
        <f t="shared" si="0"/>
        <v>-2</v>
      </c>
      <c r="Q15" s="18" t="s">
        <v>48</v>
      </c>
    </row>
    <row r="16" spans="2:17" ht="22.5" customHeight="1" x14ac:dyDescent="0.25">
      <c r="B16" s="14">
        <v>12</v>
      </c>
      <c r="C16" s="27" t="s">
        <v>23</v>
      </c>
      <c r="D16" s="33">
        <v>45</v>
      </c>
      <c r="E16" s="17">
        <v>50</v>
      </c>
      <c r="F16" s="17">
        <v>51</v>
      </c>
      <c r="G16" s="17">
        <v>52</v>
      </c>
      <c r="H16" s="17">
        <v>61</v>
      </c>
      <c r="I16" s="17">
        <v>56</v>
      </c>
      <c r="J16" s="29">
        <v>62</v>
      </c>
      <c r="K16" s="17">
        <v>60</v>
      </c>
      <c r="L16" s="45">
        <v>67</v>
      </c>
      <c r="M16" s="53">
        <v>61</v>
      </c>
      <c r="O16" s="60">
        <f t="shared" si="0"/>
        <v>-8.9552238805970141</v>
      </c>
      <c r="Q16" s="18" t="s">
        <v>49</v>
      </c>
    </row>
    <row r="17" spans="2:17" ht="22.5" customHeight="1" x14ac:dyDescent="0.25">
      <c r="B17" s="14">
        <v>13</v>
      </c>
      <c r="C17" s="27" t="s">
        <v>24</v>
      </c>
      <c r="D17" s="33">
        <v>48</v>
      </c>
      <c r="E17" s="17">
        <v>49</v>
      </c>
      <c r="F17" s="17">
        <v>44</v>
      </c>
      <c r="G17" s="17">
        <v>49</v>
      </c>
      <c r="H17" s="17">
        <v>56</v>
      </c>
      <c r="I17" s="17">
        <v>57</v>
      </c>
      <c r="J17" s="29">
        <v>57</v>
      </c>
      <c r="K17" s="17">
        <v>43</v>
      </c>
      <c r="L17" s="45">
        <v>45</v>
      </c>
      <c r="M17" s="53">
        <v>44</v>
      </c>
      <c r="O17" s="60">
        <f t="shared" si="0"/>
        <v>-2.2222222222222223</v>
      </c>
      <c r="Q17" s="18" t="s">
        <v>50</v>
      </c>
    </row>
    <row r="18" spans="2:17" ht="22.5" customHeight="1" x14ac:dyDescent="0.25">
      <c r="B18" s="14">
        <v>14</v>
      </c>
      <c r="C18" s="27" t="s">
        <v>25</v>
      </c>
      <c r="D18" s="33"/>
      <c r="E18" s="17"/>
      <c r="F18" s="17"/>
      <c r="G18" s="17"/>
      <c r="H18" s="17"/>
      <c r="I18" s="17"/>
      <c r="J18" s="29"/>
      <c r="K18" s="17"/>
      <c r="L18" s="45"/>
      <c r="M18" s="53"/>
      <c r="O18" s="60" t="e">
        <f t="shared" si="0"/>
        <v>#DIV/0!</v>
      </c>
      <c r="Q18" s="18" t="s">
        <v>51</v>
      </c>
    </row>
    <row r="19" spans="2:17" ht="22.5" customHeight="1" x14ac:dyDescent="0.25">
      <c r="B19" s="14">
        <v>15</v>
      </c>
      <c r="C19" s="27" t="s">
        <v>26</v>
      </c>
      <c r="D19" s="33">
        <v>42</v>
      </c>
      <c r="E19" s="17">
        <v>48</v>
      </c>
      <c r="F19" s="17">
        <v>40</v>
      </c>
      <c r="G19" s="17">
        <v>45</v>
      </c>
      <c r="H19" s="17">
        <v>41</v>
      </c>
      <c r="I19" s="17">
        <v>55</v>
      </c>
      <c r="J19" s="29">
        <v>36</v>
      </c>
      <c r="K19" s="17">
        <v>38</v>
      </c>
      <c r="L19" s="45">
        <v>36</v>
      </c>
      <c r="M19" s="53">
        <v>42</v>
      </c>
      <c r="O19" s="60">
        <f t="shared" si="0"/>
        <v>16.666666666666668</v>
      </c>
      <c r="Q19" s="18" t="s">
        <v>52</v>
      </c>
    </row>
    <row r="20" spans="2:17" ht="22.5" customHeight="1" x14ac:dyDescent="0.25">
      <c r="B20" s="14">
        <v>16</v>
      </c>
      <c r="C20" s="27" t="s">
        <v>27</v>
      </c>
      <c r="D20" s="33"/>
      <c r="E20" s="17"/>
      <c r="F20" s="17"/>
      <c r="G20" s="17"/>
      <c r="H20" s="17"/>
      <c r="I20" s="17"/>
      <c r="J20" s="29"/>
      <c r="K20" s="17"/>
      <c r="L20" s="45"/>
      <c r="M20" s="53"/>
      <c r="O20" s="60" t="e">
        <f t="shared" si="0"/>
        <v>#DIV/0!</v>
      </c>
      <c r="Q20" s="18" t="s">
        <v>53</v>
      </c>
    </row>
    <row r="21" spans="2:17" ht="22.5" customHeight="1" x14ac:dyDescent="0.25">
      <c r="B21" s="14">
        <v>17</v>
      </c>
      <c r="C21" s="27" t="s">
        <v>28</v>
      </c>
      <c r="D21" s="33">
        <v>18</v>
      </c>
      <c r="E21" s="17">
        <v>20</v>
      </c>
      <c r="F21" s="17">
        <v>19</v>
      </c>
      <c r="G21" s="17">
        <v>14</v>
      </c>
      <c r="H21" s="17">
        <v>41</v>
      </c>
      <c r="I21" s="17">
        <v>26</v>
      </c>
      <c r="J21" s="29">
        <v>28</v>
      </c>
      <c r="K21" s="17">
        <v>29</v>
      </c>
      <c r="L21" s="45">
        <v>33</v>
      </c>
      <c r="M21" s="53">
        <v>27</v>
      </c>
      <c r="O21" s="60">
        <f t="shared" si="0"/>
        <v>-18.181818181818183</v>
      </c>
      <c r="Q21" s="18" t="s">
        <v>54</v>
      </c>
    </row>
    <row r="22" spans="2:17" ht="22.5" customHeight="1" x14ac:dyDescent="0.25">
      <c r="B22" s="14">
        <v>18</v>
      </c>
      <c r="C22" s="27" t="s">
        <v>29</v>
      </c>
      <c r="D22" s="33">
        <v>48</v>
      </c>
      <c r="E22" s="17">
        <v>43</v>
      </c>
      <c r="F22" s="17">
        <v>46</v>
      </c>
      <c r="G22" s="17">
        <v>54</v>
      </c>
      <c r="H22" s="17">
        <v>53</v>
      </c>
      <c r="I22" s="17">
        <v>60</v>
      </c>
      <c r="J22" s="29">
        <v>68</v>
      </c>
      <c r="K22" s="17">
        <v>75</v>
      </c>
      <c r="L22" s="45">
        <v>88</v>
      </c>
      <c r="M22" s="53">
        <v>94</v>
      </c>
      <c r="O22" s="60">
        <f t="shared" si="0"/>
        <v>6.8181818181818183</v>
      </c>
      <c r="Q22" s="18" t="s">
        <v>55</v>
      </c>
    </row>
    <row r="23" spans="2:17" ht="22.5" customHeight="1" x14ac:dyDescent="0.25">
      <c r="B23" s="14">
        <v>19</v>
      </c>
      <c r="C23" s="27" t="s">
        <v>30</v>
      </c>
      <c r="D23" s="33">
        <v>27</v>
      </c>
      <c r="E23" s="17">
        <v>44</v>
      </c>
      <c r="F23" s="17">
        <v>45</v>
      </c>
      <c r="G23" s="17">
        <v>30</v>
      </c>
      <c r="H23" s="17">
        <v>32</v>
      </c>
      <c r="I23" s="17">
        <v>32</v>
      </c>
      <c r="J23" s="29">
        <v>48</v>
      </c>
      <c r="K23" s="17">
        <v>52</v>
      </c>
      <c r="L23" s="45">
        <v>54</v>
      </c>
      <c r="M23" s="53">
        <v>53</v>
      </c>
      <c r="O23" s="60">
        <f t="shared" si="0"/>
        <v>-1.8518518518518519</v>
      </c>
      <c r="Q23" s="18" t="s">
        <v>56</v>
      </c>
    </row>
    <row r="24" spans="2:17" ht="22.5" customHeight="1" x14ac:dyDescent="0.25">
      <c r="B24" s="14">
        <v>20</v>
      </c>
      <c r="C24" s="27" t="s">
        <v>31</v>
      </c>
      <c r="D24" s="33">
        <v>47</v>
      </c>
      <c r="E24" s="17">
        <v>52</v>
      </c>
      <c r="F24" s="17">
        <v>50</v>
      </c>
      <c r="G24" s="17">
        <v>52</v>
      </c>
      <c r="H24" s="17">
        <v>50</v>
      </c>
      <c r="I24" s="17">
        <v>57</v>
      </c>
      <c r="J24" s="29">
        <v>56</v>
      </c>
      <c r="K24" s="17">
        <v>51</v>
      </c>
      <c r="L24" s="45">
        <v>57</v>
      </c>
      <c r="M24" s="53">
        <v>53</v>
      </c>
      <c r="O24" s="60">
        <f t="shared" si="0"/>
        <v>-7.0175438596491224</v>
      </c>
      <c r="Q24" s="18" t="s">
        <v>57</v>
      </c>
    </row>
    <row r="25" spans="2:17" ht="22.5" customHeight="1" x14ac:dyDescent="0.25">
      <c r="B25" s="14">
        <v>21</v>
      </c>
      <c r="C25" s="27" t="s">
        <v>32</v>
      </c>
      <c r="D25" s="33">
        <v>48</v>
      </c>
      <c r="E25" s="17">
        <v>47</v>
      </c>
      <c r="F25" s="17">
        <v>58</v>
      </c>
      <c r="G25" s="17">
        <v>70</v>
      </c>
      <c r="H25" s="17">
        <v>61</v>
      </c>
      <c r="I25" s="17">
        <v>68</v>
      </c>
      <c r="J25" s="29">
        <v>100</v>
      </c>
      <c r="K25" s="17">
        <v>72</v>
      </c>
      <c r="L25" s="45">
        <v>83</v>
      </c>
      <c r="M25" s="53">
        <v>77</v>
      </c>
      <c r="O25" s="60">
        <f t="shared" si="0"/>
        <v>-7.2289156626506026</v>
      </c>
      <c r="Q25" s="18" t="s">
        <v>58</v>
      </c>
    </row>
    <row r="26" spans="2:17" ht="22.5" customHeight="1" x14ac:dyDescent="0.25">
      <c r="B26" s="14">
        <v>22</v>
      </c>
      <c r="C26" s="27" t="s">
        <v>33</v>
      </c>
      <c r="D26" s="33">
        <v>29</v>
      </c>
      <c r="E26" s="17">
        <v>31</v>
      </c>
      <c r="F26" s="17">
        <v>27</v>
      </c>
      <c r="G26" s="17">
        <v>20</v>
      </c>
      <c r="H26" s="17">
        <v>43</v>
      </c>
      <c r="I26" s="17">
        <v>18</v>
      </c>
      <c r="J26" s="29">
        <v>57</v>
      </c>
      <c r="K26" s="17">
        <v>52</v>
      </c>
      <c r="L26" s="45">
        <v>79</v>
      </c>
      <c r="M26" s="53">
        <v>78</v>
      </c>
      <c r="O26" s="60">
        <f t="shared" si="0"/>
        <v>-1.2658227848101267</v>
      </c>
      <c r="Q26" s="18" t="s">
        <v>59</v>
      </c>
    </row>
    <row r="27" spans="2:17" ht="22.5" customHeight="1" x14ac:dyDescent="0.25">
      <c r="B27" s="14">
        <v>23</v>
      </c>
      <c r="C27" s="27" t="s">
        <v>34</v>
      </c>
      <c r="D27" s="33">
        <v>39</v>
      </c>
      <c r="E27" s="17">
        <v>33</v>
      </c>
      <c r="F27" s="17">
        <v>39</v>
      </c>
      <c r="G27" s="17">
        <v>40</v>
      </c>
      <c r="H27" s="17">
        <v>40</v>
      </c>
      <c r="I27" s="17">
        <v>38</v>
      </c>
      <c r="J27" s="29">
        <v>54</v>
      </c>
      <c r="K27" s="17">
        <v>41</v>
      </c>
      <c r="L27" s="45">
        <v>42</v>
      </c>
      <c r="M27" s="53">
        <v>44</v>
      </c>
      <c r="O27" s="60">
        <f t="shared" si="0"/>
        <v>4.7619047619047619</v>
      </c>
      <c r="Q27" s="18" t="s">
        <v>60</v>
      </c>
    </row>
    <row r="28" spans="2:17" ht="22.5" customHeight="1" x14ac:dyDescent="0.25">
      <c r="B28" s="14">
        <v>24</v>
      </c>
      <c r="C28" s="27" t="s">
        <v>35</v>
      </c>
      <c r="D28" s="34">
        <v>29</v>
      </c>
      <c r="E28" s="9">
        <v>32</v>
      </c>
      <c r="F28" s="8">
        <v>34</v>
      </c>
      <c r="G28" s="9">
        <v>32</v>
      </c>
      <c r="H28" s="8">
        <v>35</v>
      </c>
      <c r="I28" s="9">
        <v>34</v>
      </c>
      <c r="J28" s="30">
        <v>41</v>
      </c>
      <c r="K28" s="9">
        <v>29</v>
      </c>
      <c r="L28" s="46">
        <v>19</v>
      </c>
      <c r="M28" s="54">
        <v>30</v>
      </c>
      <c r="O28" s="60">
        <f t="shared" si="0"/>
        <v>57.89473684210526</v>
      </c>
      <c r="Q28" s="18" t="s">
        <v>61</v>
      </c>
    </row>
    <row r="29" spans="2:17" ht="22.5" customHeight="1" x14ac:dyDescent="0.25">
      <c r="B29" s="14">
        <v>25</v>
      </c>
      <c r="C29" s="27" t="s">
        <v>36</v>
      </c>
      <c r="D29" s="35">
        <v>54</v>
      </c>
      <c r="E29" s="11">
        <v>38</v>
      </c>
      <c r="F29" s="10">
        <v>41</v>
      </c>
      <c r="G29" s="11">
        <v>47</v>
      </c>
      <c r="H29" s="10">
        <v>49</v>
      </c>
      <c r="I29" s="11">
        <v>56</v>
      </c>
      <c r="J29" s="11">
        <v>74</v>
      </c>
      <c r="K29" s="42">
        <v>67</v>
      </c>
      <c r="L29" s="47">
        <v>80</v>
      </c>
      <c r="M29" s="55">
        <v>56</v>
      </c>
      <c r="O29" s="60">
        <f t="shared" si="0"/>
        <v>-30</v>
      </c>
      <c r="Q29" s="18" t="s">
        <v>62</v>
      </c>
    </row>
    <row r="30" spans="2:17" ht="16.5" thickBot="1" x14ac:dyDescent="0.3">
      <c r="B30" s="15">
        <v>26</v>
      </c>
      <c r="C30" s="28" t="s">
        <v>37</v>
      </c>
      <c r="D30" s="36"/>
      <c r="E30" s="6"/>
      <c r="F30" s="5"/>
      <c r="G30" s="6"/>
      <c r="H30" s="5"/>
      <c r="I30" s="6"/>
      <c r="J30" s="6"/>
      <c r="K30" s="43"/>
      <c r="L30" s="48"/>
      <c r="M30" s="56"/>
      <c r="O30" s="60" t="e">
        <f t="shared" si="0"/>
        <v>#DIV/0!</v>
      </c>
      <c r="Q30" s="18" t="s">
        <v>63</v>
      </c>
    </row>
    <row r="31" spans="2:17" ht="15.75" x14ac:dyDescent="0.25">
      <c r="B31" s="19"/>
      <c r="C31" s="20"/>
      <c r="D31" s="21"/>
      <c r="E31" s="22"/>
      <c r="F31" s="21"/>
      <c r="G31" s="22"/>
      <c r="H31" s="21"/>
      <c r="I31" s="21"/>
      <c r="J31" s="21"/>
      <c r="K31" s="21"/>
      <c r="L31" s="21"/>
      <c r="M31" s="37"/>
      <c r="O31" s="60"/>
      <c r="Q31" s="18"/>
    </row>
    <row r="32" spans="2:17" ht="21" customHeight="1" x14ac:dyDescent="0.25">
      <c r="B32" s="23" t="s">
        <v>64</v>
      </c>
    </row>
    <row r="37" spans="3:14" ht="15" customHeight="1" x14ac:dyDescent="0.25">
      <c r="C37" s="3"/>
      <c r="D37" s="3"/>
      <c r="E37" s="3"/>
      <c r="F37" s="3"/>
      <c r="G37" s="3"/>
      <c r="H37" s="3"/>
      <c r="I37" s="3"/>
      <c r="J37" s="3"/>
      <c r="K37" s="3"/>
      <c r="L37" s="3"/>
      <c r="M37" s="39"/>
      <c r="N37" s="57"/>
    </row>
    <row r="38" spans="3:14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40"/>
    </row>
  </sheetData>
  <mergeCells count="4">
    <mergeCell ref="B2:M2"/>
    <mergeCell ref="B3:B4"/>
    <mergeCell ref="C3:C4"/>
    <mergeCell ref="D3:M3"/>
  </mergeCells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2.11.Tablo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2025-12-05T06:58:48Z</dcterms:modified>
</cp:coreProperties>
</file>