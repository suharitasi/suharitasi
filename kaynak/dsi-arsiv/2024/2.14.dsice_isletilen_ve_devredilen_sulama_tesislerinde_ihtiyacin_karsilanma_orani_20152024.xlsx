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26D29CC5-608F-4922-A0C4-23A8F61D89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14.Tab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5" i="1"/>
</calcChain>
</file>

<file path=xl/sharedStrings.xml><?xml version="1.0" encoding="utf-8"?>
<sst xmlns="http://schemas.openxmlformats.org/spreadsheetml/2006/main" count="67" uniqueCount="67">
  <si>
    <t>01</t>
  </si>
  <si>
    <t>02</t>
  </si>
  <si>
    <t>03</t>
  </si>
  <si>
    <t>04</t>
  </si>
  <si>
    <t>05</t>
  </si>
  <si>
    <t>06</t>
  </si>
  <si>
    <t>07</t>
  </si>
  <si>
    <t>08</t>
  </si>
  <si>
    <t>09</t>
  </si>
  <si>
    <t>İhtiyacın Karşılanma Oranı Değişimi</t>
  </si>
  <si>
    <t>DSİ 01. (Bursa) Bölge Müdürlüğü</t>
  </si>
  <si>
    <t>DSİ 02. (İzmir) Bölge Müdürlüğü</t>
  </si>
  <si>
    <t>DSİ 03. (Eskişehir) Bölge Müdürlüğü</t>
  </si>
  <si>
    <t>DSİ 04. (Konya) Bölge Müdürlüğü</t>
  </si>
  <si>
    <t>DSİ 05. (Ankara) Bölge Müdürlüğü</t>
  </si>
  <si>
    <t>DSİ 06. (Adana) Bölge Müdürlüğü</t>
  </si>
  <si>
    <t>DSİ 07. (Samsun) Bölge Müdürlüğü</t>
  </si>
  <si>
    <t>DSİ 08. (Erzurum) Bölge Müdürlüğü</t>
  </si>
  <si>
    <t>DSİ 09. (Elazığ) Bölge Müdürlüğü</t>
  </si>
  <si>
    <t>DSİ 10. (Diyarbakır) Bölge Müdürlüğü</t>
  </si>
  <si>
    <t>DSİ 11. (Edirne) Bölge Müdürlüğü</t>
  </si>
  <si>
    <t>DSİ 12. (Kayseri) Bölge Müdürlüğü</t>
  </si>
  <si>
    <t>DSİ 13. (Antalya) Bölge Müdürlüğü</t>
  </si>
  <si>
    <t>DSİ 14. (İstanbul) Bölge Müdürlüğü</t>
  </si>
  <si>
    <t>DSİ 15. (Şanlıurfa) Bölge Müdürlüğü</t>
  </si>
  <si>
    <t>DSİ 16. (Mardin) Ilısu Bölge Müdürlüğü</t>
  </si>
  <si>
    <t>DSİ 17. (Van) Bölge Müdürlüğü</t>
  </si>
  <si>
    <t>DSİ 18. (Isparta) Bölge Müdürlüğü</t>
  </si>
  <si>
    <t>DSİ 19. (Sivas) Bölge Müdürlüğü</t>
  </si>
  <si>
    <t>DSİ 20. (Kahramanmaraş) Bölge Müdürlüğü</t>
  </si>
  <si>
    <t>DSİ 21. (Aydın) Bölge Müdürlüğü</t>
  </si>
  <si>
    <t>DSİ 22. (Trabzon) Bölge Müdürlüğü</t>
  </si>
  <si>
    <t>DSİ 23. (Kastamonu) Bölge Müdürlüğü</t>
  </si>
  <si>
    <t>DSİ 24. (Kars) Bölge Müdürlüğü</t>
  </si>
  <si>
    <t>DSİ 25. (Balıkesir) Bölge Müdürlüğü</t>
  </si>
  <si>
    <t>DSİ 26. (Artvin) Çoruh Bölge Müdürlüğü</t>
  </si>
  <si>
    <t>Bölge No</t>
  </si>
  <si>
    <t>Bölge Adı</t>
  </si>
  <si>
    <t xml:space="preserve">DSİ 01. (Bursa) Bölge </t>
  </si>
  <si>
    <t xml:space="preserve">DSİ 02. (İzmir) Bölge </t>
  </si>
  <si>
    <t xml:space="preserve">DSİ 03. (Eskişehir) Bölge </t>
  </si>
  <si>
    <t xml:space="preserve">DSİ 04. (Konya) Bölge </t>
  </si>
  <si>
    <t xml:space="preserve">DSİ 05. (Ankara) Bölge </t>
  </si>
  <si>
    <t xml:space="preserve">DSİ 06. (Adana) Bölge </t>
  </si>
  <si>
    <t xml:space="preserve">DSİ 07. (Samsun) Bölge </t>
  </si>
  <si>
    <t xml:space="preserve">DSİ 08. (Erzurum) Bölge </t>
  </si>
  <si>
    <t xml:space="preserve">DSİ 09. (Elazığ) Bölge </t>
  </si>
  <si>
    <t xml:space="preserve">DSİ 10. (Diyarbakır) Bölge </t>
  </si>
  <si>
    <t xml:space="preserve">DSİ 11. (Edirne) Bölge </t>
  </si>
  <si>
    <t xml:space="preserve">DSİ 12. (Kayseri) Bölge </t>
  </si>
  <si>
    <t xml:space="preserve">DSİ 13. (Antalya) Bölge </t>
  </si>
  <si>
    <t xml:space="preserve">DSİ 14. (İstanbul) Bölge </t>
  </si>
  <si>
    <t xml:space="preserve">DSİ 15. (Şanlıurfa) Bölge </t>
  </si>
  <si>
    <t xml:space="preserve">DSİ 16. (Mardin) Ilısu Bölge </t>
  </si>
  <si>
    <t xml:space="preserve">DSİ 17. (Van) Bölge </t>
  </si>
  <si>
    <t xml:space="preserve">DSİ 18. (Isparta) Bölge </t>
  </si>
  <si>
    <t xml:space="preserve">DSİ 19. (Sivas) Bölge </t>
  </si>
  <si>
    <t xml:space="preserve">DSİ 20. (Kahramanmaraş) Bölge </t>
  </si>
  <si>
    <t xml:space="preserve">DSİ 21. (Aydın) Bölge </t>
  </si>
  <si>
    <t xml:space="preserve">DSİ 22. (Trabzon) Bölge </t>
  </si>
  <si>
    <t xml:space="preserve">DSİ 23. (Kastamonu) Bölge </t>
  </si>
  <si>
    <t xml:space="preserve">DSİ 24. (Kars) Bölge </t>
  </si>
  <si>
    <t xml:space="preserve">DSİ 25. (Balıkesir) Bölge </t>
  </si>
  <si>
    <t xml:space="preserve">DSİ 26. (Artvin) Çoruh Bölge </t>
  </si>
  <si>
    <t xml:space="preserve">İhtiyacın Karşılanma Oranı                                                                                                                                                               </t>
  </si>
  <si>
    <r>
      <rPr>
        <b/>
        <sz val="11"/>
        <color theme="1"/>
        <rFont val="Calibri"/>
        <family val="2"/>
        <charset val="162"/>
        <scheme val="minor"/>
      </rPr>
      <t>NOT:</t>
    </r>
    <r>
      <rPr>
        <sz val="11"/>
        <color theme="1"/>
        <rFont val="Calibri"/>
        <family val="2"/>
        <scheme val="minor"/>
      </rPr>
      <t xml:space="preserve"> Bölge Müdürlüklerinin kapsadığı iller Metaveriler kısmında verilmiştir.</t>
    </r>
  </si>
  <si>
    <t>2.14.DSİ'ce İşletilen ve Devredilen Sulama Tesislerinde İhtiyacın Karşılanma Oranı, 2015-2024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</si>
</sst>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2" fillId="2" borderId="0" xfId="0" applyNumberFormat="1" applyFont="1" applyFill="1" applyBorder="1" applyAlignment="1">
      <alignment vertical="center"/>
    </xf>
    <xf numFmtId="165" fontId="6" fillId="2" borderId="1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5" fillId="3" borderId="13" xfId="0" quotePrefix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vertical="center"/>
    </xf>
    <xf numFmtId="0" fontId="5" fillId="3" borderId="15" xfId="0" quotePrefix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vertical="center"/>
    </xf>
    <xf numFmtId="165" fontId="6" fillId="2" borderId="18" xfId="0" applyNumberFormat="1" applyFont="1" applyFill="1" applyBorder="1" applyAlignment="1">
      <alignment horizontal="center"/>
    </xf>
    <xf numFmtId="0" fontId="7" fillId="2" borderId="0" xfId="0" applyFont="1" applyFill="1"/>
    <xf numFmtId="0" fontId="7" fillId="0" borderId="0" xfId="0" applyFont="1"/>
    <xf numFmtId="0" fontId="0" fillId="0" borderId="0" xfId="0" applyAlignment="1">
      <alignment horizontal="right"/>
    </xf>
    <xf numFmtId="0" fontId="8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2" fontId="3" fillId="2" borderId="9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/>
    </xf>
    <xf numFmtId="2" fontId="3" fillId="2" borderId="14" xfId="0" applyNumberFormat="1" applyFont="1" applyFill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2" fontId="4" fillId="2" borderId="11" xfId="0" applyNumberFormat="1" applyFont="1" applyFill="1" applyBorder="1" applyAlignment="1">
      <alignment horizontal="center" vertical="center" wrapText="1"/>
    </xf>
    <xf numFmtId="2" fontId="3" fillId="2" borderId="16" xfId="0" applyNumberFormat="1" applyFont="1" applyFill="1" applyBorder="1" applyAlignment="1">
      <alignment horizontal="center" vertical="center" wrapText="1"/>
    </xf>
    <xf numFmtId="2" fontId="3" fillId="2" borderId="12" xfId="0" applyNumberFormat="1" applyFont="1" applyFill="1" applyBorder="1" applyAlignment="1">
      <alignment horizontal="center" vertical="center" wrapText="1"/>
    </xf>
    <xf numFmtId="2" fontId="4" fillId="2" borderId="12" xfId="0" applyNumberFormat="1" applyFont="1" applyFill="1" applyBorder="1" applyAlignment="1">
      <alignment horizontal="center" vertical="center" wrapText="1"/>
    </xf>
    <xf numFmtId="2" fontId="4" fillId="2" borderId="16" xfId="0" applyNumberFormat="1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2" fontId="4" fillId="2" borderId="12" xfId="0" applyNumberFormat="1" applyFont="1" applyFill="1" applyBorder="1" applyAlignment="1">
      <alignment horizontal="center"/>
    </xf>
    <xf numFmtId="2" fontId="3" fillId="2" borderId="12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3" fontId="3" fillId="2" borderId="0" xfId="0" applyNumberFormat="1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Border="1" applyAlignment="1">
      <alignment wrapText="1"/>
    </xf>
    <xf numFmtId="0" fontId="10" fillId="0" borderId="0" xfId="0" applyFont="1" applyAlignment="1">
      <alignment wrapText="1"/>
    </xf>
    <xf numFmtId="1" fontId="7" fillId="0" borderId="0" xfId="0" applyNumberFormat="1" applyFont="1"/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5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2.14.DSİ'ce İşletilen ve Devredilen Sulama Tesislerde İhtiyacın Karşılanma Oranı Değişimi, (%), 2023-2024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496514522173924E-2"/>
          <c:y val="0.25087359250514879"/>
          <c:w val="0.89819227127116641"/>
          <c:h val="0.473211306544639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'2.14.Tablo'!$O$4</c:f>
              <c:strCache>
                <c:ptCount val="1"/>
                <c:pt idx="0">
                  <c:v>İhtiyacın Karşılanma Oranı Değişimi</c:v>
                </c:pt>
              </c:strCache>
            </c:strRef>
          </c:tx>
          <c:invertIfNegative val="0"/>
          <c:dLbls>
            <c:dLbl>
              <c:idx val="2"/>
              <c:layout>
                <c:manualLayout>
                  <c:x val="-6.6162180905532072E-4"/>
                  <c:y val="4.3090042893872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53-44E3-961B-BE0A5448D14E}"/>
                </c:ext>
              </c:extLst>
            </c:dLbl>
            <c:dLbl>
              <c:idx val="3"/>
              <c:layout>
                <c:manualLayout>
                  <c:x val="-2.4259186087840625E-17"/>
                  <c:y val="0.17627618638268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17-4E3A-9206-7AB115163B77}"/>
                </c:ext>
              </c:extLst>
            </c:dLbl>
            <c:dLbl>
              <c:idx val="4"/>
              <c:layout>
                <c:manualLayout>
                  <c:x val="-4.851837217568125E-17"/>
                  <c:y val="0.1116415847090356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17-4E3A-9206-7AB115163B77}"/>
                </c:ext>
              </c:extLst>
            </c:dLbl>
            <c:dLbl>
              <c:idx val="5"/>
              <c:layout>
                <c:manualLayout>
                  <c:x val="0"/>
                  <c:y val="7.83449717256389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53-44E3-961B-BE0A5448D14E}"/>
                </c:ext>
              </c:extLst>
            </c:dLbl>
            <c:dLbl>
              <c:idx val="9"/>
              <c:layout>
                <c:manualLayout>
                  <c:x val="0"/>
                  <c:y val="0.1606073462599452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7D-4231-BE7F-3B8291FF2397}"/>
                </c:ext>
              </c:extLst>
            </c:dLbl>
            <c:dLbl>
              <c:idx val="11"/>
              <c:layout>
                <c:manualLayout>
                  <c:x val="0"/>
                  <c:y val="0.1331867603783568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17-4E3A-9206-7AB115163B7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F3-4717-BD76-4EB95A095DB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F3-4717-BD76-4EB95A095DBF}"/>
                </c:ext>
              </c:extLst>
            </c:dLbl>
            <c:dLbl>
              <c:idx val="17"/>
              <c:layout>
                <c:manualLayout>
                  <c:x val="-9.70367443513625E-17"/>
                  <c:y val="4.70071372577686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5B-4050-9E91-714C55DB2FE0}"/>
                </c:ext>
              </c:extLst>
            </c:dLbl>
            <c:dLbl>
              <c:idx val="22"/>
              <c:layout>
                <c:manualLayout>
                  <c:x val="9.70367443513625E-17"/>
                  <c:y val="5.09243858440506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17-4E3A-9206-7AB115163B77}"/>
                </c:ext>
              </c:extLst>
            </c:dLbl>
            <c:dLbl>
              <c:idx val="23"/>
              <c:layout>
                <c:manualLayout>
                  <c:x val="0"/>
                  <c:y val="0.1880280863639188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17-4E3A-9206-7AB115163B7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F3-4717-BD76-4EB95A095DB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'2.14.Tablo'!$R$5:$R$30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'2.14.Tablo'!$O$5:$O$30</c:f>
              <c:numCache>
                <c:formatCode>0</c:formatCode>
                <c:ptCount val="26"/>
                <c:pt idx="0">
                  <c:v>12.790697674418603</c:v>
                </c:pt>
                <c:pt idx="1">
                  <c:v>11.94029850746268</c:v>
                </c:pt>
                <c:pt idx="2">
                  <c:v>-2.0618556701030948</c:v>
                </c:pt>
                <c:pt idx="3">
                  <c:v>-33.62831858407079</c:v>
                </c:pt>
                <c:pt idx="4">
                  <c:v>-17.676767676767682</c:v>
                </c:pt>
                <c:pt idx="5">
                  <c:v>-10.077519379844968</c:v>
                </c:pt>
                <c:pt idx="6">
                  <c:v>9.6000000000000085</c:v>
                </c:pt>
                <c:pt idx="7">
                  <c:v>2.9761904761904789</c:v>
                </c:pt>
                <c:pt idx="8">
                  <c:v>7.7669902912621422</c:v>
                </c:pt>
                <c:pt idx="9">
                  <c:v>-29.999999999999996</c:v>
                </c:pt>
                <c:pt idx="10">
                  <c:v>40.659340659340657</c:v>
                </c:pt>
                <c:pt idx="11">
                  <c:v>-23.484848484848488</c:v>
                </c:pt>
                <c:pt idx="12">
                  <c:v>48.351648351648358</c:v>
                </c:pt>
                <c:pt idx="13">
                  <c:v>0</c:v>
                </c:pt>
                <c:pt idx="14">
                  <c:v>8.2706766917293137</c:v>
                </c:pt>
                <c:pt idx="15">
                  <c:v>0</c:v>
                </c:pt>
                <c:pt idx="16">
                  <c:v>23.170731707317085</c:v>
                </c:pt>
                <c:pt idx="17">
                  <c:v>-3.0769230769230798</c:v>
                </c:pt>
                <c:pt idx="18">
                  <c:v>2.3076923076923097</c:v>
                </c:pt>
                <c:pt idx="19">
                  <c:v>1.6129032258064531</c:v>
                </c:pt>
                <c:pt idx="20">
                  <c:v>7.2463768115942102</c:v>
                </c:pt>
                <c:pt idx="21">
                  <c:v>4.301075268817196</c:v>
                </c:pt>
                <c:pt idx="22">
                  <c:v>-4.3750000000000036</c:v>
                </c:pt>
                <c:pt idx="23">
                  <c:v>-36.395759717314483</c:v>
                </c:pt>
                <c:pt idx="24">
                  <c:v>48.863636363636374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'2.14.Tablo'!$E$3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'2.14.Tablo'!$R$5:$R$30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'2.14.Tablo'!$E$27:$E$29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1.61</c:v>
                      </c:pt>
                      <c:pt idx="1">
                        <c:v>1.69</c:v>
                      </c:pt>
                      <c:pt idx="2">
                        <c:v>1.48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'2.14.Tablo'!$R$5:$R$30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'2.14.Tablo'!$G$27:$G$29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1.43</c:v>
                      </c:pt>
                      <c:pt idx="1">
                        <c:v>1.67</c:v>
                      </c:pt>
                      <c:pt idx="2">
                        <c:v>1.2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2.14.DSİ'ce İşletilen ve Devredilen Sulama Tesislerde İhtiyacın Karşılanma Oranı, (%), 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'2.14.Tablo'!$D$3:$M$3</c:f>
              <c:strCache>
                <c:ptCount val="1"/>
                <c:pt idx="0">
                  <c:v>İhtiyacın Karşılanma Oranı                                                                                                                                                             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'2.14.Tablo'!$R$5:$R$30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'2.14.Tablo'!$M$5:$M$30</c:f>
              <c:numCache>
                <c:formatCode>0.00</c:formatCode>
                <c:ptCount val="26"/>
                <c:pt idx="0">
                  <c:v>0.97</c:v>
                </c:pt>
                <c:pt idx="1">
                  <c:v>0.75</c:v>
                </c:pt>
                <c:pt idx="2">
                  <c:v>0.95</c:v>
                </c:pt>
                <c:pt idx="3">
                  <c:v>0.75</c:v>
                </c:pt>
                <c:pt idx="4">
                  <c:v>1.63</c:v>
                </c:pt>
                <c:pt idx="5">
                  <c:v>1.1599999999999999</c:v>
                </c:pt>
                <c:pt idx="6">
                  <c:v>1.37</c:v>
                </c:pt>
                <c:pt idx="7">
                  <c:v>1.73</c:v>
                </c:pt>
                <c:pt idx="8">
                  <c:v>1.1100000000000001</c:v>
                </c:pt>
                <c:pt idx="9">
                  <c:v>1.05</c:v>
                </c:pt>
                <c:pt idx="10">
                  <c:v>1.28</c:v>
                </c:pt>
                <c:pt idx="11">
                  <c:v>1.01</c:v>
                </c:pt>
                <c:pt idx="12">
                  <c:v>1.35</c:v>
                </c:pt>
                <c:pt idx="14">
                  <c:v>1.44</c:v>
                </c:pt>
                <c:pt idx="16">
                  <c:v>2.02</c:v>
                </c:pt>
                <c:pt idx="17">
                  <c:v>0.63</c:v>
                </c:pt>
                <c:pt idx="18">
                  <c:v>1.33</c:v>
                </c:pt>
                <c:pt idx="19">
                  <c:v>1.26</c:v>
                </c:pt>
                <c:pt idx="20">
                  <c:v>0.74</c:v>
                </c:pt>
                <c:pt idx="21">
                  <c:v>0.97</c:v>
                </c:pt>
                <c:pt idx="22">
                  <c:v>1.53</c:v>
                </c:pt>
                <c:pt idx="23">
                  <c:v>1.8</c:v>
                </c:pt>
                <c:pt idx="24">
                  <c:v>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'2.14.Tablo'!$E$3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'2.14.Tablo'!$R$5:$R$30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'2.14.Tablo'!$E$27:$E$29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1.61</c:v>
                      </c:pt>
                      <c:pt idx="1">
                        <c:v>1.69</c:v>
                      </c:pt>
                      <c:pt idx="2">
                        <c:v>1.48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391-466C-87C2-DDD06FFEC3B8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'2.14.Tablo'!$R$5:$R$30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'2.14.Tablo'!$G$27:$G$29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1.43</c:v>
                      </c:pt>
                      <c:pt idx="1">
                        <c:v>1.67</c:v>
                      </c:pt>
                      <c:pt idx="2">
                        <c:v>1.2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91-466C-87C2-DDD06FFEC3B8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609600</xdr:colOff>
      <xdr:row>1</xdr:row>
      <xdr:rowOff>9525</xdr:rowOff>
    </xdr:from>
    <xdr:to>
      <xdr:col>12</xdr:col>
      <xdr:colOff>990600</xdr:colOff>
      <xdr:row>1</xdr:row>
      <xdr:rowOff>295576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6775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57149</xdr:colOff>
      <xdr:row>67</xdr:row>
      <xdr:rowOff>183356</xdr:rowOff>
    </xdr:from>
    <xdr:to>
      <xdr:col>21</xdr:col>
      <xdr:colOff>380999</xdr:colOff>
      <xdr:row>101</xdr:row>
      <xdr:rowOff>190499</xdr:rowOff>
    </xdr:to>
    <xdr:graphicFrame macro="">
      <xdr:nvGraphicFramePr>
        <xdr:cNvPr id="15" name="Grafik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71436</xdr:colOff>
      <xdr:row>32</xdr:row>
      <xdr:rowOff>35720</xdr:rowOff>
    </xdr:from>
    <xdr:to>
      <xdr:col>21</xdr:col>
      <xdr:colOff>383379</xdr:colOff>
      <xdr:row>67</xdr:row>
      <xdr:rowOff>95249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7052A5EB-C803-42CD-9106-068152A0A4E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62D87CFB-2C15-4B75-9459-360438B256F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38"/>
  <sheetViews>
    <sheetView tabSelected="1" zoomScale="80" zoomScaleNormal="80" workbookViewId="0">
      <selection activeCell="Q11" sqref="Q11"/>
    </sheetView>
  </sheetViews>
  <sheetFormatPr defaultRowHeight="15" x14ac:dyDescent="0.25"/>
  <cols>
    <col min="1" max="1" width="2.5703125" customWidth="1"/>
    <col min="3" max="3" width="43.85546875" bestFit="1" customWidth="1"/>
    <col min="4" max="12" width="15.7109375" customWidth="1"/>
    <col min="13" max="13" width="15.7109375" style="43" customWidth="1"/>
    <col min="15" max="15" width="9.140625" style="19"/>
    <col min="18" max="18" width="9.140625" style="19"/>
  </cols>
  <sheetData>
    <row r="1" spans="2:18" s="1" customFormat="1" ht="15" customHeight="1" thickBot="1" x14ac:dyDescent="0.3">
      <c r="C1" s="5"/>
      <c r="D1" s="5"/>
      <c r="E1" s="5"/>
      <c r="F1" s="5"/>
      <c r="G1" s="5"/>
      <c r="H1" s="5"/>
      <c r="I1" s="5"/>
      <c r="J1" s="5"/>
      <c r="K1" s="5"/>
      <c r="L1" s="5"/>
      <c r="M1" s="5"/>
      <c r="O1" s="18"/>
      <c r="R1" s="18"/>
    </row>
    <row r="2" spans="2:18" s="1" customFormat="1" ht="24.75" customHeight="1" thickBot="1" x14ac:dyDescent="0.3">
      <c r="B2" s="47" t="s">
        <v>66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9"/>
      <c r="O2" s="18"/>
      <c r="R2" s="18"/>
    </row>
    <row r="3" spans="2:18" ht="48.75" customHeight="1" thickBot="1" x14ac:dyDescent="0.3">
      <c r="B3" s="50" t="s">
        <v>36</v>
      </c>
      <c r="C3" s="50" t="s">
        <v>37</v>
      </c>
      <c r="D3" s="52" t="s">
        <v>64</v>
      </c>
      <c r="E3" s="53"/>
      <c r="F3" s="53"/>
      <c r="G3" s="53"/>
      <c r="H3" s="53"/>
      <c r="I3" s="53"/>
      <c r="J3" s="53"/>
      <c r="K3" s="53"/>
      <c r="L3" s="53"/>
      <c r="M3" s="54"/>
    </row>
    <row r="4" spans="2:18" ht="22.5" customHeight="1" thickBot="1" x14ac:dyDescent="0.3">
      <c r="B4" s="51"/>
      <c r="C4" s="51"/>
      <c r="D4" s="9">
        <v>2015</v>
      </c>
      <c r="E4" s="9">
        <v>2016</v>
      </c>
      <c r="F4" s="9">
        <v>2017</v>
      </c>
      <c r="G4" s="9">
        <v>2018</v>
      </c>
      <c r="H4" s="9">
        <v>2019</v>
      </c>
      <c r="I4" s="9">
        <v>2020</v>
      </c>
      <c r="J4" s="28">
        <v>2021</v>
      </c>
      <c r="K4" s="9">
        <v>2022</v>
      </c>
      <c r="L4" s="9">
        <v>2023</v>
      </c>
      <c r="M4" s="9">
        <v>2024</v>
      </c>
      <c r="O4" s="19" t="s">
        <v>9</v>
      </c>
    </row>
    <row r="5" spans="2:18" ht="22.5" customHeight="1" x14ac:dyDescent="0.25">
      <c r="B5" s="10" t="s">
        <v>0</v>
      </c>
      <c r="C5" s="11" t="s">
        <v>10</v>
      </c>
      <c r="D5" s="30">
        <v>0.84</v>
      </c>
      <c r="E5" s="31">
        <v>0.97</v>
      </c>
      <c r="F5" s="31">
        <v>0.87</v>
      </c>
      <c r="G5" s="31">
        <v>0.79</v>
      </c>
      <c r="H5" s="31">
        <v>0.87</v>
      </c>
      <c r="I5" s="32">
        <v>0.94</v>
      </c>
      <c r="J5" s="33">
        <v>0.87</v>
      </c>
      <c r="K5" s="32">
        <v>0.93</v>
      </c>
      <c r="L5" s="32">
        <v>0.86</v>
      </c>
      <c r="M5" s="32">
        <v>0.97</v>
      </c>
      <c r="O5" s="46">
        <f>+(M5-L5)*100/L5</f>
        <v>12.790697674418603</v>
      </c>
      <c r="Q5" s="20"/>
      <c r="R5" s="21" t="s">
        <v>38</v>
      </c>
    </row>
    <row r="6" spans="2:18" ht="22.5" customHeight="1" x14ac:dyDescent="0.25">
      <c r="B6" s="12" t="s">
        <v>1</v>
      </c>
      <c r="C6" s="13" t="s">
        <v>11</v>
      </c>
      <c r="D6" s="34">
        <v>0.98</v>
      </c>
      <c r="E6" s="27">
        <v>0.96</v>
      </c>
      <c r="F6" s="27">
        <v>0.81</v>
      </c>
      <c r="G6" s="27">
        <v>0.93</v>
      </c>
      <c r="H6" s="27">
        <v>0.94</v>
      </c>
      <c r="I6" s="35">
        <v>0.67</v>
      </c>
      <c r="J6" s="36">
        <v>0.56999999999999995</v>
      </c>
      <c r="K6" s="35">
        <v>0.57999999999999996</v>
      </c>
      <c r="L6" s="35">
        <v>0.67</v>
      </c>
      <c r="M6" s="35">
        <v>0.75</v>
      </c>
      <c r="O6" s="46">
        <f t="shared" ref="O6:O30" si="0">+(M6-L6)*100/L6</f>
        <v>11.94029850746268</v>
      </c>
      <c r="R6" s="21" t="s">
        <v>39</v>
      </c>
    </row>
    <row r="7" spans="2:18" ht="22.5" customHeight="1" x14ac:dyDescent="0.25">
      <c r="B7" s="12" t="s">
        <v>2</v>
      </c>
      <c r="C7" s="13" t="s">
        <v>12</v>
      </c>
      <c r="D7" s="34">
        <v>1.21</v>
      </c>
      <c r="E7" s="27">
        <v>1.43</v>
      </c>
      <c r="F7" s="27">
        <v>1.28</v>
      </c>
      <c r="G7" s="27">
        <v>1.21</v>
      </c>
      <c r="H7" s="27">
        <v>0.96</v>
      </c>
      <c r="I7" s="35">
        <v>1.1499999999999999</v>
      </c>
      <c r="J7" s="36">
        <v>0.96</v>
      </c>
      <c r="K7" s="35">
        <v>0.78</v>
      </c>
      <c r="L7" s="35">
        <v>0.97</v>
      </c>
      <c r="M7" s="35">
        <v>0.95</v>
      </c>
      <c r="O7" s="46">
        <f t="shared" si="0"/>
        <v>-2.0618556701030948</v>
      </c>
      <c r="R7" s="21" t="s">
        <v>40</v>
      </c>
    </row>
    <row r="8" spans="2:18" ht="22.5" customHeight="1" x14ac:dyDescent="0.25">
      <c r="B8" s="12" t="s">
        <v>3</v>
      </c>
      <c r="C8" s="13" t="s">
        <v>13</v>
      </c>
      <c r="D8" s="34">
        <v>1.01</v>
      </c>
      <c r="E8" s="27">
        <v>0.94</v>
      </c>
      <c r="F8" s="27">
        <v>0.88</v>
      </c>
      <c r="G8" s="27">
        <v>0.87</v>
      </c>
      <c r="H8" s="27">
        <v>0.94</v>
      </c>
      <c r="I8" s="35">
        <v>0.99</v>
      </c>
      <c r="J8" s="36">
        <v>0.56999999999999995</v>
      </c>
      <c r="K8" s="35">
        <v>0.86</v>
      </c>
      <c r="L8" s="35">
        <v>1.1299999999999999</v>
      </c>
      <c r="M8" s="35">
        <v>0.75</v>
      </c>
      <c r="O8" s="46">
        <f t="shared" si="0"/>
        <v>-33.62831858407079</v>
      </c>
      <c r="R8" s="21" t="s">
        <v>41</v>
      </c>
    </row>
    <row r="9" spans="2:18" ht="22.5" customHeight="1" x14ac:dyDescent="0.25">
      <c r="B9" s="12" t="s">
        <v>4</v>
      </c>
      <c r="C9" s="13" t="s">
        <v>14</v>
      </c>
      <c r="D9" s="34">
        <v>1.66</v>
      </c>
      <c r="E9" s="27">
        <v>2.11</v>
      </c>
      <c r="F9" s="27">
        <v>2.2000000000000002</v>
      </c>
      <c r="G9" s="27">
        <v>2.5299999999999998</v>
      </c>
      <c r="H9" s="27">
        <v>1.86</v>
      </c>
      <c r="I9" s="35">
        <v>1.71</v>
      </c>
      <c r="J9" s="36">
        <v>1.48</v>
      </c>
      <c r="K9" s="35">
        <v>1.52</v>
      </c>
      <c r="L9" s="35">
        <v>1.98</v>
      </c>
      <c r="M9" s="35">
        <v>1.63</v>
      </c>
      <c r="O9" s="46">
        <f t="shared" si="0"/>
        <v>-17.676767676767682</v>
      </c>
      <c r="R9" s="21" t="s">
        <v>42</v>
      </c>
    </row>
    <row r="10" spans="2:18" ht="22.5" customHeight="1" x14ac:dyDescent="0.25">
      <c r="B10" s="12" t="s">
        <v>5</v>
      </c>
      <c r="C10" s="13" t="s">
        <v>15</v>
      </c>
      <c r="D10" s="34">
        <v>1.26</v>
      </c>
      <c r="E10" s="27">
        <v>1.1200000000000001</v>
      </c>
      <c r="F10" s="27">
        <v>1.02</v>
      </c>
      <c r="G10" s="27">
        <v>1.3</v>
      </c>
      <c r="H10" s="27">
        <v>1.22</v>
      </c>
      <c r="I10" s="35">
        <v>1.71</v>
      </c>
      <c r="J10" s="36">
        <v>1.36</v>
      </c>
      <c r="K10" s="35">
        <v>1.22</v>
      </c>
      <c r="L10" s="35">
        <v>1.29</v>
      </c>
      <c r="M10" s="35">
        <v>1.1599999999999999</v>
      </c>
      <c r="O10" s="46">
        <f t="shared" si="0"/>
        <v>-10.077519379844968</v>
      </c>
      <c r="R10" s="21" t="s">
        <v>43</v>
      </c>
    </row>
    <row r="11" spans="2:18" ht="22.5" customHeight="1" x14ac:dyDescent="0.25">
      <c r="B11" s="12" t="s">
        <v>6</v>
      </c>
      <c r="C11" s="13" t="s">
        <v>16</v>
      </c>
      <c r="D11" s="34">
        <v>0.88</v>
      </c>
      <c r="E11" s="27">
        <v>1.1299999999999999</v>
      </c>
      <c r="F11" s="27">
        <v>1.25</v>
      </c>
      <c r="G11" s="27">
        <v>1.24</v>
      </c>
      <c r="H11" s="27">
        <v>1.26</v>
      </c>
      <c r="I11" s="35">
        <v>1.33</v>
      </c>
      <c r="J11" s="36">
        <v>1.1399999999999999</v>
      </c>
      <c r="K11" s="35">
        <v>1.3</v>
      </c>
      <c r="L11" s="35">
        <v>1.25</v>
      </c>
      <c r="M11" s="35">
        <v>1.37</v>
      </c>
      <c r="O11" s="46">
        <f t="shared" si="0"/>
        <v>9.6000000000000085</v>
      </c>
      <c r="R11" s="21" t="s">
        <v>44</v>
      </c>
    </row>
    <row r="12" spans="2:18" ht="22.5" customHeight="1" x14ac:dyDescent="0.25">
      <c r="B12" s="12" t="s">
        <v>7</v>
      </c>
      <c r="C12" s="13" t="s">
        <v>17</v>
      </c>
      <c r="D12" s="34">
        <v>1.89</v>
      </c>
      <c r="E12" s="27">
        <v>1.98</v>
      </c>
      <c r="F12" s="27">
        <v>1.69</v>
      </c>
      <c r="G12" s="27">
        <v>1.46</v>
      </c>
      <c r="H12" s="27">
        <v>1.54</v>
      </c>
      <c r="I12" s="35">
        <v>2.27</v>
      </c>
      <c r="J12" s="36">
        <v>1.71</v>
      </c>
      <c r="K12" s="35">
        <v>1.77</v>
      </c>
      <c r="L12" s="35">
        <v>1.68</v>
      </c>
      <c r="M12" s="35">
        <v>1.73</v>
      </c>
      <c r="O12" s="46">
        <f t="shared" si="0"/>
        <v>2.9761904761904789</v>
      </c>
      <c r="R12" s="21" t="s">
        <v>45</v>
      </c>
    </row>
    <row r="13" spans="2:18" ht="22.5" customHeight="1" x14ac:dyDescent="0.25">
      <c r="B13" s="12" t="s">
        <v>8</v>
      </c>
      <c r="C13" s="13" t="s">
        <v>18</v>
      </c>
      <c r="D13" s="34">
        <v>1.38</v>
      </c>
      <c r="E13" s="27">
        <v>1.36</v>
      </c>
      <c r="F13" s="27">
        <v>1.06</v>
      </c>
      <c r="G13" s="27">
        <v>1.21</v>
      </c>
      <c r="H13" s="27">
        <v>1.42</v>
      </c>
      <c r="I13" s="35">
        <v>1.4</v>
      </c>
      <c r="J13" s="36">
        <v>1.32</v>
      </c>
      <c r="K13" s="35">
        <v>1.35</v>
      </c>
      <c r="L13" s="35">
        <v>1.03</v>
      </c>
      <c r="M13" s="35">
        <v>1.1100000000000001</v>
      </c>
      <c r="O13" s="46">
        <f t="shared" si="0"/>
        <v>7.7669902912621422</v>
      </c>
      <c r="R13" s="21" t="s">
        <v>46</v>
      </c>
    </row>
    <row r="14" spans="2:18" ht="22.5" customHeight="1" x14ac:dyDescent="0.25">
      <c r="B14" s="14">
        <v>10</v>
      </c>
      <c r="C14" s="13" t="s">
        <v>19</v>
      </c>
      <c r="D14" s="34">
        <v>1.54</v>
      </c>
      <c r="E14" s="27">
        <v>1.93</v>
      </c>
      <c r="F14" s="27">
        <v>1.81</v>
      </c>
      <c r="G14" s="27">
        <v>1.46</v>
      </c>
      <c r="H14" s="27">
        <v>1.59</v>
      </c>
      <c r="I14" s="35">
        <v>1.85</v>
      </c>
      <c r="J14" s="36">
        <v>1.85</v>
      </c>
      <c r="K14" s="35">
        <v>1.49</v>
      </c>
      <c r="L14" s="35">
        <v>1.5</v>
      </c>
      <c r="M14" s="35">
        <v>1.05</v>
      </c>
      <c r="O14" s="46">
        <f t="shared" si="0"/>
        <v>-29.999999999999996</v>
      </c>
      <c r="R14" s="21" t="s">
        <v>47</v>
      </c>
    </row>
    <row r="15" spans="2:18" ht="22.5" customHeight="1" x14ac:dyDescent="0.25">
      <c r="B15" s="14">
        <v>11</v>
      </c>
      <c r="C15" s="13" t="s">
        <v>20</v>
      </c>
      <c r="D15" s="34">
        <v>1</v>
      </c>
      <c r="E15" s="27">
        <v>1.1200000000000001</v>
      </c>
      <c r="F15" s="27">
        <v>0.98</v>
      </c>
      <c r="G15" s="27">
        <v>1.22</v>
      </c>
      <c r="H15" s="27">
        <v>1.1100000000000001</v>
      </c>
      <c r="I15" s="35">
        <v>1.3</v>
      </c>
      <c r="J15" s="36">
        <v>1.25</v>
      </c>
      <c r="K15" s="35">
        <v>1.28</v>
      </c>
      <c r="L15" s="35">
        <v>0.91</v>
      </c>
      <c r="M15" s="35">
        <v>1.28</v>
      </c>
      <c r="O15" s="46">
        <f t="shared" si="0"/>
        <v>40.659340659340657</v>
      </c>
      <c r="R15" s="21" t="s">
        <v>48</v>
      </c>
    </row>
    <row r="16" spans="2:18" ht="22.5" customHeight="1" x14ac:dyDescent="0.25">
      <c r="B16" s="14">
        <v>12</v>
      </c>
      <c r="C16" s="13" t="s">
        <v>21</v>
      </c>
      <c r="D16" s="34">
        <v>1.22</v>
      </c>
      <c r="E16" s="27">
        <v>1.0900000000000001</v>
      </c>
      <c r="F16" s="27">
        <v>1.1200000000000001</v>
      </c>
      <c r="G16" s="27">
        <v>1.1100000000000001</v>
      </c>
      <c r="H16" s="27">
        <v>0.96</v>
      </c>
      <c r="I16" s="35">
        <v>1.1100000000000001</v>
      </c>
      <c r="J16" s="36">
        <v>1.01</v>
      </c>
      <c r="K16" s="35">
        <v>1.04</v>
      </c>
      <c r="L16" s="35">
        <v>1.32</v>
      </c>
      <c r="M16" s="35">
        <v>1.01</v>
      </c>
      <c r="O16" s="46">
        <f t="shared" si="0"/>
        <v>-23.484848484848488</v>
      </c>
      <c r="R16" s="21" t="s">
        <v>49</v>
      </c>
    </row>
    <row r="17" spans="2:18" ht="22.5" customHeight="1" x14ac:dyDescent="0.25">
      <c r="B17" s="14">
        <v>13</v>
      </c>
      <c r="C17" s="13" t="s">
        <v>22</v>
      </c>
      <c r="D17" s="34">
        <v>1.1399999999999999</v>
      </c>
      <c r="E17" s="27">
        <v>1.1100000000000001</v>
      </c>
      <c r="F17" s="27">
        <v>1.23</v>
      </c>
      <c r="G17" s="27">
        <v>1.1000000000000001</v>
      </c>
      <c r="H17" s="27">
        <v>0.96</v>
      </c>
      <c r="I17" s="35">
        <v>1.01</v>
      </c>
      <c r="J17" s="36">
        <v>1.04</v>
      </c>
      <c r="K17" s="35">
        <v>1.38</v>
      </c>
      <c r="L17" s="35">
        <v>0.91</v>
      </c>
      <c r="M17" s="35">
        <v>1.35</v>
      </c>
      <c r="O17" s="46">
        <f t="shared" si="0"/>
        <v>48.351648351648358</v>
      </c>
      <c r="R17" s="21" t="s">
        <v>50</v>
      </c>
    </row>
    <row r="18" spans="2:18" ht="22.5" customHeight="1" x14ac:dyDescent="0.25">
      <c r="B18" s="14">
        <v>14</v>
      </c>
      <c r="C18" s="13" t="s">
        <v>23</v>
      </c>
      <c r="D18" s="34"/>
      <c r="E18" s="27"/>
      <c r="F18" s="27"/>
      <c r="G18" s="27"/>
      <c r="H18" s="27"/>
      <c r="I18" s="35"/>
      <c r="J18" s="36"/>
      <c r="K18" s="35"/>
      <c r="L18" s="35"/>
      <c r="M18" s="35"/>
      <c r="O18" s="46" t="e">
        <f t="shared" si="0"/>
        <v>#DIV/0!</v>
      </c>
      <c r="R18" s="21" t="s">
        <v>51</v>
      </c>
    </row>
    <row r="19" spans="2:18" ht="22.5" customHeight="1" x14ac:dyDescent="0.25">
      <c r="B19" s="14">
        <v>15</v>
      </c>
      <c r="C19" s="13" t="s">
        <v>24</v>
      </c>
      <c r="D19" s="34">
        <v>1.28</v>
      </c>
      <c r="E19" s="27">
        <v>1.19</v>
      </c>
      <c r="F19" s="27">
        <v>1.43</v>
      </c>
      <c r="G19" s="27">
        <v>1.29</v>
      </c>
      <c r="H19" s="27">
        <v>1.4</v>
      </c>
      <c r="I19" s="35">
        <v>1.1100000000000001</v>
      </c>
      <c r="J19" s="36">
        <v>1.67</v>
      </c>
      <c r="K19" s="35">
        <v>1.58</v>
      </c>
      <c r="L19" s="35">
        <v>1.33</v>
      </c>
      <c r="M19" s="35">
        <v>1.44</v>
      </c>
      <c r="O19" s="46">
        <f t="shared" si="0"/>
        <v>8.2706766917293137</v>
      </c>
      <c r="R19" s="21" t="s">
        <v>52</v>
      </c>
    </row>
    <row r="20" spans="2:18" ht="22.5" customHeight="1" x14ac:dyDescent="0.25">
      <c r="B20" s="14">
        <v>16</v>
      </c>
      <c r="C20" s="13" t="s">
        <v>25</v>
      </c>
      <c r="D20" s="34"/>
      <c r="E20" s="27"/>
      <c r="F20" s="27"/>
      <c r="G20" s="27"/>
      <c r="H20" s="27"/>
      <c r="I20" s="35"/>
      <c r="J20" s="36"/>
      <c r="K20" s="35"/>
      <c r="L20" s="35"/>
      <c r="M20" s="35"/>
      <c r="O20" s="46" t="e">
        <f t="shared" si="0"/>
        <v>#DIV/0!</v>
      </c>
      <c r="R20" s="21" t="s">
        <v>53</v>
      </c>
    </row>
    <row r="21" spans="2:18" ht="22.5" customHeight="1" x14ac:dyDescent="0.25">
      <c r="B21" s="14">
        <v>17</v>
      </c>
      <c r="C21" s="13" t="s">
        <v>26</v>
      </c>
      <c r="D21" s="34">
        <v>2.95</v>
      </c>
      <c r="E21" s="27">
        <v>2.54</v>
      </c>
      <c r="F21" s="27">
        <v>2.87</v>
      </c>
      <c r="G21" s="27">
        <v>3.84</v>
      </c>
      <c r="H21" s="27">
        <v>3.02</v>
      </c>
      <c r="I21" s="35">
        <v>2.0499999999999998</v>
      </c>
      <c r="J21" s="36">
        <v>1.94</v>
      </c>
      <c r="K21" s="35">
        <v>1.84</v>
      </c>
      <c r="L21" s="35">
        <v>1.64</v>
      </c>
      <c r="M21" s="35">
        <v>2.02</v>
      </c>
      <c r="O21" s="46">
        <f t="shared" si="0"/>
        <v>23.170731707317085</v>
      </c>
      <c r="R21" s="21" t="s">
        <v>54</v>
      </c>
    </row>
    <row r="22" spans="2:18" ht="22.5" customHeight="1" x14ac:dyDescent="0.25">
      <c r="B22" s="14">
        <v>18</v>
      </c>
      <c r="C22" s="13" t="s">
        <v>27</v>
      </c>
      <c r="D22" s="34">
        <v>1.1499999999999999</v>
      </c>
      <c r="E22" s="27">
        <v>1.3</v>
      </c>
      <c r="F22" s="27">
        <v>1.22</v>
      </c>
      <c r="G22" s="27">
        <v>1.04</v>
      </c>
      <c r="H22" s="27">
        <v>1.06</v>
      </c>
      <c r="I22" s="35">
        <v>0.95</v>
      </c>
      <c r="J22" s="36">
        <v>0.84</v>
      </c>
      <c r="K22" s="35">
        <v>0.78</v>
      </c>
      <c r="L22" s="35">
        <v>0.65</v>
      </c>
      <c r="M22" s="35">
        <v>0.63</v>
      </c>
      <c r="O22" s="46">
        <f t="shared" si="0"/>
        <v>-3.0769230769230798</v>
      </c>
      <c r="R22" s="21" t="s">
        <v>55</v>
      </c>
    </row>
    <row r="23" spans="2:18" ht="22.5" customHeight="1" x14ac:dyDescent="0.25">
      <c r="B23" s="14">
        <v>19</v>
      </c>
      <c r="C23" s="13" t="s">
        <v>28</v>
      </c>
      <c r="D23" s="34">
        <v>2</v>
      </c>
      <c r="E23" s="27">
        <v>1.22</v>
      </c>
      <c r="F23" s="27">
        <v>1.24</v>
      </c>
      <c r="G23" s="27">
        <v>1.85</v>
      </c>
      <c r="H23" s="27">
        <v>1.85</v>
      </c>
      <c r="I23" s="35">
        <v>1.92</v>
      </c>
      <c r="J23" s="36">
        <v>1.38</v>
      </c>
      <c r="K23" s="35">
        <v>1.32</v>
      </c>
      <c r="L23" s="35">
        <v>1.3</v>
      </c>
      <c r="M23" s="35">
        <v>1.33</v>
      </c>
      <c r="O23" s="46">
        <f t="shared" si="0"/>
        <v>2.3076923076923097</v>
      </c>
      <c r="R23" s="21" t="s">
        <v>56</v>
      </c>
    </row>
    <row r="24" spans="2:18" ht="22.5" customHeight="1" x14ac:dyDescent="0.25">
      <c r="B24" s="14">
        <v>20</v>
      </c>
      <c r="C24" s="13" t="s">
        <v>29</v>
      </c>
      <c r="D24" s="34">
        <v>1.1399999999999999</v>
      </c>
      <c r="E24" s="27">
        <v>1.1000000000000001</v>
      </c>
      <c r="F24" s="27">
        <v>1.1000000000000001</v>
      </c>
      <c r="G24" s="27">
        <v>1.08</v>
      </c>
      <c r="H24" s="27">
        <v>1.1100000000000001</v>
      </c>
      <c r="I24" s="35">
        <v>1.1299999999999999</v>
      </c>
      <c r="J24" s="36">
        <v>1.2</v>
      </c>
      <c r="K24" s="35">
        <v>1.29</v>
      </c>
      <c r="L24" s="35">
        <v>1.24</v>
      </c>
      <c r="M24" s="35">
        <v>1.26</v>
      </c>
      <c r="O24" s="46">
        <f t="shared" si="0"/>
        <v>1.6129032258064531</v>
      </c>
      <c r="R24" s="21" t="s">
        <v>57</v>
      </c>
    </row>
    <row r="25" spans="2:18" ht="22.5" customHeight="1" x14ac:dyDescent="0.25">
      <c r="B25" s="14">
        <v>21</v>
      </c>
      <c r="C25" s="13" t="s">
        <v>30</v>
      </c>
      <c r="D25" s="34">
        <v>1.1299999999999999</v>
      </c>
      <c r="E25" s="27">
        <v>1.1399999999999999</v>
      </c>
      <c r="F25" s="27">
        <v>0.94</v>
      </c>
      <c r="G25" s="27">
        <v>0.78</v>
      </c>
      <c r="H25" s="27">
        <v>0.9</v>
      </c>
      <c r="I25" s="35">
        <v>0.81</v>
      </c>
      <c r="J25" s="36">
        <v>0.57999999999999996</v>
      </c>
      <c r="K25" s="35">
        <v>0.8</v>
      </c>
      <c r="L25" s="35">
        <v>0.69</v>
      </c>
      <c r="M25" s="35">
        <v>0.74</v>
      </c>
      <c r="O25" s="46">
        <f t="shared" si="0"/>
        <v>7.2463768115942102</v>
      </c>
      <c r="R25" s="21" t="s">
        <v>58</v>
      </c>
    </row>
    <row r="26" spans="2:18" ht="22.5" customHeight="1" x14ac:dyDescent="0.25">
      <c r="B26" s="14">
        <v>22</v>
      </c>
      <c r="C26" s="13" t="s">
        <v>31</v>
      </c>
      <c r="D26" s="34">
        <v>1.89</v>
      </c>
      <c r="E26" s="27">
        <v>1.75</v>
      </c>
      <c r="F26" s="27">
        <v>1.98</v>
      </c>
      <c r="G26" s="27">
        <v>2.7</v>
      </c>
      <c r="H26" s="27">
        <v>1.25</v>
      </c>
      <c r="I26" s="35">
        <v>2.95</v>
      </c>
      <c r="J26" s="36">
        <v>1.32</v>
      </c>
      <c r="K26" s="35">
        <v>1.4</v>
      </c>
      <c r="L26" s="35">
        <v>0.93</v>
      </c>
      <c r="M26" s="35">
        <v>0.97</v>
      </c>
      <c r="O26" s="46">
        <f t="shared" si="0"/>
        <v>4.301075268817196</v>
      </c>
      <c r="R26" s="19" t="s">
        <v>59</v>
      </c>
    </row>
    <row r="27" spans="2:18" ht="22.5" customHeight="1" x14ac:dyDescent="0.25">
      <c r="B27" s="14">
        <v>23</v>
      </c>
      <c r="C27" s="13" t="s">
        <v>32</v>
      </c>
      <c r="D27" s="34">
        <v>1.39</v>
      </c>
      <c r="E27" s="27">
        <v>1.61</v>
      </c>
      <c r="F27" s="27">
        <v>1.39</v>
      </c>
      <c r="G27" s="27">
        <v>1.43</v>
      </c>
      <c r="H27" s="27">
        <v>1.45</v>
      </c>
      <c r="I27" s="35">
        <v>1.73</v>
      </c>
      <c r="J27" s="36">
        <v>1.23</v>
      </c>
      <c r="K27" s="35">
        <v>1.63</v>
      </c>
      <c r="L27" s="35">
        <v>1.6</v>
      </c>
      <c r="M27" s="35">
        <v>1.53</v>
      </c>
      <c r="O27" s="46">
        <f t="shared" si="0"/>
        <v>-4.3750000000000036</v>
      </c>
      <c r="R27" s="21" t="s">
        <v>60</v>
      </c>
    </row>
    <row r="28" spans="2:18" ht="22.5" customHeight="1" x14ac:dyDescent="0.25">
      <c r="B28" s="14">
        <v>24</v>
      </c>
      <c r="C28" s="13" t="s">
        <v>33</v>
      </c>
      <c r="D28" s="34">
        <v>1.88</v>
      </c>
      <c r="E28" s="27">
        <v>1.69</v>
      </c>
      <c r="F28" s="27">
        <v>1.58</v>
      </c>
      <c r="G28" s="27">
        <v>1.67</v>
      </c>
      <c r="H28" s="27">
        <v>1.56</v>
      </c>
      <c r="I28" s="35">
        <v>1.6</v>
      </c>
      <c r="J28" s="36">
        <v>1.31</v>
      </c>
      <c r="K28" s="35">
        <v>1.83</v>
      </c>
      <c r="L28" s="35">
        <v>2.83</v>
      </c>
      <c r="M28" s="35">
        <v>1.8</v>
      </c>
      <c r="O28" s="46">
        <f t="shared" si="0"/>
        <v>-36.395759717314483</v>
      </c>
      <c r="R28" s="21" t="s">
        <v>61</v>
      </c>
    </row>
    <row r="29" spans="2:18" ht="22.5" customHeight="1" x14ac:dyDescent="0.25">
      <c r="B29" s="14">
        <v>25</v>
      </c>
      <c r="C29" s="13" t="s">
        <v>34</v>
      </c>
      <c r="D29" s="37">
        <v>1.02</v>
      </c>
      <c r="E29" s="38">
        <v>1.48</v>
      </c>
      <c r="F29" s="38">
        <v>1.37</v>
      </c>
      <c r="G29" s="38">
        <v>1.2</v>
      </c>
      <c r="H29" s="38">
        <v>1.18</v>
      </c>
      <c r="I29" s="39">
        <v>1.27</v>
      </c>
      <c r="J29" s="39">
        <v>0.98</v>
      </c>
      <c r="K29" s="40">
        <v>1.07</v>
      </c>
      <c r="L29" s="40">
        <v>0.88</v>
      </c>
      <c r="M29" s="40">
        <v>1.31</v>
      </c>
      <c r="O29" s="46">
        <f t="shared" si="0"/>
        <v>48.863636363636374</v>
      </c>
      <c r="R29" s="21" t="s">
        <v>62</v>
      </c>
    </row>
    <row r="30" spans="2:18" ht="16.5" thickBot="1" x14ac:dyDescent="0.3">
      <c r="B30" s="15">
        <v>26</v>
      </c>
      <c r="C30" s="16" t="s">
        <v>35</v>
      </c>
      <c r="D30" s="17"/>
      <c r="E30" s="7"/>
      <c r="F30" s="6"/>
      <c r="G30" s="7"/>
      <c r="H30" s="6"/>
      <c r="I30" s="8"/>
      <c r="J30" s="29"/>
      <c r="K30" s="41"/>
      <c r="L30" s="41"/>
      <c r="M30" s="41"/>
      <c r="O30" s="46" t="e">
        <f t="shared" si="0"/>
        <v>#DIV/0!</v>
      </c>
      <c r="R30" s="21" t="s">
        <v>63</v>
      </c>
    </row>
    <row r="31" spans="2:18" ht="15.75" x14ac:dyDescent="0.25">
      <c r="B31" s="22"/>
      <c r="C31" s="23"/>
      <c r="D31" s="24"/>
      <c r="E31" s="25"/>
      <c r="F31" s="24"/>
      <c r="G31" s="25"/>
      <c r="H31" s="24"/>
      <c r="I31" s="24"/>
      <c r="J31" s="24"/>
      <c r="K31" s="24"/>
      <c r="L31" s="24"/>
      <c r="M31" s="42"/>
      <c r="O31" s="46"/>
      <c r="R31" s="21"/>
    </row>
    <row r="32" spans="2:18" ht="21" customHeight="1" x14ac:dyDescent="0.25">
      <c r="B32" s="26" t="s">
        <v>65</v>
      </c>
    </row>
    <row r="37" spans="3:14" ht="15" customHeight="1" x14ac:dyDescent="0.25">
      <c r="C37" s="3"/>
      <c r="D37" s="3"/>
      <c r="E37" s="3"/>
      <c r="F37" s="3"/>
      <c r="G37" s="3"/>
      <c r="H37" s="3"/>
      <c r="I37" s="3"/>
      <c r="J37" s="3"/>
      <c r="K37" s="3"/>
      <c r="L37" s="3"/>
      <c r="M37" s="44"/>
      <c r="N37" s="4"/>
    </row>
    <row r="38" spans="3:14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45"/>
    </row>
  </sheetData>
  <mergeCells count="4">
    <mergeCell ref="B2:M2"/>
    <mergeCell ref="B3:B4"/>
    <mergeCell ref="C3:C4"/>
    <mergeCell ref="D3:M3"/>
  </mergeCells>
  <pageMargins left="0.39370078740157483" right="0.39370078740157483" top="0" bottom="0" header="0.31496062992125984" footer="0.31496062992125984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2.14.Tablo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2025-12-05T06:59:50Z</dcterms:modified>
</cp:coreProperties>
</file>